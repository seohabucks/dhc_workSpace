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C_1M\Desktop\seohabucks\work\6월\03_인천공항에너지\"/>
    </mc:Choice>
  </mc:AlternateContent>
  <xr:revisionPtr revIDLastSave="0" documentId="8_{C9AA0605-3AEF-40D7-AE88-23295A9BEF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갑지" sheetId="8" r:id="rId1"/>
    <sheet name="집계표" sheetId="3" r:id="rId2"/>
    <sheet name="내역서" sheetId="4" r:id="rId3"/>
    <sheet name="Sheet1" sheetId="9" r:id="rId4"/>
    <sheet name="가배관내역서" sheetId="12" r:id="rId5"/>
    <sheet name="목록" sheetId="11" r:id="rId6"/>
    <sheet name="강관부설" sheetId="10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</externalReferences>
  <definedNames>
    <definedName name="_____dfg1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P3" localSheetId="0" hidden="1">{#N/A,#N/A,FALSE,"배수1"}</definedName>
    <definedName name="_____P3" hidden="1">{#N/A,#N/A,FALSE,"배수1"}</definedName>
    <definedName name="_____P4" localSheetId="0" hidden="1">{#N/A,#N/A,FALSE,"혼합골재"}</definedName>
    <definedName name="_____P4" hidden="1">{#N/A,#N/A,FALSE,"혼합골재"}</definedName>
    <definedName name="_____P5" localSheetId="0" hidden="1">{#N/A,#N/A,FALSE,"배수1"}</definedName>
    <definedName name="_____P5" hidden="1">{#N/A,#N/A,FALSE,"배수1"}</definedName>
    <definedName name="_____P6" localSheetId="0" hidden="1">{#N/A,#N/A,FALSE,"2~8번"}</definedName>
    <definedName name="_____P6" hidden="1">{#N/A,#N/A,FALSE,"2~8번"}</definedName>
    <definedName name="_____S3" localSheetId="0" hidden="1">{#N/A,#N/A,FALSE,"포장2"}</definedName>
    <definedName name="_____S3" hidden="1">{#N/A,#N/A,FALSE,"포장2"}</definedName>
    <definedName name="___dfg1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P3" localSheetId="0" hidden="1">{#N/A,#N/A,FALSE,"배수1"}</definedName>
    <definedName name="___P3" hidden="1">{#N/A,#N/A,FALSE,"배수1"}</definedName>
    <definedName name="___P4" localSheetId="0" hidden="1">{#N/A,#N/A,FALSE,"혼합골재"}</definedName>
    <definedName name="___P4" hidden="1">{#N/A,#N/A,FALSE,"혼합골재"}</definedName>
    <definedName name="___P5" localSheetId="0" hidden="1">{#N/A,#N/A,FALSE,"배수1"}</definedName>
    <definedName name="___P5" hidden="1">{#N/A,#N/A,FALSE,"배수1"}</definedName>
    <definedName name="___P6" localSheetId="0" hidden="1">{#N/A,#N/A,FALSE,"2~8번"}</definedName>
    <definedName name="___P6" hidden="1">{#N/A,#N/A,FALSE,"2~8번"}</definedName>
    <definedName name="___S3" localSheetId="0" hidden="1">{#N/A,#N/A,FALSE,"포장2"}</definedName>
    <definedName name="___S3" hidden="1">{#N/A,#N/A,FALSE,"포장2"}</definedName>
    <definedName name="__123Graph_X" localSheetId="4" hidden="1">'[1]ENE-CAL 1'!$E$10:$E$35</definedName>
    <definedName name="__123Graph_X" localSheetId="5" hidden="1">'[1]ENE-CAL 1'!$E$10:$E$35</definedName>
    <definedName name="__123Graph_X" hidden="1">'[2]ENE-CAL 1'!$E$10:$E$35</definedName>
    <definedName name="__dfg1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IntlFixup" hidden="1">TRUE</definedName>
    <definedName name="__P3" localSheetId="0" hidden="1">{#N/A,#N/A,FALSE,"배수1"}</definedName>
    <definedName name="__P3" hidden="1">{#N/A,#N/A,FALSE,"배수1"}</definedName>
    <definedName name="__P4" localSheetId="0" hidden="1">{#N/A,#N/A,FALSE,"혼합골재"}</definedName>
    <definedName name="__P4" hidden="1">{#N/A,#N/A,FALSE,"혼합골재"}</definedName>
    <definedName name="__P5" localSheetId="0" hidden="1">{#N/A,#N/A,FALSE,"배수1"}</definedName>
    <definedName name="__P5" hidden="1">{#N/A,#N/A,FALSE,"배수1"}</definedName>
    <definedName name="__P6" localSheetId="0" hidden="1">{#N/A,#N/A,FALSE,"2~8번"}</definedName>
    <definedName name="__P6" hidden="1">{#N/A,#N/A,FALSE,"2~8번"}</definedName>
    <definedName name="__S3" localSheetId="0" hidden="1">{#N/A,#N/A,FALSE,"포장2"}</definedName>
    <definedName name="__S3" hidden="1">{#N/A,#N/A,FALSE,"포장2"}</definedName>
    <definedName name="_10S3_" localSheetId="0" hidden="1">{#N/A,#N/A,FALSE,"포장2"}</definedName>
    <definedName name="_10S3_" hidden="1">{#N/A,#N/A,FALSE,"포장2"}</definedName>
    <definedName name="_12P6_" localSheetId="0" hidden="1">{#N/A,#N/A,FALSE,"2~8번"}</definedName>
    <definedName name="_12P6_" hidden="1">{#N/A,#N/A,FALSE,"2~8번"}</definedName>
    <definedName name="_15A">[3]가격조사서!$D$4:$D$11</definedName>
    <definedName name="_15S3_" localSheetId="0" hidden="1">{#N/A,#N/A,FALSE,"포장2"}</definedName>
    <definedName name="_15S3_" hidden="1">{#N/A,#N/A,FALSE,"포장2"}</definedName>
    <definedName name="_1P3_" localSheetId="0" hidden="1">{#N/A,#N/A,FALSE,"배수1"}</definedName>
    <definedName name="_1P3_" hidden="1">{#N/A,#N/A,FALSE,"배수1"}</definedName>
    <definedName name="_2P3_" localSheetId="0" hidden="1">{#N/A,#N/A,FALSE,"배수1"}</definedName>
    <definedName name="_2P3_" hidden="1">{#N/A,#N/A,FALSE,"배수1"}</definedName>
    <definedName name="_2P4_" localSheetId="0" hidden="1">{#N/A,#N/A,FALSE,"혼합골재"}</definedName>
    <definedName name="_2P4_" hidden="1">{#N/A,#N/A,FALSE,"혼합골재"}</definedName>
    <definedName name="_3P3_" localSheetId="0" hidden="1">{#N/A,#N/A,FALSE,"배수1"}</definedName>
    <definedName name="_3P3_" hidden="1">{#N/A,#N/A,FALSE,"배수1"}</definedName>
    <definedName name="_3P5_" localSheetId="0" hidden="1">{#N/A,#N/A,FALSE,"배수1"}</definedName>
    <definedName name="_3P5_" hidden="1">{#N/A,#N/A,FALSE,"배수1"}</definedName>
    <definedName name="_4P4_" localSheetId="0" hidden="1">{#N/A,#N/A,FALSE,"혼합골재"}</definedName>
    <definedName name="_4P4_" hidden="1">{#N/A,#N/A,FALSE,"혼합골재"}</definedName>
    <definedName name="_4P6_" localSheetId="0" hidden="1">{#N/A,#N/A,FALSE,"2~8번"}</definedName>
    <definedName name="_4P6_" hidden="1">{#N/A,#N/A,FALSE,"2~8번"}</definedName>
    <definedName name="_5S3_" localSheetId="0" hidden="1">{#N/A,#N/A,FALSE,"포장2"}</definedName>
    <definedName name="_5S3_" hidden="1">{#N/A,#N/A,FALSE,"포장2"}</definedName>
    <definedName name="_6P4_" localSheetId="0" hidden="1">{#N/A,#N/A,FALSE,"혼합골재"}</definedName>
    <definedName name="_6P4_" hidden="1">{#N/A,#N/A,FALSE,"혼합골재"}</definedName>
    <definedName name="_6P5_" localSheetId="0" hidden="1">{#N/A,#N/A,FALSE,"배수1"}</definedName>
    <definedName name="_6P5_" hidden="1">{#N/A,#N/A,FALSE,"배수1"}</definedName>
    <definedName name="_8P6_" localSheetId="0" hidden="1">{#N/A,#N/A,FALSE,"2~8번"}</definedName>
    <definedName name="_8P6_" hidden="1">{#N/A,#N/A,FALSE,"2~8번"}</definedName>
    <definedName name="_9P5_" localSheetId="0" hidden="1">{#N/A,#N/A,FALSE,"배수1"}</definedName>
    <definedName name="_9P5_" hidden="1">{#N/A,#N/A,FALSE,"배수1"}</definedName>
    <definedName name="_B22" localSheetId="4">[4]일위대가!$1400:$1413=[4]일위대가!$A$1400</definedName>
    <definedName name="_B22" localSheetId="5">[4]일위대가!$1400:$1413=[4]일위대가!$A$1400</definedName>
    <definedName name="_B22">[5]일위대가!$1400:$1413=[5]일위대가!$A$1400</definedName>
    <definedName name="_DAN2" localSheetId="4">[6]단가조사서!$M$1:$N$65536</definedName>
    <definedName name="_DAN2" localSheetId="5">[6]단가조사서!$M$1:$N$65536</definedName>
    <definedName name="_DAN2">[7]단가조사서!$M$1:$N$65536</definedName>
    <definedName name="_dfg1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ist__bin" localSheetId="0" hidden="1">[8]조명시설!#REF!</definedName>
    <definedName name="_dist__bin" hidden="1">[8]조명시설!#REF!</definedName>
    <definedName name="_Dist_Bin" localSheetId="0" hidden="1">[9]조명시설!#REF!</definedName>
    <definedName name="_Dist_Bin" hidden="1">[9]조명시설!#REF!</definedName>
    <definedName name="_Dist_Values" localSheetId="0" hidden="1">[9]조명시설!#REF!</definedName>
    <definedName name="_Dist_Values" hidden="1">[9]조명시설!#REF!</definedName>
    <definedName name="_Fill" localSheetId="0" hidden="1">#REF!</definedName>
    <definedName name="_Fill" hidden="1">#REF!</definedName>
    <definedName name="_xlnm._FilterDatabase" localSheetId="4" hidden="1">가배관내역서!$A$1:$N$18</definedName>
    <definedName name="_xlnm._FilterDatabase" localSheetId="0" hidden="1">#REF!</definedName>
    <definedName name="_xlnm._FilterDatabase" localSheetId="6" hidden="1">강관부설!$A$1:$N$37</definedName>
    <definedName name="_xlnm._FilterDatabase" hidden="1">#REF!</definedName>
    <definedName name="_JIP1" localSheetId="4">[6]집계표!$A$1:$K$65536</definedName>
    <definedName name="_JIP1" localSheetId="5">[6]집계표!$A$1:$K$65536</definedName>
    <definedName name="_JIP1">[7]집계표!$A$1:$K$65536</definedName>
    <definedName name="_K02" localSheetId="4">[4]일위대가!$732:$745=[4]일위대가!$A$732</definedName>
    <definedName name="_K02" localSheetId="5">[4]일위대가!$732:$745=[4]일위대가!$A$732</definedName>
    <definedName name="_K02">[5]일위대가!$732:$745=[5]일위대가!$A$732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fkf" localSheetId="0" hidden="1">#REF!</definedName>
    <definedName name="_kfkf" hidden="1">#REF!</definedName>
    <definedName name="_O03" localSheetId="4">[4]일위대가!$1516:$1529=[4]일위대가!$A$1516</definedName>
    <definedName name="_O03" localSheetId="5">[4]일위대가!$1516:$1529=[4]일위대가!$A$1516</definedName>
    <definedName name="_O03">[5]일위대가!$1516:$1529=[5]일위대가!$A$1516</definedName>
    <definedName name="_Order1" hidden="1">255</definedName>
    <definedName name="_Order2" hidden="1">255</definedName>
    <definedName name="_P3" localSheetId="0" hidden="1">{#N/A,#N/A,FALSE,"배수1"}</definedName>
    <definedName name="_P3" hidden="1">{#N/A,#N/A,FALSE,"배수1"}</definedName>
    <definedName name="_P4" localSheetId="0" hidden="1">{#N/A,#N/A,FALSE,"혼합골재"}</definedName>
    <definedName name="_P4" hidden="1">{#N/A,#N/A,FALSE,"혼합골재"}</definedName>
    <definedName name="_P5" localSheetId="0" hidden="1">{#N/A,#N/A,FALSE,"배수1"}</definedName>
    <definedName name="_P5" hidden="1">{#N/A,#N/A,FALSE,"배수1"}</definedName>
    <definedName name="_P6" localSheetId="0" hidden="1">{#N/A,#N/A,FALSE,"2~8번"}</definedName>
    <definedName name="_P6" hidden="1">{#N/A,#N/A,FALSE,"2~8번"}</definedName>
    <definedName name="_QTY1">[10]SHEET2!$F$3:$F$101</definedName>
    <definedName name="_RAN5" localSheetId="4">[11]토목품셈!$D$1:$AI$146</definedName>
    <definedName name="_RAN5" localSheetId="5">[11]토목품셈!$D$1:$AI$146</definedName>
    <definedName name="_RAN5">[12]토목품셈!$D$1:$AI$146</definedName>
    <definedName name="_RAN6" localSheetId="4">[11]토목품셈!$BO$1:$BZ$25</definedName>
    <definedName name="_RAN6" localSheetId="5">[11]토목품셈!$BO$1:$BZ$25</definedName>
    <definedName name="_RAN6">[12]토목품셈!$BO$1:$BZ$25</definedName>
    <definedName name="_RAN7" localSheetId="4">[11]토목품셈!$CB$1:$CJ$24</definedName>
    <definedName name="_RAN7" localSheetId="5">[11]토목품셈!$CB$1:$CJ$24</definedName>
    <definedName name="_RAN7">[12]토목품셈!$CB$1:$CJ$24</definedName>
    <definedName name="_Regression_Int" hidden="1">1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3" localSheetId="0" hidden="1">{#N/A,#N/A,FALSE,"포장2"}</definedName>
    <definedName name="_S3" hidden="1">{#N/A,#N/A,FALSE,"포장2"}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woogi" localSheetId="0" hidden="1">#REF!</definedName>
    <definedName name="_woogi" hidden="1">#REF!</definedName>
    <definedName name="_woogi2" localSheetId="0" hidden="1">#REF!</definedName>
    <definedName name="_woogi2" hidden="1">#REF!</definedName>
    <definedName name="_woogi24" localSheetId="0" hidden="1">#REF!</definedName>
    <definedName name="_woogi24" hidden="1">#REF!</definedName>
    <definedName name="_woogi3" localSheetId="0" hidden="1">#REF!</definedName>
    <definedName name="_woogi3" hidden="1">#REF!</definedName>
    <definedName name="_재ㅐ햐" localSheetId="0" hidden="1">#REF!</definedName>
    <definedName name="_재ㅐ햐" hidden="1">#REF!</definedName>
    <definedName name="aaaaaa" localSheetId="0" hidden="1">{#N/A,#N/A,FALSE,"속도"}</definedName>
    <definedName name="aaaaaa" hidden="1">{#N/A,#N/A,FALSE,"속도"}</definedName>
    <definedName name="AAAAAAAA" localSheetId="4" hidden="1">{"'도면'!$G$62:$H$63","'도면'!$G$62:$H$63"}</definedName>
    <definedName name="AAAAAAAA" localSheetId="5" hidden="1">{"'도면'!$G$62:$H$63","'도면'!$G$62:$H$63"}</definedName>
    <definedName name="AAAAAAAA" hidden="1">{"'도면'!$G$62:$H$63","'도면'!$G$62:$H$63"}</definedName>
    <definedName name="AAAAAQQQ" localSheetId="4" hidden="1">{"'도면'!$G$62:$H$63","'도면'!$G$62:$H$63"}</definedName>
    <definedName name="AAAAAQQQ" localSheetId="5" hidden="1">{"'도면'!$G$62:$H$63","'도면'!$G$62:$H$63"}</definedName>
    <definedName name="AAAAAQQQ" hidden="1">{"'도면'!$G$62:$H$63","'도면'!$G$62:$H$63"}</definedName>
    <definedName name="AAAAAQQQ_1" localSheetId="4" hidden="1">{"'도면'!$G$62:$H$63","'도면'!$G$62:$H$63"}</definedName>
    <definedName name="AAAAAQQQ_1" localSheetId="5" hidden="1">{"'도면'!$G$62:$H$63","'도면'!$G$62:$H$63"}</definedName>
    <definedName name="AAAAAQQQ_1" hidden="1">{"'도면'!$G$62:$H$63","'도면'!$G$62:$H$63"}</definedName>
    <definedName name="ABCD" localSheetId="4">[13]CABdata!$E$22:$F$46</definedName>
    <definedName name="ABCD" localSheetId="5">[13]CABdata!$E$22:$F$46</definedName>
    <definedName name="ABCD">[14]CABdata!$E$22:$F$46</definedName>
    <definedName name="AccessDatabase" hidden="1">"D:\공무jaje\98년품의-수불\98146.mdb"</definedName>
    <definedName name="adfvvv" localSheetId="4" hidden="1">{"'Firr(선)'!$AS$1:$AY$62","'Firr(사)'!$AS$1:$AY$62","'Firr(회)'!$AS$1:$AY$62","'Firr(선)'!$L$1:$V$62","'Firr(사)'!$L$1:$V$62","'Firr(회)'!$L$1:$V$62"}</definedName>
    <definedName name="adfvvv" localSheetId="5" hidden="1">{"'Firr(선)'!$AS$1:$AY$62","'Firr(사)'!$AS$1:$AY$62","'Firr(회)'!$AS$1:$AY$62","'Firr(선)'!$L$1:$V$62","'Firr(사)'!$L$1:$V$62","'Firr(회)'!$L$1:$V$62"}</definedName>
    <definedName name="adfvvv" hidden="1">{"'Firr(선)'!$AS$1:$AY$62","'Firr(사)'!$AS$1:$AY$62","'Firr(회)'!$AS$1:$AY$62","'Firr(선)'!$L$1:$V$62","'Firr(사)'!$L$1:$V$62","'Firr(회)'!$L$1:$V$62"}</definedName>
    <definedName name="adfvvv_1" localSheetId="4" hidden="1">{"'Firr(선)'!$AS$1:$AY$62","'Firr(사)'!$AS$1:$AY$62","'Firr(회)'!$AS$1:$AY$62","'Firr(선)'!$L$1:$V$62","'Firr(사)'!$L$1:$V$62","'Firr(회)'!$L$1:$V$62"}</definedName>
    <definedName name="adfvvv_1" localSheetId="5" hidden="1">{"'Firr(선)'!$AS$1:$AY$62","'Firr(사)'!$AS$1:$AY$62","'Firr(회)'!$AS$1:$AY$62","'Firr(선)'!$L$1:$V$62","'Firr(사)'!$L$1:$V$62","'Firr(회)'!$L$1:$V$62"}</definedName>
    <definedName name="adfvvv_1" hidden="1">{"'Firr(선)'!$AS$1:$AY$62","'Firr(사)'!$AS$1:$AY$62","'Firr(회)'!$AS$1:$AY$62","'Firr(선)'!$L$1:$V$62","'Firr(사)'!$L$1:$V$62","'Firr(회)'!$L$1:$V$62"}</definedName>
    <definedName name="anscount" hidden="1">1</definedName>
    <definedName name="AS2DocOpenMode" hidden="1">"AS2DocumentBrowse"</definedName>
    <definedName name="ASF" localSheetId="0" hidden="1">{#N/A,#N/A,FALSE,"2~8번"}</definedName>
    <definedName name="ASF" hidden="1">{#N/A,#N/A,FALSE,"2~8번"}</definedName>
    <definedName name="asfwe" localSheetId="4" hidden="1">{"'Firr(선)'!$AS$1:$AY$62","'Firr(사)'!$AS$1:$AY$62","'Firr(회)'!$AS$1:$AY$62","'Firr(선)'!$L$1:$V$62","'Firr(사)'!$L$1:$V$62","'Firr(회)'!$L$1:$V$62"}</definedName>
    <definedName name="asfwe" localSheetId="5" hidden="1">{"'Firr(선)'!$AS$1:$AY$62","'Firr(사)'!$AS$1:$AY$62","'Firr(회)'!$AS$1:$AY$62","'Firr(선)'!$L$1:$V$62","'Firr(사)'!$L$1:$V$62","'Firr(회)'!$L$1:$V$62"}</definedName>
    <definedName name="asfwe" hidden="1">{"'Firr(선)'!$AS$1:$AY$62","'Firr(사)'!$AS$1:$AY$62","'Firr(회)'!$AS$1:$AY$62","'Firr(선)'!$L$1:$V$62","'Firr(사)'!$L$1:$V$62","'Firr(회)'!$L$1:$V$62"}</definedName>
    <definedName name="asfwe_1" localSheetId="4" hidden="1">{"'Firr(선)'!$AS$1:$AY$62","'Firr(사)'!$AS$1:$AY$62","'Firr(회)'!$AS$1:$AY$62","'Firr(선)'!$L$1:$V$62","'Firr(사)'!$L$1:$V$62","'Firr(회)'!$L$1:$V$62"}</definedName>
    <definedName name="asfwe_1" localSheetId="5" hidden="1">{"'Firr(선)'!$AS$1:$AY$62","'Firr(사)'!$AS$1:$AY$62","'Firr(회)'!$AS$1:$AY$62","'Firr(선)'!$L$1:$V$62","'Firr(사)'!$L$1:$V$62","'Firr(회)'!$L$1:$V$62"}</definedName>
    <definedName name="asfwe_1" hidden="1">{"'Firr(선)'!$AS$1:$AY$62","'Firr(사)'!$AS$1:$AY$62","'Firr(회)'!$AS$1:$AY$62","'Firr(선)'!$L$1:$V$62","'Firr(사)'!$L$1:$V$62","'Firr(회)'!$L$1:$V$62"}</definedName>
    <definedName name="awer" localSheetId="4" hidden="1">{"'Firr(선)'!$AS$1:$AY$62","'Firr(사)'!$AS$1:$AY$62","'Firr(회)'!$AS$1:$AY$62","'Firr(선)'!$L$1:$V$62","'Firr(사)'!$L$1:$V$62","'Firr(회)'!$L$1:$V$62"}</definedName>
    <definedName name="awer" localSheetId="5" hidden="1">{"'Firr(선)'!$AS$1:$AY$62","'Firr(사)'!$AS$1:$AY$62","'Firr(회)'!$AS$1:$AY$62","'Firr(선)'!$L$1:$V$62","'Firr(사)'!$L$1:$V$62","'Firr(회)'!$L$1:$V$62"}</definedName>
    <definedName name="awer" hidden="1">{"'Firr(선)'!$AS$1:$AY$62","'Firr(사)'!$AS$1:$AY$62","'Firr(회)'!$AS$1:$AY$62","'Firr(선)'!$L$1:$V$62","'Firr(사)'!$L$1:$V$62","'Firr(회)'!$L$1:$V$62"}</definedName>
    <definedName name="awer_1" localSheetId="4" hidden="1">{"'Firr(선)'!$AS$1:$AY$62","'Firr(사)'!$AS$1:$AY$62","'Firr(회)'!$AS$1:$AY$62","'Firr(선)'!$L$1:$V$62","'Firr(사)'!$L$1:$V$62","'Firr(회)'!$L$1:$V$62"}</definedName>
    <definedName name="awer_1" localSheetId="5" hidden="1">{"'Firr(선)'!$AS$1:$AY$62","'Firr(사)'!$AS$1:$AY$62","'Firr(회)'!$AS$1:$AY$62","'Firr(선)'!$L$1:$V$62","'Firr(사)'!$L$1:$V$62","'Firr(회)'!$L$1:$V$62"}</definedName>
    <definedName name="awer_1" hidden="1">{"'Firr(선)'!$AS$1:$AY$62","'Firr(사)'!$AS$1:$AY$62","'Firr(회)'!$AS$1:$AY$62","'Firr(선)'!$L$1:$V$62","'Firr(사)'!$L$1:$V$62","'Firr(회)'!$L$1:$V$62"}</definedName>
    <definedName name="A노임단가" localSheetId="4">'[15]노무비(DB)'!$A$1:$D$208</definedName>
    <definedName name="A노임단가" localSheetId="5">'[15]노무비(DB)'!$A$1:$D$208</definedName>
    <definedName name="A노임단가">'[16]노무비(DB)'!$A$1:$D$208</definedName>
    <definedName name="BBBBB" localSheetId="4" hidden="1">{"'도면'!$G$62:$H$63","'도면'!$G$62:$H$63"}</definedName>
    <definedName name="BBBBB" localSheetId="5" hidden="1">{"'도면'!$G$62:$H$63","'도면'!$G$62:$H$63"}</definedName>
    <definedName name="BBBBB" hidden="1">{"'도면'!$G$62:$H$63","'도면'!$G$62:$H$63"}</definedName>
    <definedName name="BBBBB_1" localSheetId="4" hidden="1">{"'도면'!$G$62:$H$63","'도면'!$G$62:$H$63"}</definedName>
    <definedName name="BBBBB_1" localSheetId="5" hidden="1">{"'도면'!$G$62:$H$63","'도면'!$G$62:$H$63"}</definedName>
    <definedName name="BBBBB_1" hidden="1">{"'도면'!$G$62:$H$63","'도면'!$G$62:$H$63"}</definedName>
    <definedName name="bdfgdgr" localSheetId="4">[17]!Macro8</definedName>
    <definedName name="bdfgdgr">[17]!Macro8</definedName>
    <definedName name="BLDG">[18]LEGEND!$D$8</definedName>
    <definedName name="CABDIA" localSheetId="4">[13]MOTOR!$A$86:$B$408</definedName>
    <definedName name="CABDIA" localSheetId="5">[13]MOTOR!$A$86:$B$408</definedName>
    <definedName name="CABDIA">[14]MOTOR!$A$86:$B$408</definedName>
    <definedName name="CABLEA" localSheetId="4">[13]MOTOR!$B$66:$C$82</definedName>
    <definedName name="CABLEA" localSheetId="5">[13]MOTOR!$B$66:$C$82</definedName>
    <definedName name="CABLEA">[14]MOTOR!$B$66:$C$82</definedName>
    <definedName name="CABLEB" localSheetId="4">[13]MOTOR!$D$66:$E$82</definedName>
    <definedName name="CABLEB" localSheetId="5">[13]MOTOR!$D$66:$E$82</definedName>
    <definedName name="CABLEB">[14]MOTOR!$D$66:$E$82</definedName>
    <definedName name="CABLED" localSheetId="4">[13]MOTOR!$F$66:$G$82</definedName>
    <definedName name="CABLED" localSheetId="5">[13]MOTOR!$F$66:$G$82</definedName>
    <definedName name="CABLED">[14]MOTOR!$F$66:$G$82</definedName>
    <definedName name="CABLEE" localSheetId="4">[13]MOTOR!$H$66:$I$82</definedName>
    <definedName name="CABLEE" localSheetId="5">[13]MOTOR!$H$66:$I$82</definedName>
    <definedName name="CABLEE">[14]MOTOR!$H$66:$I$82</definedName>
    <definedName name="CAB허용" localSheetId="4">[13]MOTOR!$J$66:$N$81</definedName>
    <definedName name="CAB허용" localSheetId="5">[13]MOTOR!$J$66:$N$81</definedName>
    <definedName name="CAB허용">[14]MOTOR!$J$66:$N$81</definedName>
    <definedName name="CC" localSheetId="4" hidden="1">{"'도면'!$G$62:$H$63","'도면'!$G$62:$H$63"}</definedName>
    <definedName name="CC" localSheetId="5" hidden="1">{"'도면'!$G$62:$H$63","'도면'!$G$62:$H$63"}</definedName>
    <definedName name="CC" hidden="1">{"'도면'!$G$62:$H$63","'도면'!$G$62:$H$63"}</definedName>
    <definedName name="CC_1" localSheetId="4" hidden="1">{"'도면'!$G$62:$H$63","'도면'!$G$62:$H$63"}</definedName>
    <definedName name="CC_1" localSheetId="5" hidden="1">{"'도면'!$G$62:$H$63","'도면'!$G$62:$H$63"}</definedName>
    <definedName name="CC_1" hidden="1">{"'도면'!$G$62:$H$63","'도면'!$G$62:$H$63"}</definedName>
    <definedName name="CCCC" localSheetId="4" hidden="1">{"'도면'!$G$62:$H$63","'도면'!$G$62:$H$63"}</definedName>
    <definedName name="CCCC" localSheetId="5" hidden="1">{"'도면'!$G$62:$H$63","'도면'!$G$62:$H$63"}</definedName>
    <definedName name="CCCC" hidden="1">{"'도면'!$G$62:$H$63","'도면'!$G$62:$H$63"}</definedName>
    <definedName name="cds" localSheetId="4">가배관내역서!cds</definedName>
    <definedName name="cds" localSheetId="5">목록!cds</definedName>
    <definedName name="cds">[0]!cds</definedName>
    <definedName name="cds가로등" localSheetId="4">가배관내역서!cds가로등</definedName>
    <definedName name="cds가로등" localSheetId="5">목록!cds가로등</definedName>
    <definedName name="cds가로등">[0]!cds가로등</definedName>
    <definedName name="CIRCUIT">[19]Sheet1!$C$4:$D$10</definedName>
    <definedName name="CLIENT">[18]LEGEND!$D$6</definedName>
    <definedName name="cnltn" localSheetId="4" hidden="1">{"'신흥취수펌프 검토'!$M$2","'신흥취수펌프 검토'!$A$1:$AE$87"}</definedName>
    <definedName name="cnltn" localSheetId="5" hidden="1">{"'신흥취수펌프 검토'!$M$2","'신흥취수펌프 검토'!$A$1:$AE$87"}</definedName>
    <definedName name="cnltn" hidden="1">{"'신흥취수펌프 검토'!$M$2","'신흥취수펌프 검토'!$A$1:$AE$87"}</definedName>
    <definedName name="cnltn_1" localSheetId="4" hidden="1">{"'신흥취수펌프 검토'!$M$2","'신흥취수펌프 검토'!$A$1:$AE$87"}</definedName>
    <definedName name="cnltn_1" localSheetId="5" hidden="1">{"'신흥취수펌프 검토'!$M$2","'신흥취수펌프 검토'!$A$1:$AE$87"}</definedName>
    <definedName name="cnltn_1" hidden="1">{"'신흥취수펌프 검토'!$M$2","'신흥취수펌프 검토'!$A$1:$AE$87"}</definedName>
    <definedName name="CTC">[20]DATA!$H$30:$I$57</definedName>
    <definedName name="cxee" localSheetId="4" hidden="1">{"'Firr(선)'!$AS$1:$AY$62","'Firr(사)'!$AS$1:$AY$62","'Firr(회)'!$AS$1:$AY$62","'Firr(선)'!$L$1:$V$62","'Firr(사)'!$L$1:$V$62","'Firr(회)'!$L$1:$V$62"}</definedName>
    <definedName name="cxee" localSheetId="5" hidden="1">{"'Firr(선)'!$AS$1:$AY$62","'Firr(사)'!$AS$1:$AY$62","'Firr(회)'!$AS$1:$AY$62","'Firr(선)'!$L$1:$V$62","'Firr(사)'!$L$1:$V$62","'Firr(회)'!$L$1:$V$62"}</definedName>
    <definedName name="cxee" hidden="1">{"'Firr(선)'!$AS$1:$AY$62","'Firr(사)'!$AS$1:$AY$62","'Firr(회)'!$AS$1:$AY$62","'Firr(선)'!$L$1:$V$62","'Firr(사)'!$L$1:$V$62","'Firr(회)'!$L$1:$V$62"}</definedName>
    <definedName name="cxee_1" localSheetId="4" hidden="1">{"'Firr(선)'!$AS$1:$AY$62","'Firr(사)'!$AS$1:$AY$62","'Firr(회)'!$AS$1:$AY$62","'Firr(선)'!$L$1:$V$62","'Firr(사)'!$L$1:$V$62","'Firr(회)'!$L$1:$V$62"}</definedName>
    <definedName name="cxee_1" localSheetId="5" hidden="1">{"'Firr(선)'!$AS$1:$AY$62","'Firr(사)'!$AS$1:$AY$62","'Firr(회)'!$AS$1:$AY$62","'Firr(선)'!$L$1:$V$62","'Firr(사)'!$L$1:$V$62","'Firr(회)'!$L$1:$V$62"}</definedName>
    <definedName name="cxee_1" hidden="1">{"'Firr(선)'!$AS$1:$AY$62","'Firr(사)'!$AS$1:$AY$62","'Firr(회)'!$AS$1:$AY$62","'Firr(선)'!$L$1:$V$62","'Firr(사)'!$L$1:$V$62","'Firr(회)'!$L$1:$V$62"}</definedName>
    <definedName name="DANGA_">'[21]Y-WORK'!$D$19:$D$19,'[21]Y-WORK'!$F$19:$BD$19</definedName>
    <definedName name="DAT" localSheetId="4">[22]MCC제원!$A$5:$AG$80</definedName>
    <definedName name="DAT" localSheetId="5">[22]MCC제원!$A$5:$AG$80</definedName>
    <definedName name="DAT">[23]MCC제원!$A$5:$AG$80</definedName>
    <definedName name="dataww" localSheetId="0" hidden="1">#REF!</definedName>
    <definedName name="dataww" hidden="1">#REF!</definedName>
    <definedName name="DBGUDTLR" localSheetId="4" hidden="1">{"'PC현황'!$A$1:$Z$29"}</definedName>
    <definedName name="DBGUDTLR" localSheetId="5" hidden="1">{"'PC현황'!$A$1:$Z$29"}</definedName>
    <definedName name="DBGUDTLR" hidden="1">{"'PC현황'!$A$1:$Z$29"}</definedName>
    <definedName name="DB형식" localSheetId="4" hidden="1">{"'PC현황'!$A$1:$Z$29"}</definedName>
    <definedName name="DB형식" localSheetId="5" hidden="1">{"'PC현황'!$A$1:$Z$29"}</definedName>
    <definedName name="DB형식" hidden="1">{"'PC현황'!$A$1:$Z$29"}</definedName>
    <definedName name="DDDD" localSheetId="4" hidden="1">{"'도면'!$G$62:$H$63","'도면'!$G$62:$H$63"}</definedName>
    <definedName name="DDDD" localSheetId="5" hidden="1">{"'도면'!$G$62:$H$63","'도면'!$G$62:$H$63"}</definedName>
    <definedName name="DDDD" hidden="1">{"'도면'!$G$62:$H$63","'도면'!$G$62:$H$63"}</definedName>
    <definedName name="ddddd" localSheetId="0" hidden="1">#REF!</definedName>
    <definedName name="ddddd" hidden="1">#REF!</definedName>
    <definedName name="DDDDD_1" localSheetId="4" hidden="1">{"'도면'!$G$62:$H$63","'도면'!$G$62:$H$63"}</definedName>
    <definedName name="DDDDD_1" localSheetId="5" hidden="1">{"'도면'!$G$62:$H$63","'도면'!$G$62:$H$63"}</definedName>
    <definedName name="DDDDD_1" hidden="1">{"'도면'!$G$62:$H$63","'도면'!$G$62:$H$63"}</definedName>
    <definedName name="dddddd" localSheetId="0" hidden="1">{#N/A,#N/A,FALSE,"이정표"}</definedName>
    <definedName name="dddddd" hidden="1">{#N/A,#N/A,FALSE,"이정표"}</definedName>
    <definedName name="ddd가로등" localSheetId="4">가배관내역서!ddd가로등</definedName>
    <definedName name="ddd가로등" localSheetId="5">목록!ddd가로등</definedName>
    <definedName name="ddd가로등">[0]!ddd가로등</definedName>
    <definedName name="derwr" localSheetId="4" hidden="1">{"'Firr(선)'!$AS$1:$AY$62","'Firr(사)'!$AS$1:$AY$62","'Firr(회)'!$AS$1:$AY$62","'Firr(선)'!$L$1:$V$62","'Firr(사)'!$L$1:$V$62","'Firr(회)'!$L$1:$V$62"}</definedName>
    <definedName name="derwr" localSheetId="5" hidden="1">{"'Firr(선)'!$AS$1:$AY$62","'Firr(사)'!$AS$1:$AY$62","'Firr(회)'!$AS$1:$AY$62","'Firr(선)'!$L$1:$V$62","'Firr(사)'!$L$1:$V$62","'Firr(회)'!$L$1:$V$62"}</definedName>
    <definedName name="derwr" hidden="1">{"'Firr(선)'!$AS$1:$AY$62","'Firr(사)'!$AS$1:$AY$62","'Firr(회)'!$AS$1:$AY$62","'Firr(선)'!$L$1:$V$62","'Firr(사)'!$L$1:$V$62","'Firr(회)'!$L$1:$V$62"}</definedName>
    <definedName name="derwr_1" localSheetId="4" hidden="1">{"'Firr(선)'!$AS$1:$AY$62","'Firr(사)'!$AS$1:$AY$62","'Firr(회)'!$AS$1:$AY$62","'Firr(선)'!$L$1:$V$62","'Firr(사)'!$L$1:$V$62","'Firr(회)'!$L$1:$V$62"}</definedName>
    <definedName name="derwr_1" localSheetId="5" hidden="1">{"'Firr(선)'!$AS$1:$AY$62","'Firr(사)'!$AS$1:$AY$62","'Firr(회)'!$AS$1:$AY$62","'Firr(선)'!$L$1:$V$62","'Firr(사)'!$L$1:$V$62","'Firr(회)'!$L$1:$V$62"}</definedName>
    <definedName name="derwr_1" hidden="1">{"'Firr(선)'!$AS$1:$AY$62","'Firr(사)'!$AS$1:$AY$62","'Firr(회)'!$AS$1:$AY$62","'Firr(선)'!$L$1:$V$62","'Firr(사)'!$L$1:$V$62","'Firr(회)'!$L$1:$V$62"}</definedName>
    <definedName name="DFASFD" localSheetId="0" hidden="1">{#N/A,#N/A,FALSE,"골재소요량";#N/A,#N/A,FALSE,"골재소요량"}</definedName>
    <definedName name="DFASFD" hidden="1">{#N/A,#N/A,FALSE,"골재소요량";#N/A,#N/A,FALSE,"골재소요량"}</definedName>
    <definedName name="DFDASFGDASG" localSheetId="0" hidden="1">{#N/A,#N/A,FALSE,"단가표지"}</definedName>
    <definedName name="DFDASFGDASG" hidden="1">{#N/A,#N/A,FALSE,"단가표지"}</definedName>
    <definedName name="DFDF" localSheetId="0" hidden="1">{#N/A,#N/A,FALSE,"조골재"}</definedName>
    <definedName name="DFDF" hidden="1">{#N/A,#N/A,FALSE,"조골재"}</definedName>
    <definedName name="DFDFDF" localSheetId="0" hidden="1">{#N/A,#N/A,FALSE,"단가표지"}</definedName>
    <definedName name="DFDFDF" hidden="1">{#N/A,#N/A,FALSE,"단가표지"}</definedName>
    <definedName name="DFDSADFADSF" localSheetId="0" hidden="1">{#N/A,#N/A,FALSE,"2~8번"}</definedName>
    <definedName name="DFDSADFADSF" hidden="1">{#N/A,#N/A,FALSE,"2~8번"}</definedName>
    <definedName name="DFDSAFDFD" localSheetId="0" hidden="1">{#N/A,#N/A,FALSE,"부대1"}</definedName>
    <definedName name="DFDSAFDFD" hidden="1">{#N/A,#N/A,FALSE,"부대1"}</definedName>
    <definedName name="DFDSAFSFG" localSheetId="0" hidden="1">{#N/A,#N/A,FALSE,"구조2"}</definedName>
    <definedName name="DFDSAFSFG" hidden="1">{#N/A,#N/A,FALSE,"구조2"}</definedName>
    <definedName name="DFDSAGFDSAG" localSheetId="0" hidden="1">{#N/A,#N/A,FALSE,"혼합골재"}</definedName>
    <definedName name="DFDSAGFDSAG" hidden="1">{#N/A,#N/A,FALSE,"혼합골재"}</definedName>
    <definedName name="DFDSFD" localSheetId="0" hidden="1">{#N/A,#N/A,FALSE,"속도"}</definedName>
    <definedName name="DFDSFD" hidden="1">{#N/A,#N/A,FALSE,"속도"}</definedName>
    <definedName name="DFDSFDFDFD" localSheetId="0" hidden="1">{#N/A,#N/A,FALSE,"구조1"}</definedName>
    <definedName name="DFDSFDFDFD" hidden="1">{#N/A,#N/A,FALSE,"구조1"}</definedName>
    <definedName name="DFDSFDS" localSheetId="0" hidden="1">{#N/A,#N/A,FALSE,"부대2"}</definedName>
    <definedName name="DFDSFDS" hidden="1">{#N/A,#N/A,FALSE,"부대2"}</definedName>
    <definedName name="DFDSSF" localSheetId="0" hidden="1">{#N/A,#N/A,FALSE,"이정표"}</definedName>
    <definedName name="DFDSSF" hidden="1">{#N/A,#N/A,FALSE,"이정표"}</definedName>
    <definedName name="dfffffs" localSheetId="4">가배관내역서!dfffffs</definedName>
    <definedName name="dfffffs" localSheetId="5">목록!dfffffs</definedName>
    <definedName name="dfffffs">[0]!dfffffs</definedName>
    <definedName name="dffffs가로등" localSheetId="4">가배관내역서!dffffs가로등</definedName>
    <definedName name="dffffs가로등" localSheetId="5">목록!dffffs가로등</definedName>
    <definedName name="dffffs가로등">[0]!dffffs가로등</definedName>
    <definedName name="dfg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localSheetId="0" hidden="1">{#N/A,#N/A,FALSE,"운반시간"}</definedName>
    <definedName name="DFGADSGAFDG" hidden="1">{#N/A,#N/A,FALSE,"운반시간"}</definedName>
    <definedName name="dfggh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가로등" localSheetId="4">가배관내역서!dfs가로등</definedName>
    <definedName name="dfs가로등" localSheetId="5">목록!dfs가로등</definedName>
    <definedName name="dfs가로등">[0]!dfs가로등</definedName>
    <definedName name="dfwer" localSheetId="4" hidden="1">{"'Firr(선)'!$AS$1:$AY$62","'Firr(사)'!$AS$1:$AY$62","'Firr(회)'!$AS$1:$AY$62","'Firr(선)'!$L$1:$V$62","'Firr(사)'!$L$1:$V$62","'Firr(회)'!$L$1:$V$62"}</definedName>
    <definedName name="dfwer" localSheetId="5" hidden="1">{"'Firr(선)'!$AS$1:$AY$62","'Firr(사)'!$AS$1:$AY$62","'Firr(회)'!$AS$1:$AY$62","'Firr(선)'!$L$1:$V$62","'Firr(사)'!$L$1:$V$62","'Firr(회)'!$L$1:$V$62"}</definedName>
    <definedName name="dfwer" hidden="1">{"'Firr(선)'!$AS$1:$AY$62","'Firr(사)'!$AS$1:$AY$62","'Firr(회)'!$AS$1:$AY$62","'Firr(선)'!$L$1:$V$62","'Firr(사)'!$L$1:$V$62","'Firr(회)'!$L$1:$V$62"}</definedName>
    <definedName name="dfwer_1" localSheetId="4" hidden="1">{"'Firr(선)'!$AS$1:$AY$62","'Firr(사)'!$AS$1:$AY$62","'Firr(회)'!$AS$1:$AY$62","'Firr(선)'!$L$1:$V$62","'Firr(사)'!$L$1:$V$62","'Firr(회)'!$L$1:$V$62"}</definedName>
    <definedName name="dfwer_1" localSheetId="5" hidden="1">{"'Firr(선)'!$AS$1:$AY$62","'Firr(사)'!$AS$1:$AY$62","'Firr(회)'!$AS$1:$AY$62","'Firr(선)'!$L$1:$V$62","'Firr(사)'!$L$1:$V$62","'Firr(회)'!$L$1:$V$62"}</definedName>
    <definedName name="dfwer_1" hidden="1">{"'Firr(선)'!$AS$1:$AY$62","'Firr(사)'!$AS$1:$AY$62","'Firr(회)'!$AS$1:$AY$62","'Firr(선)'!$L$1:$V$62","'Firr(사)'!$L$1:$V$62","'Firr(회)'!$L$1:$V$62"}</definedName>
    <definedName name="df가로등" localSheetId="4">가배관내역서!df가로등</definedName>
    <definedName name="df가로등" localSheetId="5">목록!df가로등</definedName>
    <definedName name="df가로등">[0]!df가로등</definedName>
    <definedName name="DG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DFFG" localSheetId="4" hidden="1">{"'도면'!$G$62:$H$63","'도면'!$G$62:$H$63"}</definedName>
    <definedName name="DGDFFG" localSheetId="5" hidden="1">{"'도면'!$G$62:$H$63","'도면'!$G$62:$H$63"}</definedName>
    <definedName name="DGDFFG" hidden="1">{"'도면'!$G$62:$H$63","'도면'!$G$62:$H$63"}</definedName>
    <definedName name="DGDFFG_1" localSheetId="4" hidden="1">{"'도면'!$G$62:$H$63","'도면'!$G$62:$H$63"}</definedName>
    <definedName name="DGDFFG_1" localSheetId="5" hidden="1">{"'도면'!$G$62:$H$63","'도면'!$G$62:$H$63"}</definedName>
    <definedName name="DGDFFG_1" hidden="1">{"'도면'!$G$62:$H$63","'도면'!$G$62:$H$63"}</definedName>
    <definedName name="DGDFGFGDG" localSheetId="0" hidden="1">{#N/A,#N/A,FALSE,"배수1"}</definedName>
    <definedName name="DGDFGFGDG" hidden="1">{#N/A,#N/A,FALSE,"배수1"}</definedName>
    <definedName name="DGo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S" localSheetId="4">[24]data!$S$4:$T$32</definedName>
    <definedName name="DGS" localSheetId="5">[24]data!$S$4:$T$32</definedName>
    <definedName name="DGS">[25]data!$S$4:$T$32</definedName>
    <definedName name="dj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dkd" localSheetId="4" hidden="1">{"'신흥취수펌프 검토'!$M$2","'신흥취수펌프 검토'!$A$1:$AE$87"}</definedName>
    <definedName name="dkdkd" localSheetId="5" hidden="1">{"'신흥취수펌프 검토'!$M$2","'신흥취수펌프 검토'!$A$1:$AE$87"}</definedName>
    <definedName name="dkdkd" hidden="1">{"'신흥취수펌프 검토'!$M$2","'신흥취수펌프 검토'!$A$1:$AE$87"}</definedName>
    <definedName name="dkdkd_1" localSheetId="4" hidden="1">{"'신흥취수펌프 검토'!$M$2","'신흥취수펌프 검토'!$A$1:$AE$87"}</definedName>
    <definedName name="dkdkd_1" localSheetId="5" hidden="1">{"'신흥취수펌프 검토'!$M$2","'신흥취수펌프 검토'!$A$1:$AE$87"}</definedName>
    <definedName name="dkdkd_1" hidden="1">{"'신흥취수펌프 검토'!$M$2","'신흥취수펌프 검토'!$A$1:$AE$87"}</definedName>
    <definedName name="DSA" localSheetId="0" hidden="1">{#N/A,#N/A,FALSE,"포장1";#N/A,#N/A,FALSE,"포장1"}</definedName>
    <definedName name="DSA" hidden="1">{#N/A,#N/A,FALSE,"포장1";#N/A,#N/A,FALSE,"포장1"}</definedName>
    <definedName name="dsaf" localSheetId="0" hidden="1">{#N/A,#N/A,FALSE,"조골재"}</definedName>
    <definedName name="dsaf" hidden="1">{#N/A,#N/A,FALSE,"조골재"}</definedName>
    <definedName name="DSF" localSheetId="0" hidden="1">{#N/A,#N/A,FALSE,"골재소요량";#N/A,#N/A,FALSE,"골재소요량"}</definedName>
    <definedName name="DSF" hidden="1">{#N/A,#N/A,FALSE,"골재소요량";#N/A,#N/A,FALSE,"골재소요량"}</definedName>
    <definedName name="dtrhgnb" localSheetId="0" hidden="1">{#N/A,#N/A,FALSE,"2~8번"}</definedName>
    <definedName name="dtrhgnb" hidden="1">{#N/A,#N/A,FALSE,"2~8번"}</definedName>
    <definedName name="DW" localSheetId="0" hidden="1">{#N/A,#N/A,FALSE,"배수2"}</definedName>
    <definedName name="DW" hidden="1">{#N/A,#N/A,FALSE,"배수2"}</definedName>
    <definedName name="ee" localSheetId="0" hidden="1">{#N/A,#N/A,FALSE,"단가표지"}</definedName>
    <definedName name="ee" hidden="1">{#N/A,#N/A,FALSE,"단가표지"}</definedName>
    <definedName name="EEEEE" localSheetId="4" hidden="1">{"'도면'!$G$62:$H$63","'도면'!$G$62:$H$63"}</definedName>
    <definedName name="EEEEE" localSheetId="5" hidden="1">{"'도면'!$G$62:$H$63","'도면'!$G$62:$H$63"}</definedName>
    <definedName name="EEEEE" hidden="1">{"'도면'!$G$62:$H$63","'도면'!$G$62:$H$63"}</definedName>
    <definedName name="EJ">[26]소비자가!$I$46:$J$1593</definedName>
    <definedName name="EssAliasTable">"Default"</definedName>
    <definedName name="EssOptions">"A1100000000130001000001100000_0000"</definedName>
    <definedName name="ewq" localSheetId="4" hidden="1">{"'Firr(선)'!$AS$1:$AY$62","'Firr(사)'!$AS$1:$AY$62","'Firr(회)'!$AS$1:$AY$62","'Firr(선)'!$L$1:$V$62","'Firr(사)'!$L$1:$V$62","'Firr(회)'!$L$1:$V$62"}</definedName>
    <definedName name="ewq" localSheetId="5" hidden="1">{"'Firr(선)'!$AS$1:$AY$62","'Firr(사)'!$AS$1:$AY$62","'Firr(회)'!$AS$1:$AY$62","'Firr(선)'!$L$1:$V$62","'Firr(사)'!$L$1:$V$62","'Firr(회)'!$L$1:$V$62"}</definedName>
    <definedName name="ewq" hidden="1">{"'Firr(선)'!$AS$1:$AY$62","'Firr(사)'!$AS$1:$AY$62","'Firr(회)'!$AS$1:$AY$62","'Firr(선)'!$L$1:$V$62","'Firr(사)'!$L$1:$V$62","'Firr(회)'!$L$1:$V$62"}</definedName>
    <definedName name="ewq_1" localSheetId="4" hidden="1">{"'Firr(선)'!$AS$1:$AY$62","'Firr(사)'!$AS$1:$AY$62","'Firr(회)'!$AS$1:$AY$62","'Firr(선)'!$L$1:$V$62","'Firr(사)'!$L$1:$V$62","'Firr(회)'!$L$1:$V$62"}</definedName>
    <definedName name="ewq_1" localSheetId="5" hidden="1">{"'Firr(선)'!$AS$1:$AY$62","'Firr(사)'!$AS$1:$AY$62","'Firr(회)'!$AS$1:$AY$62","'Firr(선)'!$L$1:$V$62","'Firr(사)'!$L$1:$V$62","'Firr(회)'!$L$1:$V$62"}</definedName>
    <definedName name="ewq_1" hidden="1">{"'Firr(선)'!$AS$1:$AY$62","'Firr(사)'!$AS$1:$AY$62","'Firr(회)'!$AS$1:$AY$62","'Firr(선)'!$L$1:$V$62","'Firr(사)'!$L$1:$V$62","'Firr(회)'!$L$1:$V$62"}</definedName>
    <definedName name="FD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localSheetId="0" hidden="1">{#N/A,#N/A,FALSE,"포장1";#N/A,#N/A,FALSE,"포장1"}</definedName>
    <definedName name="FDGDFAGFD" hidden="1">{#N/A,#N/A,FALSE,"포장1";#N/A,#N/A,FALSE,"포장1"}</definedName>
    <definedName name="fdgfdg" localSheetId="0" hidden="1">{#N/A,#N/A,FALSE,"2~8번"}</definedName>
    <definedName name="fdgfdg" hidden="1">{#N/A,#N/A,FALSE,"2~8번"}</definedName>
    <definedName name="fdgfgf" localSheetId="0" hidden="1">{#N/A,#N/A,FALSE,"운반시간"}</definedName>
    <definedName name="fdgfgf" hidden="1">{#N/A,#N/A,FALSE,"운반시간"}</definedName>
    <definedName name="ffffff" localSheetId="0" hidden="1">{#N/A,#N/A,FALSE,"조골재"}</definedName>
    <definedName name="ffffff" hidden="1">{#N/A,#N/A,FALSE,"조골재"}</definedName>
    <definedName name="FGDAG" localSheetId="0" hidden="1">{#N/A,#N/A,FALSE,"포장2"}</definedName>
    <definedName name="FGDAG" hidden="1">{#N/A,#N/A,FALSE,"포장2"}</definedName>
    <definedName name="FGDAGFG" localSheetId="0" hidden="1">{#N/A,#N/A,FALSE,"혼합골재"}</definedName>
    <definedName name="FGDAGFG" hidden="1">{#N/A,#N/A,FALSE,"혼합골재"}</definedName>
    <definedName name="fgfadgf" localSheetId="0" hidden="1">{#N/A,#N/A,FALSE,"혼합골재"}</definedName>
    <definedName name="fgfadgf" hidden="1">{#N/A,#N/A,FALSE,"혼합골재"}</definedName>
    <definedName name="FGFDG" localSheetId="0" hidden="1">{#N/A,#N/A,FALSE,"표지목차"}</definedName>
    <definedName name="FGFDG" hidden="1">{#N/A,#N/A,FALSE,"표지목차"}</definedName>
    <definedName name="fgfdgffff" localSheetId="0" hidden="1">{#N/A,#N/A,FALSE,"부대2"}</definedName>
    <definedName name="fgfdgffff" hidden="1">{#N/A,#N/A,FALSE,"부대2"}</definedName>
    <definedName name="fgfdsgdfg" localSheetId="0" hidden="1">{#N/A,#N/A,FALSE,"혼합골재"}</definedName>
    <definedName name="fgfdsgdfg" hidden="1">{#N/A,#N/A,FALSE,"혼합골재"}</definedName>
    <definedName name="fghfdagfd" localSheetId="0" hidden="1">{#N/A,#N/A,FALSE,"표지목차"}</definedName>
    <definedName name="fghfdagfd" hidden="1">{#N/A,#N/A,FALSE,"표지목차"}</definedName>
    <definedName name="fhddg" localSheetId="0" hidden="1">{#N/A,#N/A,FALSE,"부대1"}</definedName>
    <definedName name="fhddg" hidden="1">{#N/A,#N/A,FALSE,"부대1"}</definedName>
    <definedName name="FJKSDJF" localSheetId="4" hidden="1">{"'도면'!$G$62:$H$63","'도면'!$G$62:$H$63"}</definedName>
    <definedName name="FJKSDJF" localSheetId="5" hidden="1">{"'도면'!$G$62:$H$63","'도면'!$G$62:$H$63"}</definedName>
    <definedName name="FJKSDJF" hidden="1">{"'도면'!$G$62:$H$63","'도면'!$G$62:$H$63"}</definedName>
    <definedName name="FS" localSheetId="0" hidden="1">{#N/A,#N/A,FALSE,"배수1"}</definedName>
    <definedName name="FS" hidden="1">{#N/A,#N/A,FALSE,"배수1"}</definedName>
    <definedName name="fx" localSheetId="0" hidden="1">{#N/A,#N/A,FALSE,"조골재"}</definedName>
    <definedName name="fx" hidden="1">{#N/A,#N/A,FALSE,"조골재"}</definedName>
    <definedName name="GDG" localSheetId="0" hidden="1">{#N/A,#N/A,FALSE,"포장2"}</definedName>
    <definedName name="GDG" hidden="1">{#N/A,#N/A,FALSE,"포장2"}</definedName>
    <definedName name="GDGFD" localSheetId="0" hidden="1">{#N/A,#N/A,FALSE,"배수1"}</definedName>
    <definedName name="GDGFD" hidden="1">{#N/A,#N/A,FALSE,"배수1"}</definedName>
    <definedName name="GFDG" localSheetId="0" hidden="1">{#N/A,#N/A,FALSE,"2~8번"}</definedName>
    <definedName name="GFDG" hidden="1">{#N/A,#N/A,FALSE,"2~8번"}</definedName>
    <definedName name="GFDGDFGFG" localSheetId="0" hidden="1">{#N/A,#N/A,FALSE,"혼합골재"}</definedName>
    <definedName name="GFDGDFGFG" hidden="1">{#N/A,#N/A,FALSE,"혼합골재"}</definedName>
    <definedName name="gfgdfg" localSheetId="0" hidden="1">[27]차액보증!#REF!</definedName>
    <definedName name="gfgdfg" hidden="1">[27]차액보증!#REF!</definedName>
    <definedName name="GFGFHGFHF" localSheetId="0" hidden="1">{#N/A,#N/A,FALSE,"토공2"}</definedName>
    <definedName name="GFGFHGFHF" hidden="1">{#N/A,#N/A,FALSE,"토공2"}</definedName>
    <definedName name="gfhgh" localSheetId="0" hidden="1">{#N/A,#N/A,FALSE,"배수2"}</definedName>
    <definedName name="gfhgh" hidden="1">{#N/A,#N/A,FALSE,"배수2"}</definedName>
    <definedName name="ggfhgfshgh" localSheetId="0" hidden="1">{#N/A,#N/A,FALSE,"포장2"}</definedName>
    <definedName name="ggfhgfshgh" hidden="1">{#N/A,#N/A,FALSE,"포장2"}</definedName>
    <definedName name="ggggg" localSheetId="0" hidden="1">{#N/A,#N/A,FALSE,"구조1"}</definedName>
    <definedName name="ggggg" hidden="1">{#N/A,#N/A,FALSE,"구조1"}</definedName>
    <definedName name="ghgfh" localSheetId="0" hidden="1">{#N/A,#N/A,FALSE,"포장2"}</definedName>
    <definedName name="ghgfh" hidden="1">{#N/A,#N/A,FALSE,"포장2"}</definedName>
    <definedName name="GJHGLI" localSheetId="0" hidden="1">{#N/A,#N/A,FALSE,"포장1";#N/A,#N/A,FALSE,"포장1"}</definedName>
    <definedName name="GJHGLI" hidden="1">{#N/A,#N/A,FALSE,"포장1";#N/A,#N/A,FALSE,"포장1"}</definedName>
    <definedName name="GS" localSheetId="0" hidden="1">{#N/A,#N/A,FALSE,"포장2"}</definedName>
    <definedName name="GS" hidden="1">{#N/A,#N/A,FALSE,"포장2"}</definedName>
    <definedName name="happy" localSheetId="4" hidden="1">{"'7'!$B$15:$D$32"}</definedName>
    <definedName name="happy" localSheetId="5" hidden="1">{"'7'!$B$15:$D$32"}</definedName>
    <definedName name="happy" hidden="1">{"'7'!$B$15:$D$32"}</definedName>
    <definedName name="hgd" localSheetId="0" hidden="1">{#N/A,#N/A,FALSE,"배수2"}</definedName>
    <definedName name="hgd" hidden="1">{#N/A,#N/A,FALSE,"배수2"}</definedName>
    <definedName name="hgf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h_1" localSheetId="4" hidden="1">{"'도면'!$G$62:$H$63","'도면'!$G$62:$H$63"}</definedName>
    <definedName name="hhhh_1" localSheetId="5" hidden="1">{"'도면'!$G$62:$H$63","'도면'!$G$62:$H$63"}</definedName>
    <definedName name="hhhh_1" hidden="1">{"'도면'!$G$62:$H$63","'도면'!$G$62:$H$63"}</definedName>
    <definedName name="hhhhh" localSheetId="4" hidden="1">{"'도면'!$G$62:$H$63","'도면'!$G$62:$H$63"}</definedName>
    <definedName name="hhhhh" localSheetId="5" hidden="1">{"'도면'!$G$62:$H$63","'도면'!$G$62:$H$63"}</definedName>
    <definedName name="hhhhh" hidden="1">{"'도면'!$G$62:$H$63","'도면'!$G$62:$H$63"}</definedName>
    <definedName name="hhhhh_1" localSheetId="4" hidden="1">{"'도면'!$G$62:$H$63","'도면'!$G$62:$H$63"}</definedName>
    <definedName name="hhhhh_1" localSheetId="5" hidden="1">{"'도면'!$G$62:$H$63","'도면'!$G$62:$H$63"}</definedName>
    <definedName name="hhhhh_1" hidden="1">{"'도면'!$G$62:$H$63","'도면'!$G$62:$H$63"}</definedName>
    <definedName name="HHR" localSheetId="0" hidden="1">{#N/A,#N/A,FALSE,"포장2"}</definedName>
    <definedName name="HHR" hidden="1">{#N/A,#N/A,FALSE,"포장2"}</definedName>
    <definedName name="hidden" localSheetId="4">[28]TABLE!$H$1,[28]TABLE!$J$1,[28]TABLE!$K$1</definedName>
    <definedName name="hidden" localSheetId="5">[28]TABLE!$H$1,[28]TABLE!$J$1,[28]TABLE!$K$1</definedName>
    <definedName name="hidden">[29]TABLE!$H$1,[29]TABLE!$J$1,[29]TABLE!$K$1</definedName>
    <definedName name="HIT">'[30]2F 회의실견적(5_14 일대)'!$J$31</definedName>
    <definedName name="HTML_CodePage" hidden="1">949</definedName>
    <definedName name="HTML_Control" localSheetId="4" hidden="1">{"'Firr(선)'!$AS$1:$AY$62","'Firr(사)'!$AS$1:$AY$62","'Firr(회)'!$AS$1:$AY$62","'Firr(선)'!$L$1:$V$62","'Firr(사)'!$L$1:$V$62","'Firr(회)'!$L$1:$V$62"}</definedName>
    <definedName name="HTML_Control" localSheetId="0" hidden="1">{"'공사부문'!$A$6:$A$32"}</definedName>
    <definedName name="HTML_Control" localSheetId="6" hidden="1">{"'Firr(선)'!$AS$1:$AY$62","'Firr(사)'!$AS$1:$AY$62","'Firr(회)'!$AS$1:$AY$62","'Firr(선)'!$L$1:$V$62","'Firr(사)'!$L$1:$V$62","'Firr(회)'!$L$1:$V$62"}</definedName>
    <definedName name="HTML_Control" localSheetId="5" hidden="1">{"'Firr(선)'!$AS$1:$AY$62","'Firr(사)'!$AS$1:$AY$62","'Firr(회)'!$AS$1:$AY$62","'Firr(선)'!$L$1:$V$62","'Firr(사)'!$L$1:$V$62","'Firr(회)'!$L$1:$V$62"}</definedName>
    <definedName name="HTML_Control" hidden="1">{"'공사부문'!$A$6:$A$32"}</definedName>
    <definedName name="HTML_Control_1" localSheetId="4" hidden="1">{"'Firr(선)'!$AS$1:$AY$62","'Firr(사)'!$AS$1:$AY$62","'Firr(회)'!$AS$1:$AY$62","'Firr(선)'!$L$1:$V$62","'Firr(사)'!$L$1:$V$62","'Firr(회)'!$L$1:$V$62"}</definedName>
    <definedName name="HTML_Control_1" localSheetId="5" hidden="1">{"'Firr(선)'!$AS$1:$AY$62","'Firr(사)'!$AS$1:$AY$62","'Firr(회)'!$AS$1:$AY$62","'Firr(선)'!$L$1:$V$62","'Firr(사)'!$L$1:$V$62","'Firr(회)'!$L$1:$V$62"}</definedName>
    <definedName name="HTML_Control_1" hidden="1">{"'Firr(선)'!$AS$1:$AY$62","'Firr(사)'!$AS$1:$AY$62","'Firr(회)'!$AS$1:$AY$62","'Firr(선)'!$L$1:$V$62","'Firr(사)'!$L$1:$V$62","'Firr(회)'!$L$1:$V$62"}</definedName>
    <definedName name="HTML_Description" hidden="1">""</definedName>
    <definedName name="HTML_Email" hidden="1">""</definedName>
    <definedName name="HTML_Header" localSheetId="4" hidden="1">"8%"</definedName>
    <definedName name="HTML_Header" localSheetId="6" hidden="1">"8%"</definedName>
    <definedName name="HTML_Header" localSheetId="5" hidden="1">"8%"</definedName>
    <definedName name="HTML_Header" hidden="1">"공사부문"</definedName>
    <definedName name="HTML_LastUpdate" localSheetId="4" hidden="1">"2000-11-08"</definedName>
    <definedName name="HTML_LastUpdate" localSheetId="6" hidden="1">"2000-11-08"</definedName>
    <definedName name="HTML_LastUpdate" localSheetId="5" hidden="1">"2000-11-08"</definedName>
    <definedName name="HTML_LastUpdate" hidden="1">"98-04-27"</definedName>
    <definedName name="HTML_LineAfter" hidden="1">FALSE</definedName>
    <definedName name="HTML_LineBefore" hidden="1">FALSE</definedName>
    <definedName name="HTML_Name" localSheetId="4" hidden="1">"이제찬"</definedName>
    <definedName name="HTML_Name" localSheetId="6" hidden="1">"이제찬"</definedName>
    <definedName name="HTML_Name" localSheetId="5" hidden="1">"이제찬"</definedName>
    <definedName name="HTML_Name" hidden="1">"김준곤"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4" hidden="1">"C:\My Documents\MyHTML.htm"</definedName>
    <definedName name="HTML_PathFile" localSheetId="6" hidden="1">"C:\My Documents\MyHTML.htm"</definedName>
    <definedName name="HTML_PathFile" localSheetId="5" hidden="1">"C:\My Documents\MyHTML.htm"</definedName>
    <definedName name="HTML_PathFile" hidden="1">"C:\WINNT\Profiles\Administrator\Personal\MyHTML.htm"</definedName>
    <definedName name="HTML_PathTemplate" hidden="1">"C:\USERS\JHW\Kwangju\Distribution-Analysis\HTMLTemp.htm"</definedName>
    <definedName name="HTML_Title" localSheetId="4" hidden="1">"Firrsrwd"</definedName>
    <definedName name="HTML_Title" localSheetId="6" hidden="1">"Firrsrwd"</definedName>
    <definedName name="HTML_Title" localSheetId="5" hidden="1">"Firrsrwd"</definedName>
    <definedName name="HTML_Title" hidden="1">"시중노임단가"</definedName>
    <definedName name="HUJYUJUJ" localSheetId="4" hidden="1">{"'도면'!$G$62:$H$63","'도면'!$G$62:$H$63"}</definedName>
    <definedName name="HUJYUJUJ" localSheetId="5" hidden="1">{"'도면'!$G$62:$H$63","'도면'!$G$62:$H$63"}</definedName>
    <definedName name="HUJYUJUJ" hidden="1">{"'도면'!$G$62:$H$63","'도면'!$G$62:$H$63"}</definedName>
    <definedName name="HUJYUJUJ_1" localSheetId="4" hidden="1">{"'도면'!$G$62:$H$63","'도면'!$G$62:$H$63"}</definedName>
    <definedName name="HUJYUJUJ_1" localSheetId="5" hidden="1">{"'도면'!$G$62:$H$63","'도면'!$G$62:$H$63"}</definedName>
    <definedName name="HUJYUJUJ_1" hidden="1">{"'도면'!$G$62:$H$63","'도면'!$G$62:$H$63"}</definedName>
    <definedName name="IEC" localSheetId="4">'[22]허용전류-IEC DATA'!$A$1:$E$352</definedName>
    <definedName name="IEC" localSheetId="5">'[22]허용전류-IEC DATA'!$A$1:$E$352</definedName>
    <definedName name="IEC">'[23]허용전류-IEC DATA'!$A$1:$E$352</definedName>
    <definedName name="III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ch">[31]ilch!$A$3:$M$25</definedName>
    <definedName name="IOIOIOIO" localSheetId="0" hidden="1">{#N/A,#N/A,FALSE,"표지목차"}</definedName>
    <definedName name="IOIOIOIO" hidden="1">{#N/A,#N/A,FALSE,"표지목차"}</definedName>
    <definedName name="JJJ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KJKJKJK" localSheetId="0" hidden="1">{#N/A,#N/A,FALSE,"포장1";#N/A,#N/A,FALSE,"포장1"}</definedName>
    <definedName name="JKJKJKJK" hidden="1">{#N/A,#N/A,FALSE,"포장1";#N/A,#N/A,FALSE,"포장1"}</definedName>
    <definedName name="JODO" localSheetId="4">[24]data!$AA$4:$AE$14</definedName>
    <definedName name="JODO" localSheetId="5">[24]data!$AA$4:$AE$14</definedName>
    <definedName name="JODO">[25]data!$AA$4:$AE$14</definedName>
    <definedName name="juhouho" localSheetId="4" hidden="1">{"'도면'!$G$62:$H$63","'도면'!$G$62:$H$63"}</definedName>
    <definedName name="juhouho" localSheetId="5" hidden="1">{"'도면'!$G$62:$H$63","'도면'!$G$62:$H$63"}</definedName>
    <definedName name="juhouho" hidden="1">{"'도면'!$G$62:$H$63","'도면'!$G$62:$H$63"}</definedName>
    <definedName name="juhouho_1" localSheetId="4" hidden="1">{"'도면'!$G$62:$H$63","'도면'!$G$62:$H$63"}</definedName>
    <definedName name="juhouho_1" localSheetId="5" hidden="1">{"'도면'!$G$62:$H$63","'도면'!$G$62:$H$63"}</definedName>
    <definedName name="juhouho_1" hidden="1">{"'도면'!$G$62:$H$63","'도면'!$G$62:$H$63"}</definedName>
    <definedName name="k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hl" localSheetId="0" hidden="1">{#N/A,#N/A,FALSE,"2~8번"}</definedName>
    <definedName name="khl" hidden="1">{#N/A,#N/A,FALSE,"2~8번"}</definedName>
    <definedName name="KIM" localSheetId="4" hidden="1">{"'도면'!$G$62:$H$63","'도면'!$G$62:$H$63"}</definedName>
    <definedName name="KIM" localSheetId="5" hidden="1">{"'도면'!$G$62:$H$63","'도면'!$G$62:$H$63"}</definedName>
    <definedName name="KIM" hidden="1">{"'도면'!$G$62:$H$63","'도면'!$G$62:$H$63"}</definedName>
    <definedName name="KLLKLKLK" localSheetId="0" hidden="1">{#N/A,#N/A,FALSE,"포장2"}</definedName>
    <definedName name="KLLKLKLK" hidden="1">{#N/A,#N/A,FALSE,"포장2"}</definedName>
    <definedName name="KO">'[32]D-RMIL'!$B$7:$C$19</definedName>
    <definedName name="ktf" localSheetId="0" hidden="1">#REF!</definedName>
    <definedName name="ktf" hidden="1">#REF!</definedName>
    <definedName name="kty" localSheetId="0" hidden="1">#REF!</definedName>
    <definedName name="kty" hidden="1">#REF!</definedName>
    <definedName name="KYNGSADO" localSheetId="4">[33]!KYNGSADO</definedName>
    <definedName name="KYNGSADO">[33]!KYNGSADO</definedName>
    <definedName name="KYNGSAYL" localSheetId="4">[34]!KYNGSAYL</definedName>
    <definedName name="KYNGSAYL">[34]!KYNGSAYL</definedName>
    <definedName name="LI" localSheetId="4">[35]Sheet2!$A$2:$B$48</definedName>
    <definedName name="LI" localSheetId="5">[35]Sheet2!$A$2:$B$48</definedName>
    <definedName name="LI">[36]Sheet2!$A$2:$B$48</definedName>
    <definedName name="list1" localSheetId="4">'[37]일위대가(원본)'!$A$159:$Q$1426</definedName>
    <definedName name="list1" localSheetId="5">'[37]일위대가(원본)'!$A$159:$Q$1426</definedName>
    <definedName name="list1">'[38]일위대가(원본)'!$A$159:$Q$1426</definedName>
    <definedName name="ListItem01" localSheetId="4">[39]발신정보!$C$4</definedName>
    <definedName name="ListItem01" localSheetId="5">[39]발신정보!$C$4</definedName>
    <definedName name="ListItem01">[40]발신정보!$C$4</definedName>
    <definedName name="ListItem02" localSheetId="4">[39]발신정보!$C$5</definedName>
    <definedName name="ListItem02" localSheetId="5">[39]발신정보!$C$5</definedName>
    <definedName name="ListItem02">[40]발신정보!$C$5</definedName>
    <definedName name="ListItem04" localSheetId="4">[39]발신정보!$C$7</definedName>
    <definedName name="ListItem04" localSheetId="5">[39]발신정보!$C$7</definedName>
    <definedName name="ListItem04">[40]발신정보!$C$7</definedName>
    <definedName name="ListItem07" localSheetId="4">[39]발신정보!$C$11</definedName>
    <definedName name="ListItem07" localSheetId="5">[39]발신정보!$C$11</definedName>
    <definedName name="ListItem07">[40]발신정보!$C$11</definedName>
    <definedName name="ljg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OCATION">[18]LEGEND!$D$7</definedName>
    <definedName name="LOP" localSheetId="4">[41]LOPCALC!$A$4:$J$8</definedName>
    <definedName name="LOP" localSheetId="5">[41]LOPCALC!$A$4:$J$8</definedName>
    <definedName name="LOP">[42]LOPCALC!$A$4:$J$8</definedName>
    <definedName name="LX">[10]SHEET2!$K$5:$N$23</definedName>
    <definedName name="Macro1" localSheetId="4">[43]!Macro1</definedName>
    <definedName name="Macro1">[43]!Macro1</definedName>
    <definedName name="Macro10" localSheetId="4">[44]!Macro10</definedName>
    <definedName name="Macro10" localSheetId="5">[44]!Macro10</definedName>
    <definedName name="Macro10">[45]!Macro10</definedName>
    <definedName name="Macro11" localSheetId="4">[43]!Macro11</definedName>
    <definedName name="Macro11">[43]!Macro11</definedName>
    <definedName name="Macro12" localSheetId="4">[44]!Macro12</definedName>
    <definedName name="Macro12" localSheetId="5">[44]!Macro12</definedName>
    <definedName name="Macro12">[45]!Macro12</definedName>
    <definedName name="Macro13" localSheetId="4">[44]!Macro13</definedName>
    <definedName name="Macro13" localSheetId="5">[44]!Macro13</definedName>
    <definedName name="Macro13">[45]!Macro13</definedName>
    <definedName name="Macro14" localSheetId="4">[44]!Macro14</definedName>
    <definedName name="Macro14" localSheetId="5">[44]!Macro14</definedName>
    <definedName name="Macro14">[45]!Macro14</definedName>
    <definedName name="Macro2" localSheetId="4">[44]!Macro2</definedName>
    <definedName name="Macro2" localSheetId="5">[44]!Macro2</definedName>
    <definedName name="Macro2">[45]!Macro2</definedName>
    <definedName name="MACRO20" localSheetId="4">[17]!Macro2</definedName>
    <definedName name="MACRO20">[17]!Macro2</definedName>
    <definedName name="Macro3" localSheetId="4">[43]!Macro3</definedName>
    <definedName name="Macro3">[43]!Macro3</definedName>
    <definedName name="Macro4" localSheetId="4">[43]!Macro4</definedName>
    <definedName name="Macro4">[43]!Macro4</definedName>
    <definedName name="Macro5" localSheetId="4">[44]!Macro5</definedName>
    <definedName name="Macro5" localSheetId="5">[44]!Macro5</definedName>
    <definedName name="Macro5">[45]!Macro5</definedName>
    <definedName name="Macro6" localSheetId="4">[44]!Macro6</definedName>
    <definedName name="Macro6" localSheetId="5">[44]!Macro6</definedName>
    <definedName name="Macro6">[45]!Macro6</definedName>
    <definedName name="Macro7" localSheetId="4">[44]!Macro7</definedName>
    <definedName name="Macro7" localSheetId="5">[44]!Macro7</definedName>
    <definedName name="Macro7">[45]!Macro7</definedName>
    <definedName name="Macro8" localSheetId="4">[44]!Macro8</definedName>
    <definedName name="Macro8" localSheetId="5">[44]!Macro8</definedName>
    <definedName name="Macro8">[45]!Macro8</definedName>
    <definedName name="Macro9" localSheetId="4">[44]!Macro9</definedName>
    <definedName name="Macro9" localSheetId="5">[44]!Macro9</definedName>
    <definedName name="Macro9">[45]!Macro9</definedName>
    <definedName name="MCCB">[20]DATA!$A$30:$E$52</definedName>
    <definedName name="MNHL">[43]Sheet1!$A$4:$H$5</definedName>
    <definedName name="NHL" localSheetId="4">[46]터널조도!$AR$19:$AT$25</definedName>
    <definedName name="NHL" localSheetId="5">[46]터널조도!$AR$19:$AT$25</definedName>
    <definedName name="NHL">[47]터널조도!$AR$19:$AT$25</definedName>
    <definedName name="NNNNN" localSheetId="4">가배관내역서!NNNNN</definedName>
    <definedName name="NNNNN" localSheetId="5">목록!NNNNN</definedName>
    <definedName name="NNNNN">[0]!NNNNN</definedName>
    <definedName name="NOMU" localSheetId="4">[48]NOMUBI!$B$3:$H$39</definedName>
    <definedName name="NOMU" localSheetId="5">[48]NOMUBI!$B$3:$H$39</definedName>
    <definedName name="NOMU">[49]NOMUBI!$B$3:$H$39</definedName>
    <definedName name="OOOO" localSheetId="4" hidden="1">{"'도면'!$G$62:$H$63","'도면'!$G$62:$H$63"}</definedName>
    <definedName name="OOOO" localSheetId="5" hidden="1">{"'도면'!$G$62:$H$63","'도면'!$G$62:$H$63"}</definedName>
    <definedName name="OOOO" hidden="1">{"'도면'!$G$62:$H$63","'도면'!$G$62:$H$63"}</definedName>
    <definedName name="OOOO_1" localSheetId="4" hidden="1">{"'도면'!$G$62:$H$63","'도면'!$G$62:$H$63"}</definedName>
    <definedName name="OOOO_1" localSheetId="5" hidden="1">{"'도면'!$G$62:$H$63","'도면'!$G$62:$H$63"}</definedName>
    <definedName name="OOOO_1" hidden="1">{"'도면'!$G$62:$H$63","'도면'!$G$62:$H$63"}</definedName>
    <definedName name="PBL" localSheetId="4" hidden="1">{"'Firr(선)'!$AS$1:$AY$62","'Firr(사)'!$AS$1:$AY$62","'Firr(회)'!$AS$1:$AY$62","'Firr(선)'!$L$1:$V$62","'Firr(사)'!$L$1:$V$62","'Firr(회)'!$L$1:$V$62"}</definedName>
    <definedName name="PBL" localSheetId="5" hidden="1">{"'Firr(선)'!$AS$1:$AY$62","'Firr(사)'!$AS$1:$AY$62","'Firr(회)'!$AS$1:$AY$62","'Firr(선)'!$L$1:$V$62","'Firr(사)'!$L$1:$V$62","'Firr(회)'!$L$1:$V$62"}</definedName>
    <definedName name="PBL" hidden="1">{"'Firr(선)'!$AS$1:$AY$62","'Firr(사)'!$AS$1:$AY$62","'Firr(회)'!$AS$1:$AY$62","'Firr(선)'!$L$1:$V$62","'Firr(사)'!$L$1:$V$62","'Firr(회)'!$L$1:$V$62"}</definedName>
    <definedName name="PE전선관">[19]Sheet1!$N$4:$O$12</definedName>
    <definedName name="PPPPP" localSheetId="4" hidden="1">{"'도면'!$G$62:$H$63","'도면'!$G$62:$H$63"}</definedName>
    <definedName name="PPPPP" localSheetId="5" hidden="1">{"'도면'!$G$62:$H$63","'도면'!$G$62:$H$63"}</definedName>
    <definedName name="PPPPP" hidden="1">{"'도면'!$G$62:$H$63","'도면'!$G$62:$H$63"}</definedName>
    <definedName name="PPPPP_1" localSheetId="4" hidden="1">{"'도면'!$G$62:$H$63","'도면'!$G$62:$H$63"}</definedName>
    <definedName name="PPPPP_1" localSheetId="5" hidden="1">{"'도면'!$G$62:$H$63","'도면'!$G$62:$H$63"}</definedName>
    <definedName name="PPPPP_1" hidden="1">{"'도면'!$G$62:$H$63","'도면'!$G$62:$H$63"}</definedName>
    <definedName name="_xlnm.Print_Area" localSheetId="4">#REF!</definedName>
    <definedName name="_xlnm.Print_Area" localSheetId="0">갑지!$B$2:$N$24</definedName>
    <definedName name="_xlnm.Print_Area" localSheetId="2">내역서!$A$1:$AD$9</definedName>
    <definedName name="_xlnm.Print_Area" localSheetId="5">목록!$A$1:$N$5</definedName>
    <definedName name="_xlnm.Print_Area" localSheetId="1">집계표!$A$1:$P$27</definedName>
    <definedName name="_xlnm.Print_Area">#REF!</definedName>
    <definedName name="_xlnm.Print_Titles" localSheetId="2">내역서!$3:$5</definedName>
    <definedName name="_xlnm.Print_Titles" localSheetId="5">목록!$1:$2</definedName>
    <definedName name="_xlnm.Print_Titles" localSheetId="1">집계표!$5:$6</definedName>
    <definedName name="_xlnm.Print_Titles">#N/A</definedName>
    <definedName name="PROJ">[18]LEGEND!$D$4</definedName>
    <definedName name="q00" localSheetId="0" hidden="1">{#N/A,#N/A,FALSE,"운반시간"}</definedName>
    <definedName name="q00" hidden="1">{#N/A,#N/A,FALSE,"운반시간"}</definedName>
    <definedName name="Q3WEE" localSheetId="0" hidden="1">{#N/A,#N/A,FALSE,"조골재"}</definedName>
    <definedName name="Q3WEE" hidden="1">{#N/A,#N/A,FALSE,"조골재"}</definedName>
    <definedName name="QQ" localSheetId="4" hidden="1">{"'도면'!$G$62:$H$63","'도면'!$G$62:$H$63"}</definedName>
    <definedName name="QQ" localSheetId="5" hidden="1">{"'도면'!$G$62:$H$63","'도면'!$G$62:$H$63"}</definedName>
    <definedName name="QQ" hidden="1">{"'도면'!$G$62:$H$63","'도면'!$G$62:$H$63"}</definedName>
    <definedName name="qqqqq" localSheetId="4" hidden="1">{"'도면'!$G$62:$H$63","'도면'!$G$62:$H$63"}</definedName>
    <definedName name="qqqqq" localSheetId="5" hidden="1">{"'도면'!$G$62:$H$63","'도면'!$G$62:$H$63"}</definedName>
    <definedName name="qqqqq" hidden="1">{"'도면'!$G$62:$H$63","'도면'!$G$62:$H$63"}</definedName>
    <definedName name="qqqqq_1" localSheetId="4" hidden="1">{"'도면'!$G$62:$H$63","'도면'!$G$62:$H$63"}</definedName>
    <definedName name="qqqqq_1" localSheetId="5" hidden="1">{"'도면'!$G$62:$H$63","'도면'!$G$62:$H$63"}</definedName>
    <definedName name="qqqqq_1" hidden="1">{"'도면'!$G$62:$H$63","'도면'!$G$62:$H$63"}</definedName>
    <definedName name="qqqqqq" localSheetId="4" hidden="1">{"'도면'!$G$62:$H$63","'도면'!$G$62:$H$63"}</definedName>
    <definedName name="qqqqqq" localSheetId="5" hidden="1">{"'도면'!$G$62:$H$63","'도면'!$G$62:$H$63"}</definedName>
    <definedName name="qqqqqq" hidden="1">{"'도면'!$G$62:$H$63","'도면'!$G$62:$H$63"}</definedName>
    <definedName name="qqqqqq_1" localSheetId="4" hidden="1">{"'도면'!$G$62:$H$63","'도면'!$G$62:$H$63"}</definedName>
    <definedName name="qqqqqq_1" localSheetId="5" hidden="1">{"'도면'!$G$62:$H$63","'도면'!$G$62:$H$63"}</definedName>
    <definedName name="qqqqqq_1" hidden="1">{"'도면'!$G$62:$H$63","'도면'!$G$62:$H$63"}</definedName>
    <definedName name="qsdf" localSheetId="4" hidden="1">{"'Firr(선)'!$AS$1:$AY$62","'Firr(사)'!$AS$1:$AY$62","'Firr(회)'!$AS$1:$AY$62","'Firr(선)'!$L$1:$V$62","'Firr(사)'!$L$1:$V$62","'Firr(회)'!$L$1:$V$62"}</definedName>
    <definedName name="qsdf" localSheetId="5" hidden="1">{"'Firr(선)'!$AS$1:$AY$62","'Firr(사)'!$AS$1:$AY$62","'Firr(회)'!$AS$1:$AY$62","'Firr(선)'!$L$1:$V$62","'Firr(사)'!$L$1:$V$62","'Firr(회)'!$L$1:$V$62"}</definedName>
    <definedName name="qsdf" hidden="1">{"'Firr(선)'!$AS$1:$AY$62","'Firr(사)'!$AS$1:$AY$62","'Firr(회)'!$AS$1:$AY$62","'Firr(선)'!$L$1:$V$62","'Firr(사)'!$L$1:$V$62","'Firr(회)'!$L$1:$V$62"}</definedName>
    <definedName name="qsdf_1" localSheetId="4" hidden="1">{"'Firr(선)'!$AS$1:$AY$62","'Firr(사)'!$AS$1:$AY$62","'Firr(회)'!$AS$1:$AY$62","'Firr(선)'!$L$1:$V$62","'Firr(사)'!$L$1:$V$62","'Firr(회)'!$L$1:$V$62"}</definedName>
    <definedName name="qsdf_1" localSheetId="5" hidden="1">{"'Firr(선)'!$AS$1:$AY$62","'Firr(사)'!$AS$1:$AY$62","'Firr(회)'!$AS$1:$AY$62","'Firr(선)'!$L$1:$V$62","'Firr(사)'!$L$1:$V$62","'Firr(회)'!$L$1:$V$62"}</definedName>
    <definedName name="qsdf_1" hidden="1">{"'Firr(선)'!$AS$1:$AY$62","'Firr(사)'!$AS$1:$AY$62","'Firr(회)'!$AS$1:$AY$62","'Firr(선)'!$L$1:$V$62","'Firr(사)'!$L$1:$V$62","'Firr(회)'!$L$1:$V$62"}</definedName>
    <definedName name="qw" localSheetId="0" hidden="1">{#N/A,#N/A,FALSE,"단가표지"}</definedName>
    <definedName name="qw" hidden="1">{#N/A,#N/A,FALSE,"단가표지"}</definedName>
    <definedName name="QWQ" localSheetId="0" hidden="1">{#N/A,#N/A,FALSE,"배수2"}</definedName>
    <definedName name="QWQ" hidden="1">{#N/A,#N/A,FALSE,"배수2"}</definedName>
    <definedName name="rhsk" localSheetId="4">가배관내역서!rhsk</definedName>
    <definedName name="rhsk" localSheetId="5">목록!rhsk</definedName>
    <definedName name="rhsk">[0]!rhsk</definedName>
    <definedName name="RR" localSheetId="4" hidden="1">{"'7'!$B$15:$D$32"}</definedName>
    <definedName name="RR" localSheetId="5" hidden="1">{"'7'!$B$15:$D$32"}</definedName>
    <definedName name="RR" hidden="1">{"'7'!$B$15:$D$32"}</definedName>
    <definedName name="RRR" localSheetId="4" hidden="1">{"'7'!$B$15:$D$32"}</definedName>
    <definedName name="RRR" localSheetId="5" hidden="1">{"'7'!$B$15:$D$32"}</definedName>
    <definedName name="RRR" hidden="1">{"'7'!$B$15:$D$32"}</definedName>
    <definedName name="RRTRENMKJKK" localSheetId="4" hidden="1">{"'도면'!$G$62:$H$63","'도면'!$G$62:$H$63"}</definedName>
    <definedName name="RRTRENMKJKK" localSheetId="5" hidden="1">{"'도면'!$G$62:$H$63","'도면'!$G$62:$H$63"}</definedName>
    <definedName name="RRTRENMKJKK" hidden="1">{"'도면'!$G$62:$H$63","'도면'!$G$62:$H$63"}</definedName>
    <definedName name="RRTRENMKJKK_1" localSheetId="4" hidden="1">{"'도면'!$G$62:$H$63","'도면'!$G$62:$H$63"}</definedName>
    <definedName name="RRTRENMKJKK_1" localSheetId="5" hidden="1">{"'도면'!$G$62:$H$63","'도면'!$G$62:$H$63"}</definedName>
    <definedName name="RRTRENMKJKK_1" hidden="1">{"'도면'!$G$62:$H$63","'도면'!$G$62:$H$63"}</definedName>
    <definedName name="SAAAA" localSheetId="4" hidden="1">{"'도면'!$G$62:$H$63","'도면'!$G$62:$H$63"}</definedName>
    <definedName name="SAAAA" localSheetId="5" hidden="1">{"'도면'!$G$62:$H$63","'도면'!$G$62:$H$63"}</definedName>
    <definedName name="SAAAA" hidden="1">{"'도면'!$G$62:$H$63","'도면'!$G$62:$H$63"}</definedName>
    <definedName name="SAAAA_1" localSheetId="4" hidden="1">{"'도면'!$G$62:$H$63","'도면'!$G$62:$H$63"}</definedName>
    <definedName name="SAAAA_1" localSheetId="5" hidden="1">{"'도면'!$G$62:$H$63","'도면'!$G$62:$H$63"}</definedName>
    <definedName name="SAAAA_1" hidden="1">{"'도면'!$G$62:$H$63","'도면'!$G$62:$H$63"}</definedName>
    <definedName name="SDAS" localSheetId="4" hidden="1">{"'Firr(선)'!$AS$1:$AY$62","'Firr(사)'!$AS$1:$AY$62","'Firr(회)'!$AS$1:$AY$62","'Firr(선)'!$L$1:$V$62","'Firr(사)'!$L$1:$V$62","'Firr(회)'!$L$1:$V$62"}</definedName>
    <definedName name="SDAS" localSheetId="5" hidden="1">{"'Firr(선)'!$AS$1:$AY$62","'Firr(사)'!$AS$1:$AY$62","'Firr(회)'!$AS$1:$AY$62","'Firr(선)'!$L$1:$V$62","'Firr(사)'!$L$1:$V$62","'Firr(회)'!$L$1:$V$62"}</definedName>
    <definedName name="SDAS" hidden="1">{"'Firr(선)'!$AS$1:$AY$62","'Firr(사)'!$AS$1:$AY$62","'Firr(회)'!$AS$1:$AY$62","'Firr(선)'!$L$1:$V$62","'Firr(사)'!$L$1:$V$62","'Firr(회)'!$L$1:$V$62"}</definedName>
    <definedName name="SDAS_1" localSheetId="4" hidden="1">{"'Firr(선)'!$AS$1:$AY$62","'Firr(사)'!$AS$1:$AY$62","'Firr(회)'!$AS$1:$AY$62","'Firr(선)'!$L$1:$V$62","'Firr(사)'!$L$1:$V$62","'Firr(회)'!$L$1:$V$62"}</definedName>
    <definedName name="SDAS_1" localSheetId="5" hidden="1">{"'Firr(선)'!$AS$1:$AY$62","'Firr(사)'!$AS$1:$AY$62","'Firr(회)'!$AS$1:$AY$62","'Firr(선)'!$L$1:$V$62","'Firr(사)'!$L$1:$V$62","'Firr(회)'!$L$1:$V$62"}</definedName>
    <definedName name="SDAS_1" hidden="1">{"'Firr(선)'!$AS$1:$AY$62","'Firr(사)'!$AS$1:$AY$62","'Firr(회)'!$AS$1:$AY$62","'Firr(선)'!$L$1:$V$62","'Firr(사)'!$L$1:$V$62","'Firr(회)'!$L$1:$V$62"}</definedName>
    <definedName name="SDCFG\" localSheetId="0" hidden="1">{#N/A,#N/A,FALSE,"운반시간"}</definedName>
    <definedName name="SDCFG\" hidden="1">{#N/A,#N/A,FALSE,"운반시간"}</definedName>
    <definedName name="SDDFD" localSheetId="0" hidden="1">{#N/A,#N/A,FALSE,"배수1"}</definedName>
    <definedName name="SDDFD" hidden="1">{#N/A,#N/A,FALSE,"배수1"}</definedName>
    <definedName name="SDF" localSheetId="0" hidden="1">{#N/A,#N/A,FALSE,"혼합골재"}</definedName>
    <definedName name="SDF" hidden="1">{#N/A,#N/A,FALSE,"혼합골재"}</definedName>
    <definedName name="SDFDFD" localSheetId="0" hidden="1">{#N/A,#N/A,FALSE,"운반시간"}</definedName>
    <definedName name="SDFDFD" hidden="1">{#N/A,#N/A,FALSE,"운반시간"}</definedName>
    <definedName name="SDS" localSheetId="0" hidden="1">{#N/A,#N/A,FALSE,"2~8번"}</definedName>
    <definedName name="SDS" hidden="1">{#N/A,#N/A,FALSE,"2~8번"}</definedName>
    <definedName name="sdsdddd" localSheetId="0" hidden="1">{#N/A,#N/A,FALSE,"토공2"}</definedName>
    <definedName name="sdsdddd" hidden="1">{#N/A,#N/A,FALSE,"토공2"}</definedName>
    <definedName name="SFA" localSheetId="0" hidden="1">{#N/A,#N/A,FALSE,"포장1";#N/A,#N/A,FALSE,"포장1"}</definedName>
    <definedName name="SFA" hidden="1">{#N/A,#N/A,FALSE,"포장1";#N/A,#N/A,FALSE,"포장1"}</definedName>
    <definedName name="sfdbd" localSheetId="4">[17]!Macro9</definedName>
    <definedName name="sfdbd">[17]!Macro9</definedName>
    <definedName name="sfggf" localSheetId="0" hidden="1">{#N/A,#N/A,FALSE,"배수1"}</definedName>
    <definedName name="sfggf" hidden="1">{#N/A,#N/A,FALSE,"배수1"}</definedName>
    <definedName name="SFSDFDSF" localSheetId="0" hidden="1">{#N/A,#N/A,FALSE,"운반시간"}</definedName>
    <definedName name="SFSDFDSF" hidden="1">{#N/A,#N/A,FALSE,"운반시간"}</definedName>
    <definedName name="SJS" localSheetId="4">[24]data!$P$4:$Q$13</definedName>
    <definedName name="SJS" localSheetId="5">[24]data!$P$4:$Q$13</definedName>
    <definedName name="SJS">[25]data!$P$4:$Q$13</definedName>
    <definedName name="sssss" localSheetId="0" hidden="1">{#N/A,#N/A,FALSE,"운반시간"}</definedName>
    <definedName name="sssss" hidden="1">{#N/A,#N/A,FALSE,"운반시간"}</definedName>
    <definedName name="tttt_1" localSheetId="4" hidden="1">{"'도면'!$G$62:$H$63","'도면'!$G$62:$H$63"}</definedName>
    <definedName name="tttt_1" localSheetId="5" hidden="1">{"'도면'!$G$62:$H$63","'도면'!$G$62:$H$63"}</definedName>
    <definedName name="tttt_1" hidden="1">{"'도면'!$G$62:$H$63","'도면'!$G$62:$H$63"}</definedName>
    <definedName name="tttttt" localSheetId="4" hidden="1">{"'도면'!$G$62:$H$63","'도면'!$G$62:$H$63"}</definedName>
    <definedName name="tttttt" localSheetId="5" hidden="1">{"'도면'!$G$62:$H$63","'도면'!$G$62:$H$63"}</definedName>
    <definedName name="tttttt" hidden="1">{"'도면'!$G$62:$H$63","'도면'!$G$62:$H$63"}</definedName>
    <definedName name="tttttt_1" localSheetId="4" hidden="1">{"'도면'!$G$62:$H$63","'도면'!$G$62:$H$63"}</definedName>
    <definedName name="tttttt_1" localSheetId="5" hidden="1">{"'도면'!$G$62:$H$63","'도면'!$G$62:$H$63"}</definedName>
    <definedName name="tttttt_1" hidden="1">{"'도면'!$G$62:$H$63","'도면'!$G$62:$H$63"}</definedName>
    <definedName name="TYHFDGFD" localSheetId="0" hidden="1">{#N/A,#N/A,FALSE,"배수2"}</definedName>
    <definedName name="TYHFDGFD" hidden="1">{#N/A,#N/A,FALSE,"배수2"}</definedName>
    <definedName name="uu" localSheetId="4">[50]DATA!$B$4:$F$495</definedName>
    <definedName name="uu" localSheetId="5">[50]DATA!$B$4:$F$495</definedName>
    <definedName name="uu">[51]DATA!$B$4:$F$495</definedName>
    <definedName name="uy89ihbn" localSheetId="0" hidden="1">{#N/A,#N/A,FALSE,"2~8번"}</definedName>
    <definedName name="uy89ihbn" hidden="1">{#N/A,#N/A,FALSE,"2~8번"}</definedName>
    <definedName name="vbdfgg" localSheetId="4">[17]!Macro7</definedName>
    <definedName name="vbdfgg">[17]!Macro7</definedName>
    <definedName name="ve" localSheetId="4" hidden="1">{"'Firr(선)'!$AS$1:$AY$62","'Firr(사)'!$AS$1:$AY$62","'Firr(회)'!$AS$1:$AY$62","'Firr(선)'!$L$1:$V$62","'Firr(사)'!$L$1:$V$62","'Firr(회)'!$L$1:$V$62"}</definedName>
    <definedName name="ve" localSheetId="5" hidden="1">{"'Firr(선)'!$AS$1:$AY$62","'Firr(사)'!$AS$1:$AY$62","'Firr(회)'!$AS$1:$AY$62","'Firr(선)'!$L$1:$V$62","'Firr(사)'!$L$1:$V$62","'Firr(회)'!$L$1:$V$62"}</definedName>
    <definedName name="ve" hidden="1">{"'Firr(선)'!$AS$1:$AY$62","'Firr(사)'!$AS$1:$AY$62","'Firr(회)'!$AS$1:$AY$62","'Firr(선)'!$L$1:$V$62","'Firr(사)'!$L$1:$V$62","'Firr(회)'!$L$1:$V$62"}</definedName>
    <definedName name="ve_1" localSheetId="4" hidden="1">{"'Firr(선)'!$AS$1:$AY$62","'Firr(사)'!$AS$1:$AY$62","'Firr(회)'!$AS$1:$AY$62","'Firr(선)'!$L$1:$V$62","'Firr(사)'!$L$1:$V$62","'Firr(회)'!$L$1:$V$62"}</definedName>
    <definedName name="ve_1" localSheetId="5" hidden="1">{"'Firr(선)'!$AS$1:$AY$62","'Firr(사)'!$AS$1:$AY$62","'Firr(회)'!$AS$1:$AY$62","'Firr(선)'!$L$1:$V$62","'Firr(사)'!$L$1:$V$62","'Firr(회)'!$L$1:$V$62"}</definedName>
    <definedName name="ve_1" hidden="1">{"'Firr(선)'!$AS$1:$AY$62","'Firr(사)'!$AS$1:$AY$62","'Firr(회)'!$AS$1:$AY$62","'Firr(선)'!$L$1:$V$62","'Firr(사)'!$L$1:$V$62","'Firr(회)'!$L$1:$V$62"}</definedName>
    <definedName name="wer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JS" localSheetId="4">'[52]1.동력공사'!$1:$3</definedName>
    <definedName name="WJS" localSheetId="5">'[52]1.동력공사'!$1:$3</definedName>
    <definedName name="WJS">'[53]1.동력공사'!$1:$3</definedName>
    <definedName name="wm.조골재1" localSheetId="0" hidden="1">{#N/A,#N/A,FALSE,"조골재"}</definedName>
    <definedName name="wm.조골재1" hidden="1">{#N/A,#N/A,FALSE,"조골재"}</definedName>
    <definedName name="wrn.2번." localSheetId="0" hidden="1">{#N/A,#N/A,FALSE,"2~8번"}</definedName>
    <definedName name="wrn.2번." hidden="1">{#N/A,#N/A,FALSE,"2~8번"}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구조2." localSheetId="0" hidden="1">{#N/A,#N/A,FALSE,"구조2"}</definedName>
    <definedName name="wrn.구조2." hidden="1">{#N/A,#N/A,FALSE,"구조2"}</definedName>
    <definedName name="wrn.단가표지." localSheetId="0" hidden="1">{#N/A,#N/A,FALSE,"단가표지"}</definedName>
    <definedName name="wrn.단가표지." hidden="1">{#N/A,#N/A,FALSE,"단가표지"}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속도." localSheetId="0" hidden="1">{#N/A,#N/A,FALSE,"속도"}</definedName>
    <definedName name="wrn.속도." hidden="1">{#N/A,#N/A,FALSE,"속도"}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조골재." localSheetId="0" hidden="1">{#N/A,#N/A,FALSE,"조골재"}</definedName>
    <definedName name="wrn.조골재." hidden="1">{#N/A,#N/A,FALSE,"조골재"}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WW" localSheetId="4" hidden="1">{"'7'!$B$15:$D$32"}</definedName>
    <definedName name="WWW" localSheetId="5" hidden="1">{"'7'!$B$15:$D$32"}</definedName>
    <definedName name="WWW" hidden="1">{"'7'!$B$15:$D$32"}</definedName>
    <definedName name="WWW_1" localSheetId="4" hidden="1">{"'도면'!$G$62:$H$63","'도면'!$G$62:$H$63"}</definedName>
    <definedName name="WWW_1" localSheetId="5" hidden="1">{"'도면'!$G$62:$H$63","'도면'!$G$62:$H$63"}</definedName>
    <definedName name="WWW_1" hidden="1">{"'도면'!$G$62:$H$63","'도면'!$G$62:$H$63"}</definedName>
    <definedName name="WWWW" localSheetId="4" hidden="1">{"'도면'!$G$62:$H$63","'도면'!$G$62:$H$63"}</definedName>
    <definedName name="WWWW" localSheetId="5" hidden="1">{"'도면'!$G$62:$H$63","'도면'!$G$62:$H$63"}</definedName>
    <definedName name="WWWW" hidden="1">{"'도면'!$G$62:$H$63","'도면'!$G$62:$H$63"}</definedName>
    <definedName name="WWWW_1" localSheetId="4" hidden="1">{"'도면'!$G$62:$H$63","'도면'!$G$62:$H$63"}</definedName>
    <definedName name="WWWW_1" localSheetId="5" hidden="1">{"'도면'!$G$62:$H$63","'도면'!$G$62:$H$63"}</definedName>
    <definedName name="WWWW_1" hidden="1">{"'도면'!$G$62:$H$63","'도면'!$G$62:$H$63"}</definedName>
    <definedName name="xxca" localSheetId="4" hidden="1">{"'Firr(선)'!$AS$1:$AY$62","'Firr(사)'!$AS$1:$AY$62","'Firr(회)'!$AS$1:$AY$62","'Firr(선)'!$L$1:$V$62","'Firr(사)'!$L$1:$V$62","'Firr(회)'!$L$1:$V$62"}</definedName>
    <definedName name="xxca" localSheetId="5" hidden="1">{"'Firr(선)'!$AS$1:$AY$62","'Firr(사)'!$AS$1:$AY$62","'Firr(회)'!$AS$1:$AY$62","'Firr(선)'!$L$1:$V$62","'Firr(사)'!$L$1:$V$62","'Firr(회)'!$L$1:$V$62"}</definedName>
    <definedName name="xxca" hidden="1">{"'Firr(선)'!$AS$1:$AY$62","'Firr(사)'!$AS$1:$AY$62","'Firr(회)'!$AS$1:$AY$62","'Firr(선)'!$L$1:$V$62","'Firr(사)'!$L$1:$V$62","'Firr(회)'!$L$1:$V$62"}</definedName>
    <definedName name="xxca_1" localSheetId="4" hidden="1">{"'Firr(선)'!$AS$1:$AY$62","'Firr(사)'!$AS$1:$AY$62","'Firr(회)'!$AS$1:$AY$62","'Firr(선)'!$L$1:$V$62","'Firr(사)'!$L$1:$V$62","'Firr(회)'!$L$1:$V$62"}</definedName>
    <definedName name="xxca_1" localSheetId="5" hidden="1">{"'Firr(선)'!$AS$1:$AY$62","'Firr(사)'!$AS$1:$AY$62","'Firr(회)'!$AS$1:$AY$62","'Firr(선)'!$L$1:$V$62","'Firr(사)'!$L$1:$V$62","'Firr(회)'!$L$1:$V$62"}</definedName>
    <definedName name="xxca_1" hidden="1">{"'Firr(선)'!$AS$1:$AY$62","'Firr(사)'!$AS$1:$AY$62","'Firr(회)'!$AS$1:$AY$62","'Firr(선)'!$L$1:$V$62","'Firr(사)'!$L$1:$V$62","'Firr(회)'!$L$1:$V$62"}</definedName>
    <definedName name="XXXXXX" localSheetId="0" hidden="1">{"'공사부문'!$A$6:$A$32"}</definedName>
    <definedName name="XXXXXX" hidden="1">{"'공사부문'!$A$6:$A$32"}</definedName>
    <definedName name="y" localSheetId="4" hidden="1">{"'도면'!$G$62:$H$63","'도면'!$G$62:$H$63"}</definedName>
    <definedName name="y" localSheetId="5" hidden="1">{"'도면'!$G$62:$H$63","'도면'!$G$62:$H$63"}</definedName>
    <definedName name="y" hidden="1">{"'도면'!$G$62:$H$63","'도면'!$G$62:$H$63"}</definedName>
    <definedName name="YUYUY" localSheetId="0" hidden="1">{#N/A,#N/A,FALSE,"혼합골재"}</definedName>
    <definedName name="YUYUY" hidden="1">{#N/A,#N/A,FALSE,"혼합골재"}</definedName>
    <definedName name="yyyyy" localSheetId="4" hidden="1">{"'도면'!$G$62:$H$63","'도면'!$G$62:$H$63"}</definedName>
    <definedName name="yyyyy" localSheetId="5" hidden="1">{"'도면'!$G$62:$H$63","'도면'!$G$62:$H$63"}</definedName>
    <definedName name="yyyyy" hidden="1">{"'도면'!$G$62:$H$63","'도면'!$G$62:$H$63"}</definedName>
    <definedName name="yyyyy_1" localSheetId="4" hidden="1">{"'도면'!$G$62:$H$63","'도면'!$G$62:$H$63"}</definedName>
    <definedName name="yyyyy_1" localSheetId="5" hidden="1">{"'도면'!$G$62:$H$63","'도면'!$G$62:$H$63"}</definedName>
    <definedName name="yyyyy_1" hidden="1">{"'도면'!$G$62:$H$63","'도면'!$G$62:$H$63"}</definedName>
    <definedName name="zhdk">'[54]일반문틀 설치'!$A$1:$L$25</definedName>
    <definedName name="ㄱㄱ" localSheetId="0" hidden="1">{#N/A,#N/A,FALSE,"운반시간"}</definedName>
    <definedName name="ㄱㄱ" hidden="1">{#N/A,#N/A,FALSE,"운반시간"}</definedName>
    <definedName name="ㄱㄷㅂㄱㅈ" localSheetId="0" hidden="1">{#N/A,#N/A,FALSE,"2~8번"}</definedName>
    <definedName name="ㄱㄷㅂㄱㅈ" hidden="1">{#N/A,#N/A,FALSE,"2~8번"}</definedName>
    <definedName name="ㄱㄷㅈㄱ" localSheetId="4" hidden="1">{"'7'!$B$15:$D$32"}</definedName>
    <definedName name="ㄱㄷㅈㄱ" localSheetId="5" hidden="1">{"'7'!$B$15:$D$32"}</definedName>
    <definedName name="ㄱㄷㅈㄱ" hidden="1">{"'7'!$B$15:$D$32"}</definedName>
    <definedName name="가1" localSheetId="4" hidden="1">{"'Firr(선)'!$AS$1:$AY$62","'Firr(사)'!$AS$1:$AY$62","'Firr(회)'!$AS$1:$AY$62","'Firr(선)'!$L$1:$V$62","'Firr(사)'!$L$1:$V$62","'Firr(회)'!$L$1:$V$62"}</definedName>
    <definedName name="가1" localSheetId="5" hidden="1">{"'Firr(선)'!$AS$1:$AY$62","'Firr(사)'!$AS$1:$AY$62","'Firr(회)'!$AS$1:$AY$62","'Firr(선)'!$L$1:$V$62","'Firr(사)'!$L$1:$V$62","'Firr(회)'!$L$1:$V$62"}</definedName>
    <definedName name="가1" hidden="1">{"'Firr(선)'!$AS$1:$AY$62","'Firr(사)'!$AS$1:$AY$62","'Firr(회)'!$AS$1:$AY$62","'Firr(선)'!$L$1:$V$62","'Firr(사)'!$L$1:$V$62","'Firr(회)'!$L$1:$V$62"}</definedName>
    <definedName name="가1_1" localSheetId="4" hidden="1">{"'Firr(선)'!$AS$1:$AY$62","'Firr(사)'!$AS$1:$AY$62","'Firr(회)'!$AS$1:$AY$62","'Firr(선)'!$L$1:$V$62","'Firr(사)'!$L$1:$V$62","'Firr(회)'!$L$1:$V$62"}</definedName>
    <definedName name="가1_1" localSheetId="5" hidden="1">{"'Firr(선)'!$AS$1:$AY$62","'Firr(사)'!$AS$1:$AY$62","'Firr(회)'!$AS$1:$AY$62","'Firr(선)'!$L$1:$V$62","'Firr(사)'!$L$1:$V$62","'Firr(회)'!$L$1:$V$62"}</definedName>
    <definedName name="가1_1" hidden="1">{"'Firr(선)'!$AS$1:$AY$62","'Firr(사)'!$AS$1:$AY$62","'Firr(회)'!$AS$1:$AY$62","'Firr(선)'!$L$1:$V$62","'Firr(사)'!$L$1:$V$62","'Firr(회)'!$L$1:$V$62"}</definedName>
    <definedName name="가2" localSheetId="4" hidden="1">{"'Firr(선)'!$AS$1:$AY$62","'Firr(사)'!$AS$1:$AY$62","'Firr(회)'!$AS$1:$AY$62","'Firr(선)'!$L$1:$V$62","'Firr(사)'!$L$1:$V$62","'Firr(회)'!$L$1:$V$62"}</definedName>
    <definedName name="가2" localSheetId="5" hidden="1">{"'Firr(선)'!$AS$1:$AY$62","'Firr(사)'!$AS$1:$AY$62","'Firr(회)'!$AS$1:$AY$62","'Firr(선)'!$L$1:$V$62","'Firr(사)'!$L$1:$V$62","'Firr(회)'!$L$1:$V$62"}</definedName>
    <definedName name="가2" hidden="1">{"'Firr(선)'!$AS$1:$AY$62","'Firr(사)'!$AS$1:$AY$62","'Firr(회)'!$AS$1:$AY$62","'Firr(선)'!$L$1:$V$62","'Firr(사)'!$L$1:$V$62","'Firr(회)'!$L$1:$V$62"}</definedName>
    <definedName name="가2_1" localSheetId="4" hidden="1">{"'Firr(선)'!$AS$1:$AY$62","'Firr(사)'!$AS$1:$AY$62","'Firr(회)'!$AS$1:$AY$62","'Firr(선)'!$L$1:$V$62","'Firr(사)'!$L$1:$V$62","'Firr(회)'!$L$1:$V$62"}</definedName>
    <definedName name="가2_1" localSheetId="5" hidden="1">{"'Firr(선)'!$AS$1:$AY$62","'Firr(사)'!$AS$1:$AY$62","'Firr(회)'!$AS$1:$AY$62","'Firr(선)'!$L$1:$V$62","'Firr(사)'!$L$1:$V$62","'Firr(회)'!$L$1:$V$62"}</definedName>
    <definedName name="가2_1" hidden="1">{"'Firr(선)'!$AS$1:$AY$62","'Firr(사)'!$AS$1:$AY$62","'Firr(회)'!$AS$1:$AY$62","'Firr(선)'!$L$1:$V$62","'Firr(사)'!$L$1:$V$62","'Firr(회)'!$L$1:$V$62"}</definedName>
    <definedName name="가4" localSheetId="4" hidden="1">{"'Firr(선)'!$AS$1:$AY$62","'Firr(사)'!$AS$1:$AY$62","'Firr(회)'!$AS$1:$AY$62","'Firr(선)'!$L$1:$V$62","'Firr(사)'!$L$1:$V$62","'Firr(회)'!$L$1:$V$62"}</definedName>
    <definedName name="가4" localSheetId="5" hidden="1">{"'Firr(선)'!$AS$1:$AY$62","'Firr(사)'!$AS$1:$AY$62","'Firr(회)'!$AS$1:$AY$62","'Firr(선)'!$L$1:$V$62","'Firr(사)'!$L$1:$V$62","'Firr(회)'!$L$1:$V$62"}</definedName>
    <definedName name="가4" hidden="1">{"'Firr(선)'!$AS$1:$AY$62","'Firr(사)'!$AS$1:$AY$62","'Firr(회)'!$AS$1:$AY$62","'Firr(선)'!$L$1:$V$62","'Firr(사)'!$L$1:$V$62","'Firr(회)'!$L$1:$V$62"}</definedName>
    <definedName name="가4_1" localSheetId="4" hidden="1">{"'Firr(선)'!$AS$1:$AY$62","'Firr(사)'!$AS$1:$AY$62","'Firr(회)'!$AS$1:$AY$62","'Firr(선)'!$L$1:$V$62","'Firr(사)'!$L$1:$V$62","'Firr(회)'!$L$1:$V$62"}</definedName>
    <definedName name="가4_1" localSheetId="5" hidden="1">{"'Firr(선)'!$AS$1:$AY$62","'Firr(사)'!$AS$1:$AY$62","'Firr(회)'!$AS$1:$AY$62","'Firr(선)'!$L$1:$V$62","'Firr(사)'!$L$1:$V$62","'Firr(회)'!$L$1:$V$62"}</definedName>
    <definedName name="가4_1" hidden="1">{"'Firr(선)'!$AS$1:$AY$62","'Firr(사)'!$AS$1:$AY$62","'Firr(회)'!$AS$1:$AY$62","'Firr(선)'!$L$1:$V$62","'Firr(사)'!$L$1:$V$62","'Firr(회)'!$L$1:$V$62"}</definedName>
    <definedName name="가5" localSheetId="4" hidden="1">{"'Firr(선)'!$AS$1:$AY$62","'Firr(사)'!$AS$1:$AY$62","'Firr(회)'!$AS$1:$AY$62","'Firr(선)'!$L$1:$V$62","'Firr(사)'!$L$1:$V$62","'Firr(회)'!$L$1:$V$62"}</definedName>
    <definedName name="가5" localSheetId="5" hidden="1">{"'Firr(선)'!$AS$1:$AY$62","'Firr(사)'!$AS$1:$AY$62","'Firr(회)'!$AS$1:$AY$62","'Firr(선)'!$L$1:$V$62","'Firr(사)'!$L$1:$V$62","'Firr(회)'!$L$1:$V$62"}</definedName>
    <definedName name="가5" hidden="1">{"'Firr(선)'!$AS$1:$AY$62","'Firr(사)'!$AS$1:$AY$62","'Firr(회)'!$AS$1:$AY$62","'Firr(선)'!$L$1:$V$62","'Firr(사)'!$L$1:$V$62","'Firr(회)'!$L$1:$V$62"}</definedName>
    <definedName name="가5_1" localSheetId="4" hidden="1">{"'Firr(선)'!$AS$1:$AY$62","'Firr(사)'!$AS$1:$AY$62","'Firr(회)'!$AS$1:$AY$62","'Firr(선)'!$L$1:$V$62","'Firr(사)'!$L$1:$V$62","'Firr(회)'!$L$1:$V$62"}</definedName>
    <definedName name="가5_1" localSheetId="5" hidden="1">{"'Firr(선)'!$AS$1:$AY$62","'Firr(사)'!$AS$1:$AY$62","'Firr(회)'!$AS$1:$AY$62","'Firr(선)'!$L$1:$V$62","'Firr(사)'!$L$1:$V$62","'Firr(회)'!$L$1:$V$62"}</definedName>
    <definedName name="가5_1" hidden="1">{"'Firr(선)'!$AS$1:$AY$62","'Firr(사)'!$AS$1:$AY$62","'Firr(회)'!$AS$1:$AY$62","'Firr(선)'!$L$1:$V$62","'Firr(사)'!$L$1:$V$62","'Firr(회)'!$L$1:$V$62"}</definedName>
    <definedName name="가6" localSheetId="4" hidden="1">{"'Firr(선)'!$AS$1:$AY$62","'Firr(사)'!$AS$1:$AY$62","'Firr(회)'!$AS$1:$AY$62","'Firr(선)'!$L$1:$V$62","'Firr(사)'!$L$1:$V$62","'Firr(회)'!$L$1:$V$62"}</definedName>
    <definedName name="가6" localSheetId="5" hidden="1">{"'Firr(선)'!$AS$1:$AY$62","'Firr(사)'!$AS$1:$AY$62","'Firr(회)'!$AS$1:$AY$62","'Firr(선)'!$L$1:$V$62","'Firr(사)'!$L$1:$V$62","'Firr(회)'!$L$1:$V$62"}</definedName>
    <definedName name="가6" hidden="1">{"'Firr(선)'!$AS$1:$AY$62","'Firr(사)'!$AS$1:$AY$62","'Firr(회)'!$AS$1:$AY$62","'Firr(선)'!$L$1:$V$62","'Firr(사)'!$L$1:$V$62","'Firr(회)'!$L$1:$V$62"}</definedName>
    <definedName name="가6_1" localSheetId="4" hidden="1">{"'Firr(선)'!$AS$1:$AY$62","'Firr(사)'!$AS$1:$AY$62","'Firr(회)'!$AS$1:$AY$62","'Firr(선)'!$L$1:$V$62","'Firr(사)'!$L$1:$V$62","'Firr(회)'!$L$1:$V$62"}</definedName>
    <definedName name="가6_1" localSheetId="5" hidden="1">{"'Firr(선)'!$AS$1:$AY$62","'Firr(사)'!$AS$1:$AY$62","'Firr(회)'!$AS$1:$AY$62","'Firr(선)'!$L$1:$V$62","'Firr(사)'!$L$1:$V$62","'Firr(회)'!$L$1:$V$62"}</definedName>
    <definedName name="가6_1" hidden="1">{"'Firr(선)'!$AS$1:$AY$62","'Firr(사)'!$AS$1:$AY$62","'Firr(회)'!$AS$1:$AY$62","'Firr(선)'!$L$1:$V$62","'Firr(사)'!$L$1:$V$62","'Firr(회)'!$L$1:$V$62"}</definedName>
    <definedName name="가9" localSheetId="4" hidden="1">{"'Firr(선)'!$AS$1:$AY$62","'Firr(사)'!$AS$1:$AY$62","'Firr(회)'!$AS$1:$AY$62","'Firr(선)'!$L$1:$V$62","'Firr(사)'!$L$1:$V$62","'Firr(회)'!$L$1:$V$62"}</definedName>
    <definedName name="가9" localSheetId="5" hidden="1">{"'Firr(선)'!$AS$1:$AY$62","'Firr(사)'!$AS$1:$AY$62","'Firr(회)'!$AS$1:$AY$62","'Firr(선)'!$L$1:$V$62","'Firr(사)'!$L$1:$V$62","'Firr(회)'!$L$1:$V$62"}</definedName>
    <definedName name="가9" hidden="1">{"'Firr(선)'!$AS$1:$AY$62","'Firr(사)'!$AS$1:$AY$62","'Firr(회)'!$AS$1:$AY$62","'Firr(선)'!$L$1:$V$62","'Firr(사)'!$L$1:$V$62","'Firr(회)'!$L$1:$V$62"}</definedName>
    <definedName name="가9_1" localSheetId="4" hidden="1">{"'Firr(선)'!$AS$1:$AY$62","'Firr(사)'!$AS$1:$AY$62","'Firr(회)'!$AS$1:$AY$62","'Firr(선)'!$L$1:$V$62","'Firr(사)'!$L$1:$V$62","'Firr(회)'!$L$1:$V$62"}</definedName>
    <definedName name="가9_1" localSheetId="5" hidden="1">{"'Firr(선)'!$AS$1:$AY$62","'Firr(사)'!$AS$1:$AY$62","'Firr(회)'!$AS$1:$AY$62","'Firr(선)'!$L$1:$V$62","'Firr(사)'!$L$1:$V$62","'Firr(회)'!$L$1:$V$62"}</definedName>
    <definedName name="가9_1" hidden="1">{"'Firr(선)'!$AS$1:$AY$62","'Firr(사)'!$AS$1:$AY$62","'Firr(회)'!$AS$1:$AY$62","'Firr(선)'!$L$1:$V$62","'Firr(사)'!$L$1:$V$62","'Firr(회)'!$L$1:$V$62"}</definedName>
    <definedName name="가로등기초입력" localSheetId="4">가배관내역서!가로등기초입력</definedName>
    <definedName name="가로등기초입력" localSheetId="5">목록!가로등기초입력</definedName>
    <definedName name="가로등기초입력">[0]!가로등기초입력</definedName>
    <definedName name="가로등입력" localSheetId="4">가배관내역서!가로등입력</definedName>
    <definedName name="가로등입력" localSheetId="5">목록!가로등입력</definedName>
    <definedName name="가로등입력">[0]!가로등입력</definedName>
    <definedName name="감독2" localSheetId="0" hidden="1">{#N/A,#N/A,FALSE,"단가표지"}</definedName>
    <definedName name="감독2" hidden="1">{#N/A,#N/A,FALSE,"단가표지"}</definedName>
    <definedName name="감독3" localSheetId="0" hidden="1">{#N/A,#N/A,FALSE,"단가표지"}</definedName>
    <definedName name="감독3" hidden="1">{#N/A,#N/A,FALSE,"단가표지"}</definedName>
    <definedName name="강정근" localSheetId="4" hidden="1">{"'도면'!$G$62:$H$63","'도면'!$G$62:$H$63"}</definedName>
    <definedName name="강정근" localSheetId="5" hidden="1">{"'도면'!$G$62:$H$63","'도면'!$G$62:$H$63"}</definedName>
    <definedName name="강정근" hidden="1">{"'도면'!$G$62:$H$63","'도면'!$G$62:$H$63"}</definedName>
    <definedName name="강정근_1" localSheetId="4" hidden="1">{"'도면'!$G$62:$H$63","'도면'!$G$62:$H$63"}</definedName>
    <definedName name="강정근_1" localSheetId="5" hidden="1">{"'도면'!$G$62:$H$63","'도면'!$G$62:$H$63"}</definedName>
    <definedName name="강정근_1" hidden="1">{"'도면'!$G$62:$H$63","'도면'!$G$62:$H$63"}</definedName>
    <definedName name="건설기계운전사">56603</definedName>
    <definedName name="건설기계조수">43994</definedName>
    <definedName name="건설기계조장">68228</definedName>
    <definedName name="경비용역" localSheetId="4" hidden="1">{"'7'!$B$15:$D$32"}</definedName>
    <definedName name="경비용역" localSheetId="5" hidden="1">{"'7'!$B$15:$D$32"}</definedName>
    <definedName name="경비용역" hidden="1">{"'7'!$B$15:$D$32"}</definedName>
    <definedName name="고성" localSheetId="4" hidden="1">{"'도면'!$G$62:$H$63","'도면'!$G$62:$H$63"}</definedName>
    <definedName name="고성" localSheetId="5" hidden="1">{"'도면'!$G$62:$H$63","'도면'!$G$62:$H$63"}</definedName>
    <definedName name="고성" hidden="1">{"'도면'!$G$62:$H$63","'도면'!$G$62:$H$63"}</definedName>
    <definedName name="고성_1" localSheetId="4" hidden="1">{"'도면'!$G$62:$H$63","'도면'!$G$62:$H$63"}</definedName>
    <definedName name="고성_1" localSheetId="5" hidden="1">{"'도면'!$G$62:$H$63","'도면'!$G$62:$H$63"}</definedName>
    <definedName name="고성_1" hidden="1">{"'도면'!$G$62:$H$63","'도면'!$G$62:$H$63"}</definedName>
    <definedName name="고성1" localSheetId="4" hidden="1">{"'도면'!$G$62:$H$63","'도면'!$G$62:$H$63"}</definedName>
    <definedName name="고성1" localSheetId="5" hidden="1">{"'도면'!$G$62:$H$63","'도면'!$G$62:$H$63"}</definedName>
    <definedName name="고성1" hidden="1">{"'도면'!$G$62:$H$63","'도면'!$G$62:$H$63"}</definedName>
    <definedName name="고케" localSheetId="4">'[55]인건비 '!$B$5</definedName>
    <definedName name="고케" localSheetId="5">'[55]인건비 '!$B$5</definedName>
    <definedName name="고케">'[56]인건비 '!$B$5</definedName>
    <definedName name="곡동" localSheetId="4" hidden="1">{"'Firr(선)'!$AS$1:$AY$62","'Firr(사)'!$AS$1:$AY$62","'Firr(회)'!$AS$1:$AY$62","'Firr(선)'!$L$1:$V$62","'Firr(사)'!$L$1:$V$62","'Firr(회)'!$L$1:$V$62"}</definedName>
    <definedName name="곡동" localSheetId="5" hidden="1">{"'Firr(선)'!$AS$1:$AY$62","'Firr(사)'!$AS$1:$AY$62","'Firr(회)'!$AS$1:$AY$62","'Firr(선)'!$L$1:$V$62","'Firr(사)'!$L$1:$V$62","'Firr(회)'!$L$1:$V$62"}</definedName>
    <definedName name="곡동" hidden="1">{"'Firr(선)'!$AS$1:$AY$62","'Firr(사)'!$AS$1:$AY$62","'Firr(회)'!$AS$1:$AY$62","'Firr(선)'!$L$1:$V$62","'Firr(사)'!$L$1:$V$62","'Firr(회)'!$L$1:$V$62"}</definedName>
    <definedName name="곡동_1" localSheetId="4" hidden="1">{"'Firr(선)'!$AS$1:$AY$62","'Firr(사)'!$AS$1:$AY$62","'Firr(회)'!$AS$1:$AY$62","'Firr(선)'!$L$1:$V$62","'Firr(사)'!$L$1:$V$62","'Firr(회)'!$L$1:$V$62"}</definedName>
    <definedName name="곡동_1" localSheetId="5" hidden="1">{"'Firr(선)'!$AS$1:$AY$62","'Firr(사)'!$AS$1:$AY$62","'Firr(회)'!$AS$1:$AY$62","'Firr(선)'!$L$1:$V$62","'Firr(사)'!$L$1:$V$62","'Firr(회)'!$L$1:$V$62"}</definedName>
    <definedName name="곡동_1" hidden="1">{"'Firr(선)'!$AS$1:$AY$62","'Firr(사)'!$AS$1:$AY$62","'Firr(회)'!$AS$1:$AY$62","'Firr(선)'!$L$1:$V$62","'Firr(사)'!$L$1:$V$62","'Firr(회)'!$L$1:$V$62"}</definedName>
    <definedName name="공구" localSheetId="4">가배관내역서!공구</definedName>
    <definedName name="공구" localSheetId="5">목록!공구</definedName>
    <definedName name="공구">[0]!공구</definedName>
    <definedName name="공구손료" localSheetId="4">'[57]노무비(전기)뽑지마세요'!$C$49</definedName>
    <definedName name="공구손료" localSheetId="5">'[57]노무비(전기)뽑지마세요'!$C$49</definedName>
    <definedName name="공구손료">'[58]노무비(전기)뽑지마세요'!$C$49</definedName>
    <definedName name="공압축3.5간재" localSheetId="4">'[59]기계경비(시간당)'!$H$248</definedName>
    <definedName name="공압축3.5간재" localSheetId="5">'[59]기계경비(시간당)'!$H$248</definedName>
    <definedName name="공압축3.5간재">'[60]기계경비(시간당)'!$H$248</definedName>
    <definedName name="공압축3.5노무" localSheetId="4">'[59]기계경비(시간당)'!$H$244</definedName>
    <definedName name="공압축3.5노무" localSheetId="5">'[59]기계경비(시간당)'!$H$244</definedName>
    <definedName name="공압축3.5노무">'[60]기계경비(시간당)'!$H$244</definedName>
    <definedName name="공압축3.5노무야간" localSheetId="4">'[59]기계경비(시간당)'!$H$245</definedName>
    <definedName name="공압축3.5노무야간" localSheetId="5">'[59]기계경비(시간당)'!$H$245</definedName>
    <definedName name="공압축3.5노무야간">'[60]기계경비(시간당)'!$H$245</definedName>
    <definedName name="공압축3.5손료" localSheetId="4">'[59]기계경비(시간당)'!$H$243</definedName>
    <definedName name="공압축3.5손료" localSheetId="5">'[59]기계경비(시간당)'!$H$243</definedName>
    <definedName name="공압축3.5손료">'[60]기계경비(시간당)'!$H$243</definedName>
    <definedName name="공압축7.1간재" localSheetId="4">'[59]기계경비(시간당)'!$H$256</definedName>
    <definedName name="공압축7.1간재" localSheetId="5">'[59]기계경비(시간당)'!$H$256</definedName>
    <definedName name="공압축7.1간재">'[60]기계경비(시간당)'!$H$256</definedName>
    <definedName name="공압축7.1노무" localSheetId="4">'[59]기계경비(시간당)'!$H$252</definedName>
    <definedName name="공압축7.1노무" localSheetId="5">'[59]기계경비(시간당)'!$H$252</definedName>
    <definedName name="공압축7.1노무">'[60]기계경비(시간당)'!$H$252</definedName>
    <definedName name="공압축7.1노무야간" localSheetId="4">'[59]기계경비(시간당)'!$H$253</definedName>
    <definedName name="공압축7.1노무야간" localSheetId="5">'[59]기계경비(시간당)'!$H$253</definedName>
    <definedName name="공압축7.1노무야간">'[60]기계경비(시간당)'!$H$253</definedName>
    <definedName name="공압축7.1손료" localSheetId="4">'[59]기계경비(시간당)'!$H$251</definedName>
    <definedName name="공압축7.1손료" localSheetId="5">'[59]기계경비(시간당)'!$H$251</definedName>
    <definedName name="공압축7.1손료">'[60]기계경비(시간당)'!$H$251</definedName>
    <definedName name="공정" localSheetId="4">가배관내역서!공정</definedName>
    <definedName name="공정" localSheetId="5">목록!공정</definedName>
    <definedName name="공정">[0]!공정</definedName>
    <definedName name="곽동준" localSheetId="4" hidden="1">{"'Firr(선)'!$AS$1:$AY$62","'Firr(사)'!$AS$1:$AY$62","'Firr(회)'!$AS$1:$AY$62","'Firr(선)'!$L$1:$V$62","'Firr(사)'!$L$1:$V$62","'Firr(회)'!$L$1:$V$62"}</definedName>
    <definedName name="곽동준" localSheetId="5" hidden="1">{"'Firr(선)'!$AS$1:$AY$62","'Firr(사)'!$AS$1:$AY$62","'Firr(회)'!$AS$1:$AY$62","'Firr(선)'!$L$1:$V$62","'Firr(사)'!$L$1:$V$62","'Firr(회)'!$L$1:$V$62"}</definedName>
    <definedName name="곽동준" hidden="1">{"'Firr(선)'!$AS$1:$AY$62","'Firr(사)'!$AS$1:$AY$62","'Firr(회)'!$AS$1:$AY$62","'Firr(선)'!$L$1:$V$62","'Firr(사)'!$L$1:$V$62","'Firr(회)'!$L$1:$V$62"}</definedName>
    <definedName name="곽동준_1" localSheetId="4" hidden="1">{"'Firr(선)'!$AS$1:$AY$62","'Firr(사)'!$AS$1:$AY$62","'Firr(회)'!$AS$1:$AY$62","'Firr(선)'!$L$1:$V$62","'Firr(사)'!$L$1:$V$62","'Firr(회)'!$L$1:$V$62"}</definedName>
    <definedName name="곽동준_1" localSheetId="5" hidden="1">{"'Firr(선)'!$AS$1:$AY$62","'Firr(사)'!$AS$1:$AY$62","'Firr(회)'!$AS$1:$AY$62","'Firr(선)'!$L$1:$V$62","'Firr(사)'!$L$1:$V$62","'Firr(회)'!$L$1:$V$62"}</definedName>
    <definedName name="곽동준_1" hidden="1">{"'Firr(선)'!$AS$1:$AY$62","'Firr(사)'!$AS$1:$AY$62","'Firr(회)'!$AS$1:$AY$62","'Firr(선)'!$L$1:$V$62","'Firr(사)'!$L$1:$V$62","'Firr(회)'!$L$1:$V$62"}</definedName>
    <definedName name="곽동중" localSheetId="4" hidden="1">{"'Firr(선)'!$AS$1:$AY$62","'Firr(사)'!$AS$1:$AY$62","'Firr(회)'!$AS$1:$AY$62","'Firr(선)'!$L$1:$V$62","'Firr(사)'!$L$1:$V$62","'Firr(회)'!$L$1:$V$62"}</definedName>
    <definedName name="곽동중" localSheetId="5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곽동중_1" localSheetId="4" hidden="1">{"'Firr(선)'!$AS$1:$AY$62","'Firr(사)'!$AS$1:$AY$62","'Firr(회)'!$AS$1:$AY$62","'Firr(선)'!$L$1:$V$62","'Firr(사)'!$L$1:$V$62","'Firr(회)'!$L$1:$V$62"}</definedName>
    <definedName name="곽동중_1" localSheetId="5" hidden="1">{"'Firr(선)'!$AS$1:$AY$62","'Firr(사)'!$AS$1:$AY$62","'Firr(회)'!$AS$1:$AY$62","'Firr(선)'!$L$1:$V$62","'Firr(사)'!$L$1:$V$62","'Firr(회)'!$L$1:$V$62"}</definedName>
    <definedName name="곽동중_1" hidden="1">{"'Firr(선)'!$AS$1:$AY$62","'Firr(사)'!$AS$1:$AY$62","'Firr(회)'!$AS$1:$AY$62","'Firr(선)'!$L$1:$V$62","'Firr(사)'!$L$1:$V$62","'Firr(회)'!$L$1:$V$62"}</definedName>
    <definedName name="교대구조계산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펄근집계" localSheetId="0" hidden="1">{#N/A,#N/A,FALSE,"배수1"}</definedName>
    <definedName name="교대펄근집계" hidden="1">{#N/A,#N/A,FALSE,"배수1"}</definedName>
    <definedName name="구매" localSheetId="4" hidden="1">{"'도면'!$G$62:$H$63","'도면'!$G$62:$H$63"}</definedName>
    <definedName name="구매" localSheetId="5" hidden="1">{"'도면'!$G$62:$H$63","'도면'!$G$62:$H$63"}</definedName>
    <definedName name="구매" hidden="1">{"'도면'!$G$62:$H$63","'도면'!$G$62:$H$63"}</definedName>
    <definedName name="구매_1" localSheetId="4" hidden="1">{"'도면'!$G$62:$H$63","'도면'!$G$62:$H$63"}</definedName>
    <definedName name="구매_1" localSheetId="5" hidden="1">{"'도면'!$G$62:$H$63","'도면'!$G$62:$H$63"}</definedName>
    <definedName name="구매_1" hidden="1">{"'도면'!$G$62:$H$63","'도면'!$G$62:$H$63"}</definedName>
    <definedName name="구산갑지" localSheetId="0" hidden="1">#REF!</definedName>
    <definedName name="구산갑지" hidden="1">#REF!</definedName>
    <definedName name="근" localSheetId="0" hidden="1">{#N/A,#N/A,FALSE,"조골재"}</definedName>
    <definedName name="근" hidden="1">{#N/A,#N/A,FALSE,"조골재"}</definedName>
    <definedName name="기층포설" localSheetId="4">[61]단가!$C$83</definedName>
    <definedName name="기층포설" localSheetId="5">[61]단가!$C$83</definedName>
    <definedName name="기층포설">[62]단가!$C$83</definedName>
    <definedName name="기타" localSheetId="4">[63]집계표!$A$1:$M$2</definedName>
    <definedName name="기타" localSheetId="5">[63]집계표!$A$1:$M$2</definedName>
    <definedName name="기타">[64]집계표!$A$1:$M$2</definedName>
    <definedName name="기타자재" localSheetId="4">가배관내역서!기타자재</definedName>
    <definedName name="기타자재" localSheetId="5">목록!기타자재</definedName>
    <definedName name="기타자재">[0]!기타자재</definedName>
    <definedName name="김1" localSheetId="4" hidden="1">{"'Firr(선)'!$AS$1:$AY$62","'Firr(사)'!$AS$1:$AY$62","'Firr(회)'!$AS$1:$AY$62","'Firr(선)'!$L$1:$V$62","'Firr(사)'!$L$1:$V$62","'Firr(회)'!$L$1:$V$62"}</definedName>
    <definedName name="김1" localSheetId="5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1_1" localSheetId="4" hidden="1">{"'Firr(선)'!$AS$1:$AY$62","'Firr(사)'!$AS$1:$AY$62","'Firr(회)'!$AS$1:$AY$62","'Firr(선)'!$L$1:$V$62","'Firr(사)'!$L$1:$V$62","'Firr(회)'!$L$1:$V$62"}</definedName>
    <definedName name="김1_1" localSheetId="5" hidden="1">{"'Firr(선)'!$AS$1:$AY$62","'Firr(사)'!$AS$1:$AY$62","'Firr(회)'!$AS$1:$AY$62","'Firr(선)'!$L$1:$V$62","'Firr(사)'!$L$1:$V$62","'Firr(회)'!$L$1:$V$62"}</definedName>
    <definedName name="김1_1" hidden="1">{"'Firr(선)'!$AS$1:$AY$62","'Firr(사)'!$AS$1:$AY$62","'Firr(회)'!$AS$1:$AY$62","'Firr(선)'!$L$1:$V$62","'Firr(사)'!$L$1:$V$62","'Firr(회)'!$L$1:$V$62"}</definedName>
    <definedName name="김곽">[65]NOMUBI!$B$3:$H$39</definedName>
    <definedName name="김동" localSheetId="4" hidden="1">{"'Firr(선)'!$AS$1:$AY$62","'Firr(사)'!$AS$1:$AY$62","'Firr(회)'!$AS$1:$AY$62","'Firr(선)'!$L$1:$V$62","'Firr(사)'!$L$1:$V$62","'Firr(회)'!$L$1:$V$62"}</definedName>
    <definedName name="김동" localSheetId="5" hidden="1">{"'Firr(선)'!$AS$1:$AY$62","'Firr(사)'!$AS$1:$AY$62","'Firr(회)'!$AS$1:$AY$62","'Firr(선)'!$L$1:$V$62","'Firr(사)'!$L$1:$V$62","'Firr(회)'!$L$1:$V$62"}</definedName>
    <definedName name="김동" hidden="1">{"'Firr(선)'!$AS$1:$AY$62","'Firr(사)'!$AS$1:$AY$62","'Firr(회)'!$AS$1:$AY$62","'Firr(선)'!$L$1:$V$62","'Firr(사)'!$L$1:$V$62","'Firr(회)'!$L$1:$V$62"}</definedName>
    <definedName name="김동_1" localSheetId="4" hidden="1">{"'Firr(선)'!$AS$1:$AY$62","'Firr(사)'!$AS$1:$AY$62","'Firr(회)'!$AS$1:$AY$62","'Firr(선)'!$L$1:$V$62","'Firr(사)'!$L$1:$V$62","'Firr(회)'!$L$1:$V$62"}</definedName>
    <definedName name="김동_1" localSheetId="5" hidden="1">{"'Firr(선)'!$AS$1:$AY$62","'Firr(사)'!$AS$1:$AY$62","'Firr(회)'!$AS$1:$AY$62","'Firr(선)'!$L$1:$V$62","'Firr(사)'!$L$1:$V$62","'Firr(회)'!$L$1:$V$62"}</definedName>
    <definedName name="김동_1" hidden="1">{"'Firr(선)'!$AS$1:$AY$62","'Firr(사)'!$AS$1:$AY$62","'Firr(회)'!$AS$1:$AY$62","'Firr(선)'!$L$1:$V$62","'Firr(사)'!$L$1:$V$62","'Firr(회)'!$L$1:$V$62"}</definedName>
    <definedName name="김동준" localSheetId="4" hidden="1">{"'Firr(선)'!$AS$1:$AY$62","'Firr(사)'!$AS$1:$AY$62","'Firr(회)'!$AS$1:$AY$62","'Firr(선)'!$L$1:$V$62","'Firr(사)'!$L$1:$V$62","'Firr(회)'!$L$1:$V$62"}</definedName>
    <definedName name="김동준" localSheetId="5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동준_1" localSheetId="4" hidden="1">{"'Firr(선)'!$AS$1:$AY$62","'Firr(사)'!$AS$1:$AY$62","'Firr(회)'!$AS$1:$AY$62","'Firr(선)'!$L$1:$V$62","'Firr(사)'!$L$1:$V$62","'Firr(회)'!$L$1:$V$62"}</definedName>
    <definedName name="김동준_1" localSheetId="5" hidden="1">{"'Firr(선)'!$AS$1:$AY$62","'Firr(사)'!$AS$1:$AY$62","'Firr(회)'!$AS$1:$AY$62","'Firr(선)'!$L$1:$V$62","'Firr(사)'!$L$1:$V$62","'Firr(회)'!$L$1:$V$62"}</definedName>
    <definedName name="김동준_1" hidden="1">{"'Firr(선)'!$AS$1:$AY$62","'Firr(사)'!$AS$1:$AY$62","'Firr(회)'!$AS$1:$AY$62","'Firr(선)'!$L$1:$V$62","'Firr(사)'!$L$1:$V$62","'Firr(회)'!$L$1:$V$62"}</definedName>
    <definedName name="김상묵" localSheetId="4" hidden="1">{"'도면'!$G$62:$H$63","'도면'!$G$62:$H$63"}</definedName>
    <definedName name="김상묵" localSheetId="5" hidden="1">{"'도면'!$G$62:$H$63","'도면'!$G$62:$H$63"}</definedName>
    <definedName name="김상묵" hidden="1">{"'도면'!$G$62:$H$63","'도면'!$G$62:$H$63"}</definedName>
    <definedName name="김상묵_1" localSheetId="4" hidden="1">{"'도면'!$G$62:$H$63","'도면'!$G$62:$H$63"}</definedName>
    <definedName name="김상묵_1" localSheetId="5" hidden="1">{"'도면'!$G$62:$H$63","'도면'!$G$62:$H$63"}</definedName>
    <definedName name="김상묵_1" hidden="1">{"'도면'!$G$62:$H$63","'도면'!$G$62:$H$63"}</definedName>
    <definedName name="김신희" localSheetId="4" hidden="1">{"'7'!$B$15:$D$32"}</definedName>
    <definedName name="김신희" localSheetId="5" hidden="1">{"'7'!$B$15:$D$32"}</definedName>
    <definedName name="김신희" hidden="1">{"'7'!$B$15:$D$32"}</definedName>
    <definedName name="김ㅈㅗㅊ리" localSheetId="4" hidden="1">{"'7'!$B$15:$D$32"}</definedName>
    <definedName name="김ㅈㅗㅊ리" localSheetId="5" hidden="1">{"'7'!$B$15:$D$32"}</definedName>
    <definedName name="김ㅈㅗㅊ리" hidden="1">{"'7'!$B$15:$D$32"}</definedName>
    <definedName name="김지원" localSheetId="4" hidden="1">{"'도면'!$G$62:$H$63","'도면'!$G$62:$H$63"}</definedName>
    <definedName name="김지원" localSheetId="5" hidden="1">{"'도면'!$G$62:$H$63","'도면'!$G$62:$H$63"}</definedName>
    <definedName name="김지원" hidden="1">{"'도면'!$G$62:$H$63","'도면'!$G$62:$H$63"}</definedName>
    <definedName name="김지원_1" localSheetId="4" hidden="1">{"'도면'!$G$62:$H$63","'도면'!$G$62:$H$63"}</definedName>
    <definedName name="김지원_1" localSheetId="5" hidden="1">{"'도면'!$G$62:$H$63","'도면'!$G$62:$H$63"}</definedName>
    <definedName name="김지원_1" hidden="1">{"'도면'!$G$62:$H$63","'도면'!$G$62:$H$63"}</definedName>
    <definedName name="ㄳㄳㄳㄳ" localSheetId="4" hidden="1">{"'용역비'!$A$4:$C$8"}</definedName>
    <definedName name="ㄳㄳㄳㄳ" localSheetId="5" hidden="1">{"'용역비'!$A$4:$C$8"}</definedName>
    <definedName name="ㄳㄳㄳㄳ" hidden="1">{"'용역비'!$A$4:$C$8"}</definedName>
    <definedName name="ㄴㄴㄴ" localSheetId="0" hidden="1">{#N/A,#N/A,FALSE,"배수1"}</definedName>
    <definedName name="ㄴㄴㄴ" hidden="1">{#N/A,#N/A,FALSE,"배수1"}</definedName>
    <definedName name="ㄴㄴㅀㅇㅇㅀ" localSheetId="0" hidden="1">{#N/A,#N/A,FALSE,"부대1"}</definedName>
    <definedName name="ㄴㄴㅀㅇㅇㅀ" hidden="1">{#N/A,#N/A,FALSE,"부대1"}</definedName>
    <definedName name="ㄴㄹㄴ" localSheetId="0" hidden="1">{#N/A,#N/A,FALSE,"단가표지"}</definedName>
    <definedName name="ㄴㄹㄴ" hidden="1">{#N/A,#N/A,FALSE,"단가표지"}</definedName>
    <definedName name="ㄴㄹㅇ" localSheetId="0" hidden="1">{#N/A,#N/A,FALSE,"포장2"}</definedName>
    <definedName name="ㄴㄹㅇ" hidden="1">{#N/A,#N/A,FALSE,"포장2"}</definedName>
    <definedName name="ㄴㅁㅇㄴㅁㅇ" localSheetId="0" hidden="1">{#N/A,#N/A,FALSE,"배수1"}</definedName>
    <definedName name="ㄴㅁㅇㄴㅁㅇ" hidden="1">{#N/A,#N/A,FALSE,"배수1"}</definedName>
    <definedName name="ㄴㅅㅎㅇㅎㄹㅇ" localSheetId="0" hidden="1">{#N/A,#N/A,FALSE,"배수2"}</definedName>
    <definedName name="ㄴㅅㅎㅇㅎㄹㅇ" hidden="1">{#N/A,#N/A,FALSE,"배수2"}</definedName>
    <definedName name="나" localSheetId="4">[66]노임단가!$A$1:$B$132</definedName>
    <definedName name="나" localSheetId="5">[66]노임단가!$A$1:$B$132</definedName>
    <definedName name="나">[67]노임단가!$A$1:$B$132</definedName>
    <definedName name="나1" localSheetId="4" hidden="1">{"'Firr(선)'!$AS$1:$AY$62","'Firr(사)'!$AS$1:$AY$62","'Firr(회)'!$AS$1:$AY$62","'Firr(선)'!$L$1:$V$62","'Firr(사)'!$L$1:$V$62","'Firr(회)'!$L$1:$V$62"}</definedName>
    <definedName name="나1" localSheetId="5" hidden="1">{"'Firr(선)'!$AS$1:$AY$62","'Firr(사)'!$AS$1:$AY$62","'Firr(회)'!$AS$1:$AY$62","'Firr(선)'!$L$1:$V$62","'Firr(사)'!$L$1:$V$62","'Firr(회)'!$L$1:$V$62"}</definedName>
    <definedName name="나1" hidden="1">{"'Firr(선)'!$AS$1:$AY$62","'Firr(사)'!$AS$1:$AY$62","'Firr(회)'!$AS$1:$AY$62","'Firr(선)'!$L$1:$V$62","'Firr(사)'!$L$1:$V$62","'Firr(회)'!$L$1:$V$62"}</definedName>
    <definedName name="나1_1" localSheetId="4" hidden="1">{"'Firr(선)'!$AS$1:$AY$62","'Firr(사)'!$AS$1:$AY$62","'Firr(회)'!$AS$1:$AY$62","'Firr(선)'!$L$1:$V$62","'Firr(사)'!$L$1:$V$62","'Firr(회)'!$L$1:$V$62"}</definedName>
    <definedName name="나1_1" localSheetId="5" hidden="1">{"'Firr(선)'!$AS$1:$AY$62","'Firr(사)'!$AS$1:$AY$62","'Firr(회)'!$AS$1:$AY$62","'Firr(선)'!$L$1:$V$62","'Firr(사)'!$L$1:$V$62","'Firr(회)'!$L$1:$V$62"}</definedName>
    <definedName name="나1_1" hidden="1">{"'Firr(선)'!$AS$1:$AY$62","'Firr(사)'!$AS$1:$AY$62","'Firr(회)'!$AS$1:$AY$62","'Firr(선)'!$L$1:$V$62","'Firr(사)'!$L$1:$V$62","'Firr(회)'!$L$1:$V$62"}</definedName>
    <definedName name="나2" localSheetId="4" hidden="1">{"'Firr(선)'!$AS$1:$AY$62","'Firr(사)'!$AS$1:$AY$62","'Firr(회)'!$AS$1:$AY$62","'Firr(선)'!$L$1:$V$62","'Firr(사)'!$L$1:$V$62","'Firr(회)'!$L$1:$V$62"}</definedName>
    <definedName name="나2" localSheetId="5" hidden="1">{"'Firr(선)'!$AS$1:$AY$62","'Firr(사)'!$AS$1:$AY$62","'Firr(회)'!$AS$1:$AY$62","'Firr(선)'!$L$1:$V$62","'Firr(사)'!$L$1:$V$62","'Firr(회)'!$L$1:$V$62"}</definedName>
    <definedName name="나2" hidden="1">{"'Firr(선)'!$AS$1:$AY$62","'Firr(사)'!$AS$1:$AY$62","'Firr(회)'!$AS$1:$AY$62","'Firr(선)'!$L$1:$V$62","'Firr(사)'!$L$1:$V$62","'Firr(회)'!$L$1:$V$62"}</definedName>
    <definedName name="나2_1" localSheetId="4" hidden="1">{"'Firr(선)'!$AS$1:$AY$62","'Firr(사)'!$AS$1:$AY$62","'Firr(회)'!$AS$1:$AY$62","'Firr(선)'!$L$1:$V$62","'Firr(사)'!$L$1:$V$62","'Firr(회)'!$L$1:$V$62"}</definedName>
    <definedName name="나2_1" localSheetId="5" hidden="1">{"'Firr(선)'!$AS$1:$AY$62","'Firr(사)'!$AS$1:$AY$62","'Firr(회)'!$AS$1:$AY$62","'Firr(선)'!$L$1:$V$62","'Firr(사)'!$L$1:$V$62","'Firr(회)'!$L$1:$V$62"}</definedName>
    <definedName name="나2_1" hidden="1">{"'Firr(선)'!$AS$1:$AY$62","'Firr(사)'!$AS$1:$AY$62","'Firr(회)'!$AS$1:$AY$62","'Firr(선)'!$L$1:$V$62","'Firr(사)'!$L$1:$V$62","'Firr(회)'!$L$1:$V$62"}</definedName>
    <definedName name="날짜">YEAR(NOW())&amp;"  . "&amp;MONTH(NOW())&amp;"  . "&amp;DAY(NOW())</definedName>
    <definedName name="남남" localSheetId="0" hidden="1">#REF!</definedName>
    <definedName name="남남" hidden="1">#REF!</definedName>
    <definedName name="내역2" localSheetId="0">[68]배관내역!#REF!</definedName>
    <definedName name="내역2">[68]배관내역!#REF!</definedName>
    <definedName name="내전" localSheetId="4">'[55]인건비 '!$B$12</definedName>
    <definedName name="내전" localSheetId="5">'[55]인건비 '!$B$12</definedName>
    <definedName name="내전">'[56]인건비 '!$B$12</definedName>
    <definedName name="노" localSheetId="4" hidden="1">{"'도면'!$G$62:$H$63","'도면'!$G$62:$H$63"}</definedName>
    <definedName name="노" localSheetId="5" hidden="1">{"'도면'!$G$62:$H$63","'도면'!$G$62:$H$63"}</definedName>
    <definedName name="노" hidden="1">{"'도면'!$G$62:$H$63","'도면'!$G$62:$H$63"}</definedName>
    <definedName name="노_1" localSheetId="4" hidden="1">{"'도면'!$G$62:$H$63","'도면'!$G$62:$H$63"}</definedName>
    <definedName name="노_1" localSheetId="5" hidden="1">{"'도면'!$G$62:$H$63","'도면'!$G$62:$H$63"}</definedName>
    <definedName name="노_1" hidden="1">{"'도면'!$G$62:$H$63","'도면'!$G$62:$H$63"}</definedName>
    <definedName name="노임단가1" localSheetId="4">[69]노임단가!$A$1:$B$132</definedName>
    <definedName name="노임단가1" localSheetId="5">[69]노임단가!$A$1:$B$132</definedName>
    <definedName name="노임단가1">[70]노임단가!$A$1:$B$132</definedName>
    <definedName name="ㄷㄳㅅㄷㄱ" localSheetId="0" hidden="1">{#N/A,#N/A,FALSE,"2~8번"}</definedName>
    <definedName name="ㄷㄳㅅㄷㄱ" hidden="1">{#N/A,#N/A,FALSE,"2~8번"}</definedName>
    <definedName name="ㄷㅈㄱㄷㅈ" localSheetId="0" hidden="1">{#N/A,#N/A,FALSE,"혼합골재"}</definedName>
    <definedName name="ㄷㅈㄱㄷㅈ" hidden="1">{#N/A,#N/A,FALSE,"혼합골재"}</definedName>
    <definedName name="ㄷㅈㅂㄱㅈㅂㄷㄱ" localSheetId="0" hidden="1">{#N/A,#N/A,FALSE,"골재소요량";#N/A,#N/A,FALSE,"골재소요량"}</definedName>
    <definedName name="ㄷㅈㅂㄱㅈㅂㄷㄱ" hidden="1">{#N/A,#N/A,FALSE,"골재소요량";#N/A,#N/A,FALSE,"골재소요량"}</definedName>
    <definedName name="ㄷㅎㄹㅇ" localSheetId="0" hidden="1">#REF!</definedName>
    <definedName name="ㄷㅎㄹㅇ" hidden="1">#REF!</definedName>
    <definedName name="단가테이블" localSheetId="4">'[59]기계경비(시간당)'!$C$1:$F$58</definedName>
    <definedName name="단가테이블" localSheetId="5">'[59]기계경비(시간당)'!$C$1:$F$58</definedName>
    <definedName name="단가테이블">'[60]기계경비(시간당)'!$C$1:$F$58</definedName>
    <definedName name="단락전류2" localSheetId="4">가배관내역서!단락전류2</definedName>
    <definedName name="단락전류2" localSheetId="5">목록!단락전류2</definedName>
    <definedName name="단락전류2">[0]!단락전류2</definedName>
    <definedName name="단면특성1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위중량" localSheetId="0">#REF!</definedName>
    <definedName name="단위중량">#REF!</definedName>
    <definedName name="대화상자표시" localSheetId="4">가배관내역서!대화상자표시</definedName>
    <definedName name="대화상자표시" localSheetId="5">목록!대화상자표시</definedName>
    <definedName name="대화상자표시">[0]!대화상자표시</definedName>
    <definedName name="동력케이블" localSheetId="4">가배관내역서!동력케이블</definedName>
    <definedName name="동력케이블" localSheetId="5">목록!동력케이블</definedName>
    <definedName name="동력케이블">[0]!동력케이블</definedName>
    <definedName name="동준" localSheetId="4" hidden="1">{"'Firr(선)'!$AS$1:$AY$62","'Firr(사)'!$AS$1:$AY$62","'Firr(회)'!$AS$1:$AY$62","'Firr(선)'!$L$1:$V$62","'Firr(사)'!$L$1:$V$62","'Firr(회)'!$L$1:$V$62"}</definedName>
    <definedName name="동준" localSheetId="5" hidden="1">{"'Firr(선)'!$AS$1:$AY$62","'Firr(사)'!$AS$1:$AY$62","'Firr(회)'!$AS$1:$AY$62","'Firr(선)'!$L$1:$V$62","'Firr(사)'!$L$1:$V$62","'Firr(회)'!$L$1:$V$62"}</definedName>
    <definedName name="동준" hidden="1">{"'Firr(선)'!$AS$1:$AY$62","'Firr(사)'!$AS$1:$AY$62","'Firr(회)'!$AS$1:$AY$62","'Firr(선)'!$L$1:$V$62","'Firr(사)'!$L$1:$V$62","'Firr(회)'!$L$1:$V$62"}</definedName>
    <definedName name="동준_1" localSheetId="4" hidden="1">{"'Firr(선)'!$AS$1:$AY$62","'Firr(사)'!$AS$1:$AY$62","'Firr(회)'!$AS$1:$AY$62","'Firr(선)'!$L$1:$V$62","'Firr(사)'!$L$1:$V$62","'Firr(회)'!$L$1:$V$62"}</definedName>
    <definedName name="동준_1" localSheetId="5" hidden="1">{"'Firr(선)'!$AS$1:$AY$62","'Firr(사)'!$AS$1:$AY$62","'Firr(회)'!$AS$1:$AY$62","'Firr(선)'!$L$1:$V$62","'Firr(사)'!$L$1:$V$62","'Firr(회)'!$L$1:$V$62"}</definedName>
    <definedName name="동준_1" hidden="1">{"'Firr(선)'!$AS$1:$AY$62","'Firr(사)'!$AS$1:$AY$62","'Firr(회)'!$AS$1:$AY$62","'Firr(선)'!$L$1:$V$62","'Firr(사)'!$L$1:$V$62","'Firr(회)'!$L$1:$V$62"}</definedName>
    <definedName name="동준친" localSheetId="4" hidden="1">{"'Firr(선)'!$AS$1:$AY$62","'Firr(사)'!$AS$1:$AY$62","'Firr(회)'!$AS$1:$AY$62","'Firr(선)'!$L$1:$V$62","'Firr(사)'!$L$1:$V$62","'Firr(회)'!$L$1:$V$62"}</definedName>
    <definedName name="동준친" localSheetId="5" hidden="1">{"'Firr(선)'!$AS$1:$AY$62","'Firr(사)'!$AS$1:$AY$62","'Firr(회)'!$AS$1:$AY$62","'Firr(선)'!$L$1:$V$62","'Firr(사)'!$L$1:$V$62","'Firr(회)'!$L$1:$V$62"}</definedName>
    <definedName name="동준친" hidden="1">{"'Firr(선)'!$AS$1:$AY$62","'Firr(사)'!$AS$1:$AY$62","'Firr(회)'!$AS$1:$AY$62","'Firr(선)'!$L$1:$V$62","'Firr(사)'!$L$1:$V$62","'Firr(회)'!$L$1:$V$62"}</definedName>
    <definedName name="동준친_1" localSheetId="4" hidden="1">{"'Firr(선)'!$AS$1:$AY$62","'Firr(사)'!$AS$1:$AY$62","'Firr(회)'!$AS$1:$AY$62","'Firr(선)'!$L$1:$V$62","'Firr(사)'!$L$1:$V$62","'Firr(회)'!$L$1:$V$62"}</definedName>
    <definedName name="동준친_1" localSheetId="5" hidden="1">{"'Firr(선)'!$AS$1:$AY$62","'Firr(사)'!$AS$1:$AY$62","'Firr(회)'!$AS$1:$AY$62","'Firr(선)'!$L$1:$V$62","'Firr(사)'!$L$1:$V$62","'Firr(회)'!$L$1:$V$62"}</definedName>
    <definedName name="동준친_1" hidden="1">{"'Firr(선)'!$AS$1:$AY$62","'Firr(사)'!$AS$1:$AY$62","'Firr(회)'!$AS$1:$AY$62","'Firr(선)'!$L$1:$V$62","'Firr(사)'!$L$1:$V$62","'Firr(회)'!$L$1:$V$62"}</definedName>
    <definedName name="동해설명서" localSheetId="4" hidden="1">{"'도면'!$G$62:$H$63","'도면'!$G$62:$H$63"}</definedName>
    <definedName name="동해설명서" localSheetId="5" hidden="1">{"'도면'!$G$62:$H$63","'도면'!$G$62:$H$63"}</definedName>
    <definedName name="동해설명서" hidden="1">{"'도면'!$G$62:$H$63","'도면'!$G$62:$H$63"}</definedName>
    <definedName name="동해설명서_1" localSheetId="4" hidden="1">{"'도면'!$G$62:$H$63","'도면'!$G$62:$H$63"}</definedName>
    <definedName name="동해설명서_1" localSheetId="5" hidden="1">{"'도면'!$G$62:$H$63","'도면'!$G$62:$H$63"}</definedName>
    <definedName name="동해설명서_1" hidden="1">{"'도면'!$G$62:$H$63","'도면'!$G$62:$H$63"}</definedName>
    <definedName name="ㄹ761" localSheetId="0">[68]배관내역!#REF!</definedName>
    <definedName name="ㄹ761">[68]배관내역!#REF!</definedName>
    <definedName name="ㄹㄹㄹ" localSheetId="0" hidden="1">#REF!</definedName>
    <definedName name="ㄹㄹㄹ" hidden="1">#REF!</definedName>
    <definedName name="ㄹㄹㄹㄹ" localSheetId="4" hidden="1">{"'Firr(선)'!$AS$1:$AY$62","'Firr(사)'!$AS$1:$AY$62","'Firr(회)'!$AS$1:$AY$62","'Firr(선)'!$L$1:$V$62","'Firr(사)'!$L$1:$V$62","'Firr(회)'!$L$1:$V$62"}</definedName>
    <definedName name="ㄹㄹㄹㄹ" localSheetId="5" hidden="1">{"'Firr(선)'!$AS$1:$AY$62","'Firr(사)'!$AS$1:$AY$62","'Firr(회)'!$AS$1:$AY$62","'Firr(선)'!$L$1:$V$62","'Firr(사)'!$L$1:$V$62","'Firr(회)'!$L$1:$V$62"}</definedName>
    <definedName name="ㄹㄹㄹㄹ" hidden="1">{"'Firr(선)'!$AS$1:$AY$62","'Firr(사)'!$AS$1:$AY$62","'Firr(회)'!$AS$1:$AY$62","'Firr(선)'!$L$1:$V$62","'Firr(사)'!$L$1:$V$62","'Firr(회)'!$L$1:$V$62"}</definedName>
    <definedName name="ㄹㄹㄹㄹ_1" localSheetId="4" hidden="1">{"'Firr(선)'!$AS$1:$AY$62","'Firr(사)'!$AS$1:$AY$62","'Firr(회)'!$AS$1:$AY$62","'Firr(선)'!$L$1:$V$62","'Firr(사)'!$L$1:$V$62","'Firr(회)'!$L$1:$V$62"}</definedName>
    <definedName name="ㄹㄹㄹㄹ_1" localSheetId="5" hidden="1">{"'Firr(선)'!$AS$1:$AY$62","'Firr(사)'!$AS$1:$AY$62","'Firr(회)'!$AS$1:$AY$62","'Firr(선)'!$L$1:$V$62","'Firr(사)'!$L$1:$V$62","'Firr(회)'!$L$1:$V$62"}</definedName>
    <definedName name="ㄹㄹㄹㄹ_1" hidden="1">{"'Firr(선)'!$AS$1:$AY$62","'Firr(사)'!$AS$1:$AY$62","'Firr(회)'!$AS$1:$AY$62","'Firr(선)'!$L$1:$V$62","'Firr(사)'!$L$1:$V$62","'Firr(회)'!$L$1:$V$62"}</definedName>
    <definedName name="ㄹㅇㅁㄴㄹ" localSheetId="0" hidden="1">{#N/A,#N/A,FALSE,"혼합골재"}</definedName>
    <definedName name="ㄹㅇㅁㄴㄹ" hidden="1">{#N/A,#N/A,FALSE,"혼합골재"}</definedName>
    <definedName name="ㄹㅇ퓨ㅓㅜㅏㅗㅜㅠㅅ퐇휴ㅗㅎ" localSheetId="0" hidden="1">{#N/A,#N/A,FALSE,"조골재"}</definedName>
    <definedName name="ㄹㅇ퓨ㅓㅜㅏㅗㅜㅠㅅ퐇휴ㅗㅎ" hidden="1">{#N/A,#N/A,FALSE,"조골재"}</definedName>
    <definedName name="ㄹㅇㅎㅇㅀ" localSheetId="0" hidden="1">{#N/A,#N/A,FALSE,"부대2"}</definedName>
    <definedName name="ㄹㅇㅎㅇㅀ" hidden="1">{#N/A,#N/A,FALSE,"부대2"}</definedName>
    <definedName name="ㄹ허ㅗ" localSheetId="0" hidden="1">{#N/A,#N/A,FALSE,"이정표"}</definedName>
    <definedName name="ㄹ허ㅗ" hidden="1">{#N/A,#N/A,FALSE,"이정표"}</definedName>
    <definedName name="ㄹ홓ㄹ" localSheetId="0" hidden="1">{#N/A,#N/A,FALSE,"조골재"}</definedName>
    <definedName name="ㄹ홓ㄹ" hidden="1">{#N/A,#N/A,FALSE,"조골재"}</definedName>
    <definedName name="램머Q간재" localSheetId="4">[59]램머!$D$20</definedName>
    <definedName name="램머Q간재" localSheetId="5">[59]램머!$D$20</definedName>
    <definedName name="램머Q간재">[60]램머!$D$20</definedName>
    <definedName name="램머Q간재10" localSheetId="4">[59]램머!$F$20</definedName>
    <definedName name="램머Q간재10" localSheetId="5">[59]램머!$F$20</definedName>
    <definedName name="램머Q간재10">[60]램머!$F$20</definedName>
    <definedName name="램머Q간재야간" localSheetId="4">[59]램머!$J$20</definedName>
    <definedName name="램머Q간재야간" localSheetId="5">[59]램머!$J$20</definedName>
    <definedName name="램머Q간재야간">[60]램머!$J$20</definedName>
    <definedName name="램머Q노무" localSheetId="4">[59]램머!$D$21</definedName>
    <definedName name="램머Q노무" localSheetId="5">[59]램머!$D$21</definedName>
    <definedName name="램머Q노무">[60]램머!$D$21</definedName>
    <definedName name="램머Q노무10" localSheetId="4">[59]램머!$F$21</definedName>
    <definedName name="램머Q노무10" localSheetId="5">[59]램머!$F$21</definedName>
    <definedName name="램머Q노무10">[60]램머!$F$21</definedName>
    <definedName name="램머Q노무야간" localSheetId="4">[59]램머!$J$21</definedName>
    <definedName name="램머Q노무야간" localSheetId="5">[59]램머!$J$21</definedName>
    <definedName name="램머Q노무야간">[60]램머!$J$21</definedName>
    <definedName name="램머Q손료" localSheetId="4">[59]램머!$D$22</definedName>
    <definedName name="램머Q손료" localSheetId="5">[59]램머!$D$22</definedName>
    <definedName name="램머Q손료">[60]램머!$D$22</definedName>
    <definedName name="램머Q손료10" localSheetId="4">[59]램머!$F$22</definedName>
    <definedName name="램머Q손료10" localSheetId="5">[59]램머!$F$22</definedName>
    <definedName name="램머Q손료10">[60]램머!$F$22</definedName>
    <definedName name="램머Q손료야간" localSheetId="4">[59]램머!$J$22</definedName>
    <definedName name="램머Q손료야간" localSheetId="5">[59]램머!$J$22</definedName>
    <definedName name="램머Q손료야간">[60]램머!$J$22</definedName>
    <definedName name="램머간재" localSheetId="4">'[59]기계경비(시간당)'!$H$170</definedName>
    <definedName name="램머간재" localSheetId="5">'[59]기계경비(시간당)'!$H$170</definedName>
    <definedName name="램머간재">'[60]기계경비(시간당)'!$H$170</definedName>
    <definedName name="램머노무" localSheetId="4">'[59]기계경비(시간당)'!$H$166</definedName>
    <definedName name="램머노무" localSheetId="5">'[59]기계경비(시간당)'!$H$166</definedName>
    <definedName name="램머노무">'[60]기계경비(시간당)'!$H$166</definedName>
    <definedName name="램머노무야간" localSheetId="4">'[59]기계경비(시간당)'!$H$167</definedName>
    <definedName name="램머노무야간" localSheetId="5">'[59]기계경비(시간당)'!$H$167</definedName>
    <definedName name="램머노무야간">'[60]기계경비(시간당)'!$H$167</definedName>
    <definedName name="램머손료" localSheetId="4">'[59]기계경비(시간당)'!$H$165</definedName>
    <definedName name="램머손료" localSheetId="5">'[59]기계경비(시간당)'!$H$165</definedName>
    <definedName name="램머손료">'[60]기계경비(시간당)'!$H$165</definedName>
    <definedName name="류효정" localSheetId="4" hidden="1">{"'Firr(선)'!$AS$1:$AY$62","'Firr(사)'!$AS$1:$AY$62","'Firr(회)'!$AS$1:$AY$62","'Firr(선)'!$L$1:$V$62","'Firr(사)'!$L$1:$V$62","'Firr(회)'!$L$1:$V$62"}</definedName>
    <definedName name="류효정" localSheetId="5" hidden="1">{"'Firr(선)'!$AS$1:$AY$62","'Firr(사)'!$AS$1:$AY$62","'Firr(회)'!$AS$1:$AY$62","'Firr(선)'!$L$1:$V$62","'Firr(사)'!$L$1:$V$62","'Firr(회)'!$L$1:$V$62"}</definedName>
    <definedName name="류효정" hidden="1">{"'Firr(선)'!$AS$1:$AY$62","'Firr(사)'!$AS$1:$AY$62","'Firr(회)'!$AS$1:$AY$62","'Firr(선)'!$L$1:$V$62","'Firr(사)'!$L$1:$V$62","'Firr(회)'!$L$1:$V$62"}</definedName>
    <definedName name="류효정_1" localSheetId="4" hidden="1">{"'Firr(선)'!$AS$1:$AY$62","'Firr(사)'!$AS$1:$AY$62","'Firr(회)'!$AS$1:$AY$62","'Firr(선)'!$L$1:$V$62","'Firr(사)'!$L$1:$V$62","'Firr(회)'!$L$1:$V$62"}</definedName>
    <definedName name="류효정_1" localSheetId="5" hidden="1">{"'Firr(선)'!$AS$1:$AY$62","'Firr(사)'!$AS$1:$AY$62","'Firr(회)'!$AS$1:$AY$62","'Firr(선)'!$L$1:$V$62","'Firr(사)'!$L$1:$V$62","'Firr(회)'!$L$1:$V$62"}</definedName>
    <definedName name="류효정_1" hidden="1">{"'Firr(선)'!$AS$1:$AY$62","'Firr(사)'!$AS$1:$AY$62","'Firr(회)'!$AS$1:$AY$62","'Firr(선)'!$L$1:$V$62","'Firr(사)'!$L$1:$V$62","'Firr(회)'!$L$1:$V$62"}</definedName>
    <definedName name="ㅀㅀ" localSheetId="4" hidden="1">{"'Firr(선)'!$AS$1:$AY$62","'Firr(사)'!$AS$1:$AY$62","'Firr(회)'!$AS$1:$AY$62","'Firr(선)'!$L$1:$V$62","'Firr(사)'!$L$1:$V$62","'Firr(회)'!$L$1:$V$62"}</definedName>
    <definedName name="ㅀㅀ" localSheetId="5" hidden="1">{"'Firr(선)'!$AS$1:$AY$62","'Firr(사)'!$AS$1:$AY$62","'Firr(회)'!$AS$1:$AY$62","'Firr(선)'!$L$1:$V$62","'Firr(사)'!$L$1:$V$62","'Firr(회)'!$L$1:$V$62"}</definedName>
    <definedName name="ㅀㅀ" hidden="1">{"'Firr(선)'!$AS$1:$AY$62","'Firr(사)'!$AS$1:$AY$62","'Firr(회)'!$AS$1:$AY$62","'Firr(선)'!$L$1:$V$62","'Firr(사)'!$L$1:$V$62","'Firr(회)'!$L$1:$V$62"}</definedName>
    <definedName name="ㅀㅀ_1" localSheetId="4" hidden="1">{"'Firr(선)'!$AS$1:$AY$62","'Firr(사)'!$AS$1:$AY$62","'Firr(회)'!$AS$1:$AY$62","'Firr(선)'!$L$1:$V$62","'Firr(사)'!$L$1:$V$62","'Firr(회)'!$L$1:$V$62"}</definedName>
    <definedName name="ㅀㅀ_1" localSheetId="5" hidden="1">{"'Firr(선)'!$AS$1:$AY$62","'Firr(사)'!$AS$1:$AY$62","'Firr(회)'!$AS$1:$AY$62","'Firr(선)'!$L$1:$V$62","'Firr(사)'!$L$1:$V$62","'Firr(회)'!$L$1:$V$62"}</definedName>
    <definedName name="ㅀㅀ_1" hidden="1">{"'Firr(선)'!$AS$1:$AY$62","'Firr(사)'!$AS$1:$AY$62","'Firr(회)'!$AS$1:$AY$62","'Firr(선)'!$L$1:$V$62","'Firr(사)'!$L$1:$V$62","'Firr(회)'!$L$1:$V$62"}</definedName>
    <definedName name="ㅁ" localSheetId="0" hidden="1">[71]차액보증!#REF!</definedName>
    <definedName name="ㅁ" hidden="1">[71]차액보증!#REF!</definedName>
    <definedName name="ㅁ388" localSheetId="0">[68]배관내역!#REF!</definedName>
    <definedName name="ㅁ388">[68]배관내역!#REF!</definedName>
    <definedName name="ㅁㄱㅂ" localSheetId="0" hidden="1">{#N/A,#N/A,FALSE,"단가표지"}</definedName>
    <definedName name="ㅁㄱㅂ" hidden="1">{#N/A,#N/A,FALSE,"단가표지"}</definedName>
    <definedName name="ㅁㄴ" localSheetId="0" hidden="1">{#N/A,#N/A,FALSE,"2~8번"}</definedName>
    <definedName name="ㅁㄴ" hidden="1">{#N/A,#N/A,FALSE,"2~8번"}</definedName>
    <definedName name="ㅁㄴㅇ" localSheetId="0" hidden="1">{#N/A,#N/A,FALSE,"배수1"}</definedName>
    <definedName name="ㅁㄴㅇ" hidden="1">{#N/A,#N/A,FALSE,"배수1"}</definedName>
    <definedName name="ㅁㄴㅇㅁ" localSheetId="0" hidden="1">{#N/A,#N/A,FALSE,"배수1"}</definedName>
    <definedName name="ㅁㄴㅇㅁ" hidden="1">{#N/A,#N/A,FALSE,"배수1"}</definedName>
    <definedName name="ㅁㄹㄹㄴㅇㄹㅇㄴㄹㄴㅇ" localSheetId="0" hidden="1">{#N/A,#N/A,FALSE,"포장1";#N/A,#N/A,FALSE,"포장1"}</definedName>
    <definedName name="ㅁㄹㄹㄴㅇㄹㅇㄴㄹㄴㅇ" hidden="1">{#N/A,#N/A,FALSE,"포장1";#N/A,#N/A,FALSE,"포장1"}</definedName>
    <definedName name="ㅁㅁㅁㅁ" localSheetId="4" hidden="1">{"'도면'!$G$62:$H$63","'도면'!$G$62:$H$63"}</definedName>
    <definedName name="ㅁㅁㅁㅁ" localSheetId="5" hidden="1">{"'도면'!$G$62:$H$63","'도면'!$G$62:$H$63"}</definedName>
    <definedName name="ㅁㅁㅁㅁ" hidden="1">{"'도면'!$G$62:$H$63","'도면'!$G$62:$H$63"}</definedName>
    <definedName name="ㅁㅁㅁㅁㅂ" localSheetId="4" hidden="1">{"'도면'!$G$62:$H$63","'도면'!$G$62:$H$63"}</definedName>
    <definedName name="ㅁㅁㅁㅁㅂ" localSheetId="5" hidden="1">{"'도면'!$G$62:$H$63","'도면'!$G$62:$H$63"}</definedName>
    <definedName name="ㅁㅁㅁㅁㅂ" hidden="1">{"'도면'!$G$62:$H$63","'도면'!$G$62:$H$63"}</definedName>
    <definedName name="ㅁㅁㅁㅁㅂ_1" localSheetId="4" hidden="1">{"'도면'!$G$62:$H$63","'도면'!$G$62:$H$63"}</definedName>
    <definedName name="ㅁㅁㅁㅁㅂ_1" localSheetId="5" hidden="1">{"'도면'!$G$62:$H$63","'도면'!$G$62:$H$63"}</definedName>
    <definedName name="ㅁㅁㅁㅁㅂ_1" hidden="1">{"'도면'!$G$62:$H$63","'도면'!$G$62:$H$63"}</definedName>
    <definedName name="ㅁㅂㅂㅂㅂ" localSheetId="4" hidden="1">{"'도면'!$G$62:$H$63","'도면'!$G$62:$H$63"}</definedName>
    <definedName name="ㅁㅂㅂㅂㅂ" localSheetId="5" hidden="1">{"'도면'!$G$62:$H$63","'도면'!$G$62:$H$63"}</definedName>
    <definedName name="ㅁㅂㅂㅂㅂ" hidden="1">{"'도면'!$G$62:$H$63","'도면'!$G$62:$H$63"}</definedName>
    <definedName name="ㅁㅂㅂㅂㅂ_1" localSheetId="4" hidden="1">{"'도면'!$G$62:$H$63","'도면'!$G$62:$H$63"}</definedName>
    <definedName name="ㅁㅂㅂㅂㅂ_1" localSheetId="5" hidden="1">{"'도면'!$G$62:$H$63","'도면'!$G$62:$H$63"}</definedName>
    <definedName name="ㅁㅂㅂㅂㅂ_1" hidden="1">{"'도면'!$G$62:$H$63","'도면'!$G$62:$H$63"}</definedName>
    <definedName name="ㅁㅇㄴㅁㅇㅁ" localSheetId="0" hidden="1">{#N/A,#N/A,FALSE,"배수1"}</definedName>
    <definedName name="ㅁㅇㄴㅁㅇㅁ" hidden="1">{#N/A,#N/A,FALSE,"배수1"}</definedName>
    <definedName name="ㅁㅇㄹ" localSheetId="0" hidden="1">{#N/A,#N/A,FALSE,"포장2"}</definedName>
    <definedName name="ㅁㅇㄹ" hidden="1">{#N/A,#N/A,FALSE,"포장2"}</definedName>
    <definedName name="ㅁㅊ">[72]OPGW기별!$A$3:$IV$7</definedName>
    <definedName name="목차번호" localSheetId="4">[73]일위목차!$U$4:$V$151</definedName>
    <definedName name="목차번호" localSheetId="5">[73]일위목차!$U$4:$V$151</definedName>
    <definedName name="목차번호">[74]일위목차!$U$4:$V$151</definedName>
    <definedName name="무선안테나공">95000</definedName>
    <definedName name="ㅂㅂㅂ" localSheetId="4" hidden="1">{"'용역비'!$A$4:$C$8"}</definedName>
    <definedName name="ㅂㅂㅂ" localSheetId="5" hidden="1">{"'용역비'!$A$4:$C$8"}</definedName>
    <definedName name="ㅂㅂㅂ" hidden="1">{"'용역비'!$A$4:$C$8"}</definedName>
    <definedName name="ㅂㅂㅂ_1" localSheetId="4" hidden="1">{"'도면'!$G$62:$H$63","'도면'!$G$62:$H$63"}</definedName>
    <definedName name="ㅂㅂㅂ_1" localSheetId="5" hidden="1">{"'도면'!$G$62:$H$63","'도면'!$G$62:$H$63"}</definedName>
    <definedName name="ㅂㅂㅂ_1" hidden="1">{"'도면'!$G$62:$H$63","'도면'!$G$62:$H$63"}</definedName>
    <definedName name="ㅂㅈ" localSheetId="0" hidden="1">{#N/A,#N/A,FALSE,"2~8번"}</definedName>
    <definedName name="ㅂㅈ" hidden="1">{#N/A,#N/A,FALSE,"2~8번"}</definedName>
    <definedName name="ㅂㅈㄱㄷㅈㅂㄱㅈㄷㅂㄱ" localSheetId="0" hidden="1">{#N/A,#N/A,FALSE,"이정표"}</definedName>
    <definedName name="ㅂㅈㄱㄷㅈㅂㄱㅈㄷㅂㄱ" hidden="1">{#N/A,#N/A,FALSE,"이정표"}</definedName>
    <definedName name="ㅂㅈㄷ" localSheetId="0" hidden="1">{#N/A,#N/A,FALSE,"골재소요량";#N/A,#N/A,FALSE,"골재소요량"}</definedName>
    <definedName name="ㅂㅈㄷ" hidden="1">{#N/A,#N/A,FALSE,"골재소요량";#N/A,#N/A,FALSE,"골재소요량"}</definedName>
    <definedName name="바부" localSheetId="4" hidden="1">{"'용역비'!$A$4:$C$8"}</definedName>
    <definedName name="바부" localSheetId="5" hidden="1">{"'용역비'!$A$4:$C$8"}</definedName>
    <definedName name="바부" hidden="1">{"'용역비'!$A$4:$C$8"}</definedName>
    <definedName name="배관공수율" hidden="1">'[75]N賃率-職'!$I$5:$I$30</definedName>
    <definedName name="배관배선산출근거양식">[76]을지!$A$1:$IV$2</definedName>
    <definedName name="배전" localSheetId="4">'[55]인건비 '!$B$7</definedName>
    <definedName name="배전" localSheetId="5">'[55]인건비 '!$B$7</definedName>
    <definedName name="배전">'[56]인건비 '!$B$7</definedName>
    <definedName name="백02간재" localSheetId="4">'[59]기계경비(시간당)'!$H$161</definedName>
    <definedName name="백02간재" localSheetId="5">'[59]기계경비(시간당)'!$H$161</definedName>
    <definedName name="백02간재">'[60]기계경비(시간당)'!$H$161</definedName>
    <definedName name="백02간재티스제외" localSheetId="4">'[59]기계경비(시간당)'!$H$162</definedName>
    <definedName name="백02간재티스제외" localSheetId="5">'[59]기계경비(시간당)'!$H$162</definedName>
    <definedName name="백02간재티스제외">'[60]기계경비(시간당)'!$H$162</definedName>
    <definedName name="백02노무" localSheetId="4">'[59]기계경비(시간당)'!$H$153</definedName>
    <definedName name="백02노무" localSheetId="5">'[59]기계경비(시간당)'!$H$153</definedName>
    <definedName name="백02노무">'[60]기계경비(시간당)'!$H$153</definedName>
    <definedName name="백02노무야간" localSheetId="4">'[59]기계경비(시간당)'!$H$157</definedName>
    <definedName name="백02노무야간" localSheetId="5">'[59]기계경비(시간당)'!$H$157</definedName>
    <definedName name="백02노무야간">'[60]기계경비(시간당)'!$H$157</definedName>
    <definedName name="백02손료" localSheetId="4">'[59]기계경비(시간당)'!$H$149</definedName>
    <definedName name="백02손료" localSheetId="5">'[59]기계경비(시간당)'!$H$149</definedName>
    <definedName name="백02손료">'[60]기계경비(시간당)'!$H$149</definedName>
    <definedName name="백04간재" localSheetId="4">'[59]기계경비(시간당)'!$H$145</definedName>
    <definedName name="백04간재" localSheetId="5">'[59]기계경비(시간당)'!$H$145</definedName>
    <definedName name="백04간재">'[60]기계경비(시간당)'!$H$145</definedName>
    <definedName name="백04간재티스제외" localSheetId="4">'[59]기계경비(시간당)'!$H$146</definedName>
    <definedName name="백04간재티스제외" localSheetId="5">'[59]기계경비(시간당)'!$H$146</definedName>
    <definedName name="백04간재티스제외">'[60]기계경비(시간당)'!$H$146</definedName>
    <definedName name="백04노무" localSheetId="4">'[59]기계경비(시간당)'!$H$137</definedName>
    <definedName name="백04노무" localSheetId="5">'[59]기계경비(시간당)'!$H$137</definedName>
    <definedName name="백04노무">'[60]기계경비(시간당)'!$H$137</definedName>
    <definedName name="백04노무야간" localSheetId="4">'[59]기계경비(시간당)'!$H$141</definedName>
    <definedName name="백04노무야간" localSheetId="5">'[59]기계경비(시간당)'!$H$141</definedName>
    <definedName name="백04노무야간">'[60]기계경비(시간당)'!$H$141</definedName>
    <definedName name="백04손료" localSheetId="4">'[59]기계경비(시간당)'!$H$133</definedName>
    <definedName name="백04손료" localSheetId="5">'[59]기계경비(시간당)'!$H$133</definedName>
    <definedName name="백04손료">'[60]기계경비(시간당)'!$H$133</definedName>
    <definedName name="백07간재" localSheetId="4">'[59]기계경비(시간당)'!$H$129</definedName>
    <definedName name="백07간재" localSheetId="5">'[59]기계경비(시간당)'!$H$129</definedName>
    <definedName name="백07간재">'[60]기계경비(시간당)'!$H$129</definedName>
    <definedName name="백07노무" localSheetId="4">'[59]기계경비(시간당)'!$H$121</definedName>
    <definedName name="백07노무" localSheetId="5">'[59]기계경비(시간당)'!$H$121</definedName>
    <definedName name="백07노무">'[60]기계경비(시간당)'!$H$121</definedName>
    <definedName name="백07손료" localSheetId="4">'[59]기계경비(시간당)'!$H$117</definedName>
    <definedName name="백07손료" localSheetId="5">'[59]기계경비(시간당)'!$H$117</definedName>
    <definedName name="백07손료">'[60]기계경비(시간당)'!$H$117</definedName>
    <definedName name="백색페인트" localSheetId="4">[77]예측단가간지!$D$21</definedName>
    <definedName name="백색페인트" localSheetId="5">[77]예측단가간지!$D$21</definedName>
    <definedName name="백색페인트">[78]예측단가간지!$D$21</definedName>
    <definedName name="백호">'[54]샌딩 에폭시 도장'!$A$1:$L$25</definedName>
    <definedName name="별지" localSheetId="4">'[57]6.별지'!$B$1:$W$1000</definedName>
    <definedName name="별지" localSheetId="5">'[57]6.별지'!$B$1:$W$1000</definedName>
    <definedName name="별지">'[58]6.별지'!$B$1:$W$1000</definedName>
    <definedName name="보이기" localSheetId="4">[79]!보이기</definedName>
    <definedName name="보이기">[79]!보이기</definedName>
    <definedName name="보조기층포설" localSheetId="4">[61]단가!$C$86</definedName>
    <definedName name="보조기층포설" localSheetId="5">[61]단가!$C$86</definedName>
    <definedName name="보조기층포설">[62]단가!$C$86</definedName>
    <definedName name="부대원본" localSheetId="0" hidden="1">{#N/A,#N/A,FALSE,"토공2"}</definedName>
    <definedName name="부대원본" hidden="1">{#N/A,#N/A,FALSE,"토공2"}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브02간재구조물" localSheetId="4">'[59]기계경비(시간당)'!$H$112</definedName>
    <definedName name="브02간재구조물" localSheetId="5">'[59]기계경비(시간당)'!$H$112</definedName>
    <definedName name="브02간재구조물">'[60]기계경비(시간당)'!$H$112</definedName>
    <definedName name="브02노무" localSheetId="4">'[59]기계경비(시간당)'!$H$110</definedName>
    <definedName name="브02노무" localSheetId="5">'[59]기계경비(시간당)'!$H$110</definedName>
    <definedName name="브02노무">'[60]기계경비(시간당)'!$H$110</definedName>
    <definedName name="브02노무야간" localSheetId="4">'[59]기계경비(시간당)'!$H$111</definedName>
    <definedName name="브02노무야간" localSheetId="5">'[59]기계경비(시간당)'!$H$111</definedName>
    <definedName name="브02노무야간">'[60]기계경비(시간당)'!$H$111</definedName>
    <definedName name="브02손료" localSheetId="4">'[59]기계경비(시간당)'!$H$109</definedName>
    <definedName name="브02손료" localSheetId="5">'[59]기계경비(시간당)'!$H$109</definedName>
    <definedName name="브02손료">'[60]기계경비(시간당)'!$H$109</definedName>
    <definedName name="브04간재구조물" localSheetId="4">'[59]기계경비(시간당)'!$H$105</definedName>
    <definedName name="브04간재구조물" localSheetId="5">'[59]기계경비(시간당)'!$H$105</definedName>
    <definedName name="브04간재구조물">'[60]기계경비(시간당)'!$H$105</definedName>
    <definedName name="브04노무" localSheetId="4">'[59]기계경비(시간당)'!$H$103</definedName>
    <definedName name="브04노무" localSheetId="5">'[59]기계경비(시간당)'!$H$103</definedName>
    <definedName name="브04노무">'[60]기계경비(시간당)'!$H$103</definedName>
    <definedName name="브04노무야간" localSheetId="4">'[59]기계경비(시간당)'!$H$104</definedName>
    <definedName name="브04노무야간" localSheetId="5">'[59]기계경비(시간당)'!$H$104</definedName>
    <definedName name="브04노무야간">'[60]기계경비(시간당)'!$H$104</definedName>
    <definedName name="브04손료" localSheetId="4">'[59]기계경비(시간당)'!$H$102</definedName>
    <definedName name="브04손료" localSheetId="5">'[59]기계경비(시간당)'!$H$102</definedName>
    <definedName name="브04손료">'[60]기계경비(시간당)'!$H$102</definedName>
    <definedName name="브레이드" localSheetId="4">'[59]기계경비(시간당)'!$D$28</definedName>
    <definedName name="브레이드" localSheetId="5">'[59]기계경비(시간당)'!$D$28</definedName>
    <definedName name="브레이드">'[60]기계경비(시간당)'!$D$28</definedName>
    <definedName name="비교" hidden="1">255</definedName>
    <definedName name="비교표1" hidden="1">255</definedName>
    <definedName name="비상부하계산" localSheetId="4">가배관내역서!비상부하계산</definedName>
    <definedName name="비상부하계산" localSheetId="5">목록!비상부하계산</definedName>
    <definedName name="비상부하계산">[0]!비상부하계산</definedName>
    <definedName name="ㅅㅅㅅㅅㅅㅅㅅ" localSheetId="4" hidden="1">{"'도면'!$G$62:$H$63","'도면'!$G$62:$H$63"}</definedName>
    <definedName name="ㅅㅅㅅㅅㅅㅅㅅ" localSheetId="5" hidden="1">{"'도면'!$G$62:$H$63","'도면'!$G$62:$H$63"}</definedName>
    <definedName name="ㅅㅅㅅㅅㅅㅅㅅ" hidden="1">{"'도면'!$G$62:$H$63","'도면'!$G$62:$H$63"}</definedName>
    <definedName name="ㅅㅅㅅㅅㅅㅅㅅ_1" localSheetId="4" hidden="1">{"'도면'!$G$62:$H$63","'도면'!$G$62:$H$63"}</definedName>
    <definedName name="ㅅㅅㅅㅅㅅㅅㅅ_1" localSheetId="5" hidden="1">{"'도면'!$G$62:$H$63","'도면'!$G$62:$H$63"}</definedName>
    <definedName name="ㅅㅅㅅㅅㅅㅅㅅ_1" hidden="1">{"'도면'!$G$62:$H$63","'도면'!$G$62:$H$63"}</definedName>
    <definedName name="ㅅㅎㄱㄷㅅㄷㄱ" localSheetId="0" hidden="1">{#N/A,#N/A,FALSE,"표지목차"}</definedName>
    <definedName name="ㅅㅎㄱㄷㅅㄷㄱ" hidden="1">{#N/A,#N/A,FALSE,"표지목차"}</definedName>
    <definedName name="사랑" localSheetId="4">'[80]인건비 '!$B$5</definedName>
    <definedName name="사랑" localSheetId="5">'[80]인건비 '!$B$5</definedName>
    <definedName name="사랑">'[81]인건비 '!$B$5</definedName>
    <definedName name="사본" localSheetId="4" hidden="1">{"'7'!$B$15:$D$32"}</definedName>
    <definedName name="사본" localSheetId="5" hidden="1">{"'7'!$B$15:$D$32"}</definedName>
    <definedName name="사본" hidden="1">{"'7'!$B$15:$D$32"}</definedName>
    <definedName name="산출" localSheetId="4">'[82]내역서 '!$A$22:$BE$356</definedName>
    <definedName name="산출" localSheetId="5">'[82]내역서 '!$A$22:$BE$356</definedName>
    <definedName name="산출">'[83]내역서 '!$A$22:$BE$356</definedName>
    <definedName name="산출근거44" localSheetId="4" hidden="1">{"'제10장(표)'!$A$5:$L$10"}</definedName>
    <definedName name="산출근거44" localSheetId="5" hidden="1">{"'제10장(표)'!$A$5:$L$10"}</definedName>
    <definedName name="산출근거44" hidden="1">{"'제10장(표)'!$A$5:$L$10"}</definedName>
    <definedName name="산출내역서1" localSheetId="4" hidden="1">{"'신흥취수펌프 검토'!$M$2","'신흥취수펌프 검토'!$A$1:$AE$87"}</definedName>
    <definedName name="산출내역서1" localSheetId="5" hidden="1">{"'신흥취수펌프 검토'!$M$2","'신흥취수펌프 검토'!$A$1:$AE$87"}</definedName>
    <definedName name="산출내역서1" hidden="1">{"'신흥취수펌프 검토'!$M$2","'신흥취수펌프 검토'!$A$1:$AE$87"}</definedName>
    <definedName name="산출내역서1_1" localSheetId="4" hidden="1">{"'신흥취수펌프 검토'!$M$2","'신흥취수펌프 검토'!$A$1:$AE$87"}</definedName>
    <definedName name="산출내역서1_1" localSheetId="5" hidden="1">{"'신흥취수펌프 검토'!$M$2","'신흥취수펌프 검토'!$A$1:$AE$87"}</definedName>
    <definedName name="산출내역서1_1" hidden="1">{"'신흥취수펌프 검토'!$M$2","'신흥취수펌프 검토'!$A$1:$AE$87"}</definedName>
    <definedName name="상" localSheetId="4" hidden="1">{"'도면'!$G$62:$H$63","'도면'!$G$62:$H$63"}</definedName>
    <definedName name="상" localSheetId="5" hidden="1">{"'도면'!$G$62:$H$63","'도면'!$G$62:$H$63"}</definedName>
    <definedName name="상" hidden="1">{"'도면'!$G$62:$H$63","'도면'!$G$62:$H$63"}</definedName>
    <definedName name="상권" localSheetId="4" hidden="1">{"'7'!$B$15:$D$32"}</definedName>
    <definedName name="상권" localSheetId="5" hidden="1">{"'7'!$B$15:$D$32"}</definedName>
    <definedName name="상권" hidden="1">{"'7'!$B$15:$D$32"}</definedName>
    <definedName name="상리설계설명서" localSheetId="4" hidden="1">{"'도면'!$G$62:$H$63","'도면'!$G$62:$H$63"}</definedName>
    <definedName name="상리설계설명서" localSheetId="5" hidden="1">{"'도면'!$G$62:$H$63","'도면'!$G$62:$H$63"}</definedName>
    <definedName name="상리설계설명서" hidden="1">{"'도면'!$G$62:$H$63","'도면'!$G$62:$H$63"}</definedName>
    <definedName name="상리설계설명서_1" localSheetId="4" hidden="1">{"'도면'!$G$62:$H$63","'도면'!$G$62:$H$63"}</definedName>
    <definedName name="상리설계설명서_1" localSheetId="5" hidden="1">{"'도면'!$G$62:$H$63","'도면'!$G$62:$H$63"}</definedName>
    <definedName name="상리설계설명서_1" hidden="1">{"'도면'!$G$62:$H$63","'도면'!$G$62:$H$63"}</definedName>
    <definedName name="상품개발" localSheetId="4" hidden="1">{"'7'!$B$15:$D$32"}</definedName>
    <definedName name="상품개발" localSheetId="5" hidden="1">{"'7'!$B$15:$D$32"}</definedName>
    <definedName name="상품개발" hidden="1">{"'7'!$B$15:$D$32"}</definedName>
    <definedName name="새로운이름" localSheetId="4" hidden="1">{"'7'!$B$15:$D$32"}</definedName>
    <definedName name="새로운이름" localSheetId="5" hidden="1">{"'7'!$B$15:$D$32"}</definedName>
    <definedName name="새로운이름" hidden="1">{"'7'!$B$15:$D$32"}</definedName>
    <definedName name="선택층포설다짐" localSheetId="4">[61]단가!$C$80</definedName>
    <definedName name="선택층포설다짐" localSheetId="5">[61]단가!$C$80</definedName>
    <definedName name="선택층포설다짐">[62]단가!$C$80</definedName>
    <definedName name="설명" localSheetId="4" hidden="1">{"'제10장(표)'!$A$5:$L$10"}</definedName>
    <definedName name="설명" localSheetId="5" hidden="1">{"'제10장(표)'!$A$5:$L$10"}</definedName>
    <definedName name="설명" hidden="1">{"'제10장(표)'!$A$5:$L$10"}</definedName>
    <definedName name="성근" localSheetId="0" hidden="1">{#N/A,#N/A,FALSE,"포장2"}</definedName>
    <definedName name="성근" hidden="1">{#N/A,#N/A,FALSE,"포장2"}</definedName>
    <definedName name="성토과재" localSheetId="0" hidden="1">{#N/A,#N/A,FALSE,"조골재"}</definedName>
    <definedName name="성토과재" hidden="1">{#N/A,#N/A,FALSE,"조골재"}</definedName>
    <definedName name="소형B손료" localSheetId="4">'[59]기계경비(시간당)'!$H$240</definedName>
    <definedName name="소형B손료" localSheetId="5">'[59]기계경비(시간당)'!$H$240</definedName>
    <definedName name="소형B손료">'[60]기계경비(시간당)'!$H$240</definedName>
    <definedName name="손영주" localSheetId="0" hidden="1">{#N/A,#N/A,FALSE,"조골재"}</definedName>
    <definedName name="손영주" hidden="1">{#N/A,#N/A,FALSE,"조골재"}</definedName>
    <definedName name="손익총괄표3" localSheetId="4" hidden="1">{"'7'!$B$15:$D$32"}</definedName>
    <definedName name="손익총괄표3" localSheetId="5" hidden="1">{"'7'!$B$15:$D$32"}</definedName>
    <definedName name="손익총괄표3" hidden="1">{"'7'!$B$15:$D$32"}</definedName>
    <definedName name="순위결정" localSheetId="4" hidden="1">{"'제10장(표)'!$A$5:$L$10"}</definedName>
    <definedName name="순위결정" localSheetId="5" hidden="1">{"'제10장(표)'!$A$5:$L$10"}</definedName>
    <definedName name="순위결정" hidden="1">{"'제10장(표)'!$A$5:$L$10"}</definedName>
    <definedName name="숨기기비고" localSheetId="4">[79]!숨기기비고</definedName>
    <definedName name="숨기기비고">[79]!숨기기비고</definedName>
    <definedName name="숨기기총괄" localSheetId="4">[79]!숨기기총괄</definedName>
    <definedName name="숨기기총괄">[79]!숨기기총괄</definedName>
    <definedName name="숨기기팀별" localSheetId="4">[79]!숨기기팀별</definedName>
    <definedName name="숨기기팀별">[79]!숨기기팀별</definedName>
    <definedName name="시" localSheetId="4">[84]집계표!$A$1:$M$2</definedName>
    <definedName name="시" localSheetId="5">[84]집계표!$A$1:$M$2</definedName>
    <definedName name="시">[85]집계표!$A$1:$M$2</definedName>
    <definedName name="시운" localSheetId="4">[86]집계표!$A$1:$M$2</definedName>
    <definedName name="시운" localSheetId="5">[86]집계표!$A$1:$M$2</definedName>
    <definedName name="시운">[87]집계표!$A$1:$M$2</definedName>
    <definedName name="식재">[88]코드표!$A:$F</definedName>
    <definedName name="신호" localSheetId="4">[89]인건비!$B$23</definedName>
    <definedName name="신호" localSheetId="5">[89]인건비!$B$23</definedName>
    <definedName name="신호">[90]인건비!$B$23</definedName>
    <definedName name="신호기" localSheetId="4">가배관내역서!신호기</definedName>
    <definedName name="신호기" localSheetId="5">목록!신호기</definedName>
    <definedName name="신호기">[0]!신호기</definedName>
    <definedName name="신호기가로등" localSheetId="4">가배관내역서!신호기가로등</definedName>
    <definedName name="신호기가로등" localSheetId="5">목록!신호기가로등</definedName>
    <definedName name="신호기가로등">[0]!신호기가로등</definedName>
    <definedName name="ㅇㄴㄴㄴㄴㄴㄴㄴㄴㄴ" localSheetId="0" hidden="1">{#N/A,#N/A,FALSE,"혼합골재"}</definedName>
    <definedName name="ㅇㄴㄴㄴㄴㄴㄴㄴㄴㄴ" hidden="1">{#N/A,#N/A,FALSE,"혼합골재"}</definedName>
    <definedName name="ㅇㄴㅇ" localSheetId="4" hidden="1">{"'7'!$B$15:$D$32"}</definedName>
    <definedName name="ㅇㄴㅇ" localSheetId="5" hidden="1">{"'7'!$B$15:$D$32"}</definedName>
    <definedName name="ㅇㄴㅇ" hidden="1">{"'7'!$B$15:$D$32"}</definedName>
    <definedName name="ㅇㄹㄴㅀㄹㅇㅎㄹㅇㅎ" localSheetId="0" hidden="1">{#N/A,#N/A,FALSE,"2~8번"}</definedName>
    <definedName name="ㅇㄹㄴㅀㄹㅇㅎㄹㅇㅎ" hidden="1">{#N/A,#N/A,FALSE,"2~8번"}</definedName>
    <definedName name="ㅇㄹㄹ" localSheetId="0" hidden="1">#REF!</definedName>
    <definedName name="ㅇㄹㄹ" hidden="1">#REF!</definedName>
    <definedName name="ㅇㄹㄹㅇ" localSheetId="0" hidden="1">{#N/A,#N/A,FALSE,"2~8번"}</definedName>
    <definedName name="ㅇㄹㄹㅇ" hidden="1">{#N/A,#N/A,FALSE,"2~8번"}</definedName>
    <definedName name="ㅇㄹㅇ" localSheetId="0" hidden="1">{#N/A,#N/A,FALSE,"운반시간"}</definedName>
    <definedName name="ㅇㄹㅇ" hidden="1">{#N/A,#N/A,FALSE,"운반시간"}</definedName>
    <definedName name="ㅇㅀㅎㅎㅎㅎㅎㅎㅎㅎㅎㅎㅎㅎㅎㅎㅎ" localSheetId="0" hidden="1">{#N/A,#N/A,FALSE,"구조2"}</definedName>
    <definedName name="ㅇㅀㅎㅎㅎㅎㅎㅎㅎㅎㅎㅎㅎㅎㅎㅎㅎ" hidden="1">{#N/A,#N/A,FALSE,"구조2"}</definedName>
    <definedName name="ㅇㅇㅇㅇ" localSheetId="4" hidden="1">{"'도면'!$G$62:$H$63","'도면'!$G$62:$H$63"}</definedName>
    <definedName name="ㅇㅇㅇㅇ" localSheetId="0" hidden="1">#REF!</definedName>
    <definedName name="ㅇㅇㅇㅇ" localSheetId="6" hidden="1">{"'도면'!$G$62:$H$63","'도면'!$G$62:$H$63"}</definedName>
    <definedName name="ㅇㅇㅇㅇ" localSheetId="5" hidden="1">{"'도면'!$G$62:$H$63","'도면'!$G$62:$H$63"}</definedName>
    <definedName name="ㅇㅇㅇㅇ" hidden="1">#REF!</definedName>
    <definedName name="아니다" localSheetId="4" hidden="1">{"'7'!$B$15:$D$32"}</definedName>
    <definedName name="아니다" localSheetId="5" hidden="1">{"'7'!$B$15:$D$32"}</definedName>
    <definedName name="아니다" hidden="1">{"'7'!$B$15:$D$32"}</definedName>
    <definedName name="아러ㅏ러" localSheetId="4" hidden="1">{"'Firr(선)'!$AS$1:$AY$62","'Firr(사)'!$AS$1:$AY$62","'Firr(회)'!$AS$1:$AY$62","'Firr(선)'!$L$1:$V$62","'Firr(사)'!$L$1:$V$62","'Firr(회)'!$L$1:$V$62"}</definedName>
    <definedName name="아러ㅏ러" localSheetId="5" hidden="1">{"'Firr(선)'!$AS$1:$AY$62","'Firr(사)'!$AS$1:$AY$62","'Firr(회)'!$AS$1:$AY$62","'Firr(선)'!$L$1:$V$62","'Firr(사)'!$L$1:$V$62","'Firr(회)'!$L$1:$V$62"}</definedName>
    <definedName name="아러ㅏ러" hidden="1">{"'Firr(선)'!$AS$1:$AY$62","'Firr(사)'!$AS$1:$AY$62","'Firr(회)'!$AS$1:$AY$62","'Firr(선)'!$L$1:$V$62","'Firr(사)'!$L$1:$V$62","'Firr(회)'!$L$1:$V$62"}</definedName>
    <definedName name="아러ㅏ러_1" localSheetId="4" hidden="1">{"'Firr(선)'!$AS$1:$AY$62","'Firr(사)'!$AS$1:$AY$62","'Firr(회)'!$AS$1:$AY$62","'Firr(선)'!$L$1:$V$62","'Firr(사)'!$L$1:$V$62","'Firr(회)'!$L$1:$V$62"}</definedName>
    <definedName name="아러ㅏ러_1" localSheetId="5" hidden="1">{"'Firr(선)'!$AS$1:$AY$62","'Firr(사)'!$AS$1:$AY$62","'Firr(회)'!$AS$1:$AY$62","'Firr(선)'!$L$1:$V$62","'Firr(사)'!$L$1:$V$62","'Firr(회)'!$L$1:$V$62"}</definedName>
    <definedName name="아러ㅏ러_1" hidden="1">{"'Firr(선)'!$AS$1:$AY$62","'Firr(사)'!$AS$1:$AY$62","'Firr(회)'!$AS$1:$AY$62","'Firr(선)'!$L$1:$V$62","'Firr(사)'!$L$1:$V$62","'Firr(회)'!$L$1:$V$62"}</definedName>
    <definedName name="아리랑" localSheetId="4">'[91]배관배선 단가조사'!$A$3:$P$190</definedName>
    <definedName name="아리랑" localSheetId="5">'[91]배관배선 단가조사'!$A$3:$P$190</definedName>
    <definedName name="아리랑">'[92]배관배선 단가조사'!$A$3:$P$190</definedName>
    <definedName name="아리랑2" localSheetId="4">[91]일위대가!$A$1:$P$990</definedName>
    <definedName name="아리랑2" localSheetId="5">[91]일위대가!$A$1:$P$990</definedName>
    <definedName name="아리랑2">[92]일위대가!$A$1:$P$990</definedName>
    <definedName name="아리랑3" localSheetId="4">[91]일위대가!$A$1:$O$1918</definedName>
    <definedName name="아리랑3" localSheetId="5">[91]일위대가!$A$1:$O$1918</definedName>
    <definedName name="아리랑3">[92]일위대가!$A$1:$O$1918</definedName>
    <definedName name="아리랑4" localSheetId="4">[91]일위대가집계!$A$1:$L$81</definedName>
    <definedName name="아리랑4" localSheetId="5">[91]일위대가집계!$A$1:$L$81</definedName>
    <definedName name="아리랑4">[92]일위대가집계!$A$1:$L$81</definedName>
    <definedName name="아스콘깨기" localSheetId="0" hidden="1">{#N/A,#N/A,FALSE,"골재소요량";#N/A,#N/A,FALSE,"골재소요량"}</definedName>
    <definedName name="아스콘깨기" hidden="1">{#N/A,#N/A,FALSE,"골재소요량";#N/A,#N/A,FALSE,"골재소요량"}</definedName>
    <definedName name="아앙ㅇㅇ" localSheetId="4" hidden="1">{"'신흥취수펌프 검토'!$M$2","'신흥취수펌프 검토'!$A$1:$AE$87"}</definedName>
    <definedName name="아앙ㅇㅇ" localSheetId="5" hidden="1">{"'신흥취수펌프 검토'!$M$2","'신흥취수펌프 검토'!$A$1:$AE$87"}</definedName>
    <definedName name="아앙ㅇㅇ" hidden="1">{"'신흥취수펌프 검토'!$M$2","'신흥취수펌프 검토'!$A$1:$AE$87"}</definedName>
    <definedName name="아앙ㅇㅇ_1" localSheetId="4" hidden="1">{"'신흥취수펌프 검토'!$M$2","'신흥취수펌프 검토'!$A$1:$AE$87"}</definedName>
    <definedName name="아앙ㅇㅇ_1" localSheetId="5" hidden="1">{"'신흥취수펌프 검토'!$M$2","'신흥취수펌프 검토'!$A$1:$AE$87"}</definedName>
    <definedName name="아앙ㅇㅇ_1" hidden="1">{"'신흥취수펌프 검토'!$M$2","'신흥취수펌프 검토'!$A$1:$AE$87"}</definedName>
    <definedName name="앙아" localSheetId="4" hidden="1">{"'신흥취수펌프 검토'!$M$2","'신흥취수펌프 검토'!$A$1:$AE$87"}</definedName>
    <definedName name="앙아" localSheetId="5" hidden="1">{"'신흥취수펌프 검토'!$M$2","'신흥취수펌프 검토'!$A$1:$AE$87"}</definedName>
    <definedName name="앙아" hidden="1">{"'신흥취수펌프 검토'!$M$2","'신흥취수펌프 검토'!$A$1:$AE$87"}</definedName>
    <definedName name="앙아_1" localSheetId="4" hidden="1">{"'신흥취수펌프 검토'!$M$2","'신흥취수펌프 검토'!$A$1:$AE$87"}</definedName>
    <definedName name="앙아_1" localSheetId="5" hidden="1">{"'신흥취수펌프 검토'!$M$2","'신흥취수펌프 검토'!$A$1:$AE$87"}</definedName>
    <definedName name="앙아_1" hidden="1">{"'신흥취수펌프 검토'!$M$2","'신흥취수펌프 검토'!$A$1:$AE$87"}</definedName>
    <definedName name="업무배분3" localSheetId="4" hidden="1">{"'관경확장'!$A$79:$M$98","'관경확장'!$A$54:$M$78"}</definedName>
    <definedName name="업무배분3" localSheetId="5" hidden="1">{"'관경확장'!$A$79:$M$98","'관경확장'!$A$54:$M$78"}</definedName>
    <definedName name="업무배분3" hidden="1">{"'관경확장'!$A$79:$M$98","'관경확장'!$A$54:$M$78"}</definedName>
    <definedName name="연접물량" localSheetId="4">가배관내역서!연접물량</definedName>
    <definedName name="연접물량" localSheetId="5">목록!연접물량</definedName>
    <definedName name="연접물량">[0]!연접물량</definedName>
    <definedName name="연접물량가로등" localSheetId="4">가배관내역서!연접물량가로등</definedName>
    <definedName name="연접물량가로등" localSheetId="5">목록!연접물량가로등</definedName>
    <definedName name="연접물량가로등">[0]!연접물량가로등</definedName>
    <definedName name="연필H" localSheetId="4">'[93]2.재료비'!$D$13</definedName>
    <definedName name="연필H" localSheetId="5">'[93]2.재료비'!$D$13</definedName>
    <definedName name="연필H">'[94]2.재료비'!$D$13</definedName>
    <definedName name="연필HB" localSheetId="4">'[93]2.재료비'!$D$12</definedName>
    <definedName name="연필HB" localSheetId="5">'[93]2.재료비'!$D$12</definedName>
    <definedName name="연필HB">'[94]2.재료비'!$D$12</definedName>
    <definedName name="요" localSheetId="4" hidden="1">{"'7'!$B$15:$D$32"}</definedName>
    <definedName name="요" localSheetId="5" hidden="1">{"'7'!$B$15:$D$32"}</definedName>
    <definedName name="요" hidden="1">{"'7'!$B$15:$D$32"}</definedName>
    <definedName name="요마" localSheetId="4" hidden="1">{"'7'!$B$15:$D$32"}</definedName>
    <definedName name="요마" localSheetId="5" hidden="1">{"'7'!$B$15:$D$32"}</definedName>
    <definedName name="요마" hidden="1">{"'7'!$B$15:$D$32"}</definedName>
    <definedName name="요약1" localSheetId="4" hidden="1">{"'7'!$B$15:$D$32"}</definedName>
    <definedName name="요약1" localSheetId="5" hidden="1">{"'7'!$B$15:$D$32"}</definedName>
    <definedName name="요약1" hidden="1">{"'7'!$B$15:$D$32"}</definedName>
    <definedName name="요약2" localSheetId="4" hidden="1">{"'7'!$B$15:$D$32"}</definedName>
    <definedName name="요약2" localSheetId="5" hidden="1">{"'7'!$B$15:$D$32"}</definedName>
    <definedName name="요약2" hidden="1">{"'7'!$B$15:$D$32"}</definedName>
    <definedName name="용역" localSheetId="4" hidden="1">{"'7'!$B$15:$D$32"}</definedName>
    <definedName name="용역" localSheetId="5" hidden="1">{"'7'!$B$15:$D$32"}</definedName>
    <definedName name="용역" hidden="1">{"'7'!$B$15:$D$32"}</definedName>
    <definedName name="용접공" localSheetId="4">'[59]기계경비(시간당)'!$D$13</definedName>
    <definedName name="용접공" localSheetId="5">'[59]기계경비(시간당)'!$D$13</definedName>
    <definedName name="용접공">'[60]기계경비(시간당)'!$D$13</definedName>
    <definedName name="운반차운전사">55214</definedName>
    <definedName name="운전기사" localSheetId="4">[95]인건비!$B$13</definedName>
    <definedName name="운전기사" localSheetId="5">[95]인건비!$B$13</definedName>
    <definedName name="운전기사">[96]인건비!$B$13</definedName>
    <definedName name="운전사_운반" localSheetId="4">'[59]기계경비(시간당)'!$D$7</definedName>
    <definedName name="운전사_운반" localSheetId="5">'[59]기계경비(시간당)'!$D$7</definedName>
    <definedName name="운전사_운반">'[60]기계경비(시간당)'!$D$7</definedName>
    <definedName name="원가계산" localSheetId="4">가배관내역서!원가계산</definedName>
    <definedName name="원가계산" localSheetId="5">목록!원가계산</definedName>
    <definedName name="원가계산">[0]!원가계산</definedName>
    <definedName name="원가계산서1" localSheetId="4" hidden="1">{"'신흥취수펌프 검토'!$M$2","'신흥취수펌프 검토'!$A$1:$AE$87"}</definedName>
    <definedName name="원가계산서1" localSheetId="5" hidden="1">{"'신흥취수펌프 검토'!$M$2","'신흥취수펌프 검토'!$A$1:$AE$87"}</definedName>
    <definedName name="원가계산서1" hidden="1">{"'신흥취수펌프 검토'!$M$2","'신흥취수펌프 검토'!$A$1:$AE$87"}</definedName>
    <definedName name="원가계산서1_1" localSheetId="4" hidden="1">{"'신흥취수펌프 검토'!$M$2","'신흥취수펌프 검토'!$A$1:$AE$87"}</definedName>
    <definedName name="원가계산서1_1" localSheetId="5" hidden="1">{"'신흥취수펌프 검토'!$M$2","'신흥취수펌프 검토'!$A$1:$AE$87"}</definedName>
    <definedName name="원가계산서1_1" hidden="1">{"'신흥취수펌프 검토'!$M$2","'신흥취수펌프 검토'!$A$1:$AE$87"}</definedName>
    <definedName name="원가계산창" localSheetId="4">가배관내역서!원가계산창</definedName>
    <definedName name="원가계산창" localSheetId="5">목록!원가계산창</definedName>
    <definedName name="원가계산창">[0]!원가계산창</definedName>
    <definedName name="원동" localSheetId="4" hidden="1">{"'신흥취수펌프 검토'!$M$2","'신흥취수펌프 검토'!$A$1:$AE$87"}</definedName>
    <definedName name="원동" localSheetId="5" hidden="1">{"'신흥취수펌프 검토'!$M$2","'신흥취수펌프 검토'!$A$1:$AE$87"}</definedName>
    <definedName name="원동" hidden="1">{"'신흥취수펌프 검토'!$M$2","'신흥취수펌프 검토'!$A$1:$AE$87"}</definedName>
    <definedName name="원동_1" localSheetId="4" hidden="1">{"'신흥취수펌프 검토'!$M$2","'신흥취수펌프 검토'!$A$1:$AE$87"}</definedName>
    <definedName name="원동_1" localSheetId="5" hidden="1">{"'신흥취수펌프 검토'!$M$2","'신흥취수펌프 검토'!$A$1:$AE$87"}</definedName>
    <definedName name="원동_1" hidden="1">{"'신흥취수펌프 검토'!$M$2","'신흥취수펌프 검토'!$A$1:$AE$87"}</definedName>
    <definedName name="원표지" localSheetId="4" hidden="1">{"'관경확장'!$A$79:$M$98","'관경확장'!$A$54:$M$78"}</definedName>
    <definedName name="원표지" localSheetId="5" hidden="1">{"'관경확장'!$A$79:$M$98","'관경확장'!$A$54:$M$78"}</definedName>
    <definedName name="원표지" hidden="1">{"'관경확장'!$A$79:$M$98","'관경확장'!$A$54:$M$78"}</definedName>
    <definedName name="윤로">[97]공정집계_국별!$G:$G</definedName>
    <definedName name="이가" localSheetId="4" hidden="1">{"'Firr(선)'!$AS$1:$AY$62","'Firr(사)'!$AS$1:$AY$62","'Firr(회)'!$AS$1:$AY$62","'Firr(선)'!$L$1:$V$62","'Firr(사)'!$L$1:$V$62","'Firr(회)'!$L$1:$V$62"}</definedName>
    <definedName name="이가" localSheetId="5" hidden="1">{"'Firr(선)'!$AS$1:$AY$62","'Firr(사)'!$AS$1:$AY$62","'Firr(회)'!$AS$1:$AY$62","'Firr(선)'!$L$1:$V$62","'Firr(사)'!$L$1:$V$62","'Firr(회)'!$L$1:$V$62"}</definedName>
    <definedName name="이가" hidden="1">{"'Firr(선)'!$AS$1:$AY$62","'Firr(사)'!$AS$1:$AY$62","'Firr(회)'!$AS$1:$AY$62","'Firr(선)'!$L$1:$V$62","'Firr(사)'!$L$1:$V$62","'Firr(회)'!$L$1:$V$62"}</definedName>
    <definedName name="이가_1" localSheetId="4" hidden="1">{"'Firr(선)'!$AS$1:$AY$62","'Firr(사)'!$AS$1:$AY$62","'Firr(회)'!$AS$1:$AY$62","'Firr(선)'!$L$1:$V$62","'Firr(사)'!$L$1:$V$62","'Firr(회)'!$L$1:$V$62"}</definedName>
    <definedName name="이가_1" localSheetId="5" hidden="1">{"'Firr(선)'!$AS$1:$AY$62","'Firr(사)'!$AS$1:$AY$62","'Firr(회)'!$AS$1:$AY$62","'Firr(선)'!$L$1:$V$62","'Firr(사)'!$L$1:$V$62","'Firr(회)'!$L$1:$V$62"}</definedName>
    <definedName name="이가_1" hidden="1">{"'Firr(선)'!$AS$1:$AY$62","'Firr(사)'!$AS$1:$AY$62","'Firr(회)'!$AS$1:$AY$62","'Firr(선)'!$L$1:$V$62","'Firr(사)'!$L$1:$V$62","'Firr(회)'!$L$1:$V$62"}</definedName>
    <definedName name="이동" localSheetId="0" hidden="1">{#N/A,#N/A,FALSE,"조골재"}</definedName>
    <definedName name="이동" hidden="1">{#N/A,#N/A,FALSE,"조골재"}</definedName>
    <definedName name="이수남" localSheetId="4" hidden="1">{"'도면'!$G$62:$H$63","'도면'!$G$62:$H$63"}</definedName>
    <definedName name="이수남" localSheetId="5" hidden="1">{"'도면'!$G$62:$H$63","'도면'!$G$62:$H$63"}</definedName>
    <definedName name="이수남" hidden="1">{"'도면'!$G$62:$H$63","'도면'!$G$62:$H$63"}</definedName>
    <definedName name="이수남_1" localSheetId="4" hidden="1">{"'도면'!$G$62:$H$63","'도면'!$G$62:$H$63"}</definedName>
    <definedName name="이수남_1" localSheetId="5" hidden="1">{"'도면'!$G$62:$H$63","'도면'!$G$62:$H$63"}</definedName>
    <definedName name="이수남_1" hidden="1">{"'도면'!$G$62:$H$63","'도면'!$G$62:$H$63"}</definedName>
    <definedName name="이정" localSheetId="0" hidden="1">{#N/A,#N/A,FALSE,"2~8번"}</definedName>
    <definedName name="이정" hidden="1">{#N/A,#N/A,FALSE,"2~8번"}</definedName>
    <definedName name="이학주" localSheetId="4" hidden="1">{"'도면'!$G$62:$H$63","'도면'!$G$62:$H$63"}</definedName>
    <definedName name="이학주" localSheetId="5" hidden="1">{"'도면'!$G$62:$H$63","'도면'!$G$62:$H$63"}</definedName>
    <definedName name="이학주" hidden="1">{"'도면'!$G$62:$H$63","'도면'!$G$62:$H$63"}</definedName>
    <definedName name="이학주_1" localSheetId="4" hidden="1">{"'도면'!$G$62:$H$63","'도면'!$G$62:$H$63"}</definedName>
    <definedName name="이학주_1" localSheetId="5" hidden="1">{"'도면'!$G$62:$H$63","'도면'!$G$62:$H$63"}</definedName>
    <definedName name="이학주_1" hidden="1">{"'도면'!$G$62:$H$63","'도면'!$G$62:$H$63"}</definedName>
    <definedName name="이학주2" localSheetId="4" hidden="1">{"'도면'!$G$62:$H$63","'도면'!$G$62:$H$63"}</definedName>
    <definedName name="이학주2" localSheetId="5" hidden="1">{"'도면'!$G$62:$H$63","'도면'!$G$62:$H$63"}</definedName>
    <definedName name="이학주2" hidden="1">{"'도면'!$G$62:$H$63","'도면'!$G$62:$H$63"}</definedName>
    <definedName name="이학주2_1" localSheetId="4" hidden="1">{"'도면'!$G$62:$H$63","'도면'!$G$62:$H$63"}</definedName>
    <definedName name="이학주2_1" localSheetId="5" hidden="1">{"'도면'!$G$62:$H$63","'도면'!$G$62:$H$63"}</definedName>
    <definedName name="이학주2_1" hidden="1">{"'도면'!$G$62:$H$63","'도면'!$G$62:$H$63"}</definedName>
    <definedName name="이학주A" localSheetId="4" hidden="1">{"'도면'!$G$62:$H$63","'도면'!$G$62:$H$63"}</definedName>
    <definedName name="이학주A" localSheetId="5" hidden="1">{"'도면'!$G$62:$H$63","'도면'!$G$62:$H$63"}</definedName>
    <definedName name="이학주A" hidden="1">{"'도면'!$G$62:$H$63","'도면'!$G$62:$H$63"}</definedName>
    <definedName name="이학주A_1" localSheetId="4" hidden="1">{"'도면'!$G$62:$H$63","'도면'!$G$62:$H$63"}</definedName>
    <definedName name="이학주A_1" localSheetId="5" hidden="1">{"'도면'!$G$62:$H$63","'도면'!$G$62:$H$63"}</definedName>
    <definedName name="이학주A_1" hidden="1">{"'도면'!$G$62:$H$63","'도면'!$G$62:$H$63"}</definedName>
    <definedName name="인쇄용" localSheetId="4">[79]!인쇄용</definedName>
    <definedName name="인쇄용">[79]!인쇄용</definedName>
    <definedName name="일반부" localSheetId="0" hidden="1">{#N/A,#N/A,FALSE,"조골재"}</definedName>
    <definedName name="일반부" hidden="1">{#N/A,#N/A,FALSE,"조골재"}</definedName>
    <definedName name="일위1" localSheetId="4">[98]일위대가!$A$1:$P$519</definedName>
    <definedName name="일위1" localSheetId="5">[98]일위대가!$A$1:$P$519</definedName>
    <definedName name="일위1">[99]일위대가!$A$1:$P$519</definedName>
    <definedName name="일위대가아산" localSheetId="4" hidden="1">{"'도면'!$G$62:$H$63","'도면'!$G$62:$H$63"}</definedName>
    <definedName name="일위대가아산" localSheetId="5" hidden="1">{"'도면'!$G$62:$H$63","'도면'!$G$62:$H$63"}</definedName>
    <definedName name="일위대가아산" hidden="1">{"'도면'!$G$62:$H$63","'도면'!$G$62:$H$63"}</definedName>
    <definedName name="일위대가아산_1" localSheetId="4" hidden="1">{"'도면'!$G$62:$H$63","'도면'!$G$62:$H$63"}</definedName>
    <definedName name="일위대가아산_1" localSheetId="5" hidden="1">{"'도면'!$G$62:$H$63","'도면'!$G$62:$H$63"}</definedName>
    <definedName name="일위대가아산_1" hidden="1">{"'도면'!$G$62:$H$63","'도면'!$G$62:$H$63"}</definedName>
    <definedName name="일위대가코드">[100]일위대가!$A:$A</definedName>
    <definedName name="일위대가표_1" localSheetId="4" hidden="1">{"'도면'!$G$62:$H$63","'도면'!$G$62:$H$63"}</definedName>
    <definedName name="일위대가표_1" localSheetId="5" hidden="1">{"'도면'!$G$62:$H$63","'도면'!$G$62:$H$63"}</definedName>
    <definedName name="일위대가표_1" hidden="1">{"'도면'!$G$62:$H$63","'도면'!$G$62:$H$63"}</definedName>
    <definedName name="일위대가호표" localSheetId="0" hidden="1">#REF!</definedName>
    <definedName name="일위대가호표" hidden="1">#REF!</definedName>
    <definedName name="임ㄴ" localSheetId="0" hidden="1">{"'공사부문'!$A$6:$A$32"}</definedName>
    <definedName name="임ㄴ" hidden="1">{"'공사부문'!$A$6:$A$32"}</definedName>
    <definedName name="잉크" localSheetId="4">[77]예측단가간지!$D$20</definedName>
    <definedName name="잉크" localSheetId="5">[77]예측단가간지!$D$20</definedName>
    <definedName name="잉크">[78]예측단가간지!$D$20</definedName>
    <definedName name="ㅈㄱ" localSheetId="0" hidden="1">{#N/A,#N/A,FALSE,"조골재"}</definedName>
    <definedName name="ㅈㄱ" hidden="1">{#N/A,#N/A,FALSE,"조골재"}</definedName>
    <definedName name="ㅈㄷㄱㄷㄱㄷ" localSheetId="4" hidden="1">{"'용역비'!$A$4:$C$8"}</definedName>
    <definedName name="ㅈㄷㄱㄷㄱㄷ" localSheetId="5" hidden="1">{"'용역비'!$A$4:$C$8"}</definedName>
    <definedName name="ㅈㄷㄱㄷㄱㄷ" hidden="1">{"'용역비'!$A$4:$C$8"}</definedName>
    <definedName name="ㅈㄷㄱㄷㅈㄱㄷㅈ" localSheetId="0" hidden="1">{#N/A,#N/A,FALSE,"표지목차"}</definedName>
    <definedName name="ㅈㄷㄱㄷㅈㄱㄷㅈ" hidden="1">{#N/A,#N/A,FALSE,"표지목차"}</definedName>
    <definedName name="자재1" localSheetId="4" hidden="1">{"'도면'!$G$62:$H$63","'도면'!$G$62:$H$63"}</definedName>
    <definedName name="자재1" localSheetId="5" hidden="1">{"'도면'!$G$62:$H$63","'도면'!$G$62:$H$63"}</definedName>
    <definedName name="자재1" hidden="1">{"'도면'!$G$62:$H$63","'도면'!$G$62:$H$63"}</definedName>
    <definedName name="자재1_1" localSheetId="4" hidden="1">{"'도면'!$G$62:$H$63","'도면'!$G$62:$H$63"}</definedName>
    <definedName name="자재1_1" localSheetId="5" hidden="1">{"'도면'!$G$62:$H$63","'도면'!$G$62:$H$63"}</definedName>
    <definedName name="자재1_1" hidden="1">{"'도면'!$G$62:$H$63","'도면'!$G$62:$H$63"}</definedName>
    <definedName name="자재구" localSheetId="4" hidden="1">{"'도면'!$G$62:$H$63","'도면'!$G$62:$H$63"}</definedName>
    <definedName name="자재구" localSheetId="5" hidden="1">{"'도면'!$G$62:$H$63","'도면'!$G$62:$H$63"}</definedName>
    <definedName name="자재구" hidden="1">{"'도면'!$G$62:$H$63","'도면'!$G$62:$H$63"}</definedName>
    <definedName name="자재구_1" localSheetId="4" hidden="1">{"'도면'!$G$62:$H$63","'도면'!$G$62:$H$63"}</definedName>
    <definedName name="자재구_1" localSheetId="5" hidden="1">{"'도면'!$G$62:$H$63","'도면'!$G$62:$H$63"}</definedName>
    <definedName name="자재구_1" hidden="1">{"'도면'!$G$62:$H$63","'도면'!$G$62:$H$63"}</definedName>
    <definedName name="자재구매" localSheetId="4" hidden="1">{"'도면'!$G$62:$H$63","'도면'!$G$62:$H$63"}</definedName>
    <definedName name="자재구매" localSheetId="5" hidden="1">{"'도면'!$G$62:$H$63","'도면'!$G$62:$H$63"}</definedName>
    <definedName name="자재구매" hidden="1">{"'도면'!$G$62:$H$63","'도면'!$G$62:$H$63"}</definedName>
    <definedName name="자재구매_1" localSheetId="4" hidden="1">{"'도면'!$G$62:$H$63","'도면'!$G$62:$H$63"}</definedName>
    <definedName name="자재구매_1" localSheetId="5" hidden="1">{"'도면'!$G$62:$H$63","'도면'!$G$62:$H$63"}</definedName>
    <definedName name="자재구매_1" hidden="1">{"'도면'!$G$62:$H$63","'도면'!$G$62:$H$63"}</definedName>
    <definedName name="자재구매3" localSheetId="4" hidden="1">{"'도면'!$G$62:$H$63","'도면'!$G$62:$H$63"}</definedName>
    <definedName name="자재구매3" localSheetId="5" hidden="1">{"'도면'!$G$62:$H$63","'도면'!$G$62:$H$63"}</definedName>
    <definedName name="자재구매3" hidden="1">{"'도면'!$G$62:$H$63","'도면'!$G$62:$H$63"}</definedName>
    <definedName name="자재구매3_1" localSheetId="4" hidden="1">{"'도면'!$G$62:$H$63","'도면'!$G$62:$H$63"}</definedName>
    <definedName name="자재구매3_1" localSheetId="5" hidden="1">{"'도면'!$G$62:$H$63","'도면'!$G$62:$H$63"}</definedName>
    <definedName name="자재구매3_1" hidden="1">{"'도면'!$G$62:$H$63","'도면'!$G$62:$H$63"}</definedName>
    <definedName name="자재총괄" localSheetId="0" hidden="1">{#N/A,#N/A,FALSE,"혼합골재"}</definedName>
    <definedName name="자재총괄" hidden="1">{#N/A,#N/A,FALSE,"혼합골재"}</definedName>
    <definedName name="잡자재비" localSheetId="4">'[57]노무비(전기)뽑지마세요'!$C$48</definedName>
    <definedName name="잡자재비" localSheetId="5">'[57]노무비(전기)뽑지마세요'!$C$48</definedName>
    <definedName name="잡자재비">'[58]노무비(전기)뽑지마세요'!$C$48</definedName>
    <definedName name="장" localSheetId="4" hidden="1">{"'도면'!$G$62:$H$63","'도면'!$G$62:$H$63"}</definedName>
    <definedName name="장" localSheetId="5" hidden="1">{"'도면'!$G$62:$H$63","'도면'!$G$62:$H$63"}</definedName>
    <definedName name="장" hidden="1">{"'도면'!$G$62:$H$63","'도면'!$G$62:$H$63"}</definedName>
    <definedName name="장_1" localSheetId="4" hidden="1">{"'도면'!$G$62:$H$63","'도면'!$G$62:$H$63"}</definedName>
    <definedName name="장_1" localSheetId="5" hidden="1">{"'도면'!$G$62:$H$63","'도면'!$G$62:$H$63"}</definedName>
    <definedName name="장_1" hidden="1">{"'도면'!$G$62:$H$63","'도면'!$G$62:$H$63"}</definedName>
    <definedName name="장나진" localSheetId="4" hidden="1">{"'7'!$B$15:$D$32"}</definedName>
    <definedName name="장나진" localSheetId="5" hidden="1">{"'7'!$B$15:$D$32"}</definedName>
    <definedName name="장나진" hidden="1">{"'7'!$B$15:$D$32"}</definedName>
    <definedName name="장비1" localSheetId="4">'[101](2)전력사용량-(작업구 #01 ~ #11)'!$H$53</definedName>
    <definedName name="장비1" localSheetId="5">'[101](2)전력사용량-(작업구 #01 ~ #11)'!$H$53</definedName>
    <definedName name="장비1">'[102](2)전력사용량-(작업구 #01 ~ #11)'!$H$53</definedName>
    <definedName name="장비2" localSheetId="4">#REF!</definedName>
    <definedName name="장비2" localSheetId="5">#REF!</definedName>
    <definedName name="장비2">#REF!</definedName>
    <definedName name="재경비근거" localSheetId="4" hidden="1">{"'신흥취수펌프 검토'!$M$2","'신흥취수펌프 검토'!$A$1:$AE$87"}</definedName>
    <definedName name="재경비근거" localSheetId="5" hidden="1">{"'신흥취수펌프 검토'!$M$2","'신흥취수펌프 검토'!$A$1:$AE$87"}</definedName>
    <definedName name="재경비근거" hidden="1">{"'신흥취수펌프 검토'!$M$2","'신흥취수펌프 검토'!$A$1:$AE$87"}</definedName>
    <definedName name="재경비근거_1" localSheetId="4" hidden="1">{"'신흥취수펌프 검토'!$M$2","'신흥취수펌프 검토'!$A$1:$AE$87"}</definedName>
    <definedName name="재경비근거_1" localSheetId="5" hidden="1">{"'신흥취수펌프 검토'!$M$2","'신흥취수펌프 검토'!$A$1:$AE$87"}</definedName>
    <definedName name="재경비근거_1" hidden="1">{"'신흥취수펌프 검토'!$M$2","'신흥취수펌프 검토'!$A$1:$AE$87"}</definedName>
    <definedName name="재경비근거1" localSheetId="4" hidden="1">{"'신흥취수펌프 검토'!$M$2","'신흥취수펌프 검토'!$A$1:$AE$87"}</definedName>
    <definedName name="재경비근거1" localSheetId="5" hidden="1">{"'신흥취수펌프 검토'!$M$2","'신흥취수펌프 검토'!$A$1:$AE$87"}</definedName>
    <definedName name="재경비근거1" hidden="1">{"'신흥취수펌프 검토'!$M$2","'신흥취수펌프 검토'!$A$1:$AE$87"}</definedName>
    <definedName name="재경비근거1_1" localSheetId="4" hidden="1">{"'신흥취수펌프 검토'!$M$2","'신흥취수펌프 검토'!$A$1:$AE$87"}</definedName>
    <definedName name="재경비근거1_1" localSheetId="5" hidden="1">{"'신흥취수펌프 검토'!$M$2","'신흥취수펌프 검토'!$A$1:$AE$87"}</definedName>
    <definedName name="재경비근거1_1" hidden="1">{"'신흥취수펌프 검토'!$M$2","'신흥취수펌프 검토'!$A$1:$AE$87"}</definedName>
    <definedName name="저압케이블공">73973</definedName>
    <definedName name="저케" localSheetId="4">'[55]인건비 '!$B$6</definedName>
    <definedName name="저케" localSheetId="5">'[55]인건비 '!$B$6</definedName>
    <definedName name="저케">'[56]인건비 '!$B$6</definedName>
    <definedName name="전기기사1급">64800</definedName>
    <definedName name="전기기사2급">62990</definedName>
    <definedName name="전선관부속품비" localSheetId="4">'[57]노무비(전기)뽑지마세요'!$C$47</definedName>
    <definedName name="전선관부속품비" localSheetId="5">'[57]노무비(전기)뽑지마세요'!$C$47</definedName>
    <definedName name="전선관부속품비">'[58]노무비(전기)뽑지마세요'!$C$47</definedName>
    <definedName name="전압25층" localSheetId="4">가배관내역서!전압25층</definedName>
    <definedName name="전압25층" localSheetId="5">목록!전압25층</definedName>
    <definedName name="전압25층">[0]!전압25층</definedName>
    <definedName name="점멸기입력" localSheetId="4">가배관내역서!점멸기입력</definedName>
    <definedName name="점멸기입력" localSheetId="5">목록!점멸기입력</definedName>
    <definedName name="점멸기입력">[0]!점멸기입력</definedName>
    <definedName name="점멸기입력가로등" localSheetId="4">가배관내역서!점멸기입력가로등</definedName>
    <definedName name="점멸기입력가로등" localSheetId="5">목록!점멸기입력가로등</definedName>
    <definedName name="점멸기입력가로등">[0]!점멸기입력가로등</definedName>
    <definedName name="정보통신" localSheetId="4" hidden="1">{"'Firr(선)'!$AS$1:$AY$62","'Firr(사)'!$AS$1:$AY$62","'Firr(회)'!$AS$1:$AY$62","'Firr(선)'!$L$1:$V$62","'Firr(사)'!$L$1:$V$62","'Firr(회)'!$L$1:$V$62"}</definedName>
    <definedName name="정보통신" localSheetId="5" hidden="1">{"'Firr(선)'!$AS$1:$AY$62","'Firr(사)'!$AS$1:$AY$62","'Firr(회)'!$AS$1:$AY$62","'Firr(선)'!$L$1:$V$62","'Firr(사)'!$L$1:$V$62","'Firr(회)'!$L$1:$V$62"}</definedName>
    <definedName name="정보통신" hidden="1">{"'Firr(선)'!$AS$1:$AY$62","'Firr(사)'!$AS$1:$AY$62","'Firr(회)'!$AS$1:$AY$62","'Firr(선)'!$L$1:$V$62","'Firr(사)'!$L$1:$V$62","'Firr(회)'!$L$1:$V$62"}</definedName>
    <definedName name="제경비" localSheetId="4">[103]산식3!$G$2</definedName>
    <definedName name="제경비" localSheetId="5">[103]산식3!$G$2</definedName>
    <definedName name="제경비">[104]산식3!$G$2</definedName>
    <definedName name="제조원가율">"database+전체!$A$4:$W$825"</definedName>
    <definedName name="조" localSheetId="4" hidden="1">{"'Firr(선)'!$AS$1:$AY$62","'Firr(사)'!$AS$1:$AY$62","'Firr(회)'!$AS$1:$AY$62","'Firr(선)'!$L$1:$V$62","'Firr(사)'!$L$1:$V$62","'Firr(회)'!$L$1:$V$62"}</definedName>
    <definedName name="조" localSheetId="5" hidden="1">{"'Firr(선)'!$AS$1:$AY$62","'Firr(사)'!$AS$1:$AY$62","'Firr(회)'!$AS$1:$AY$62","'Firr(선)'!$L$1:$V$62","'Firr(사)'!$L$1:$V$62","'Firr(회)'!$L$1:$V$62"}</definedName>
    <definedName name="조" hidden="1">{"'Firr(선)'!$AS$1:$AY$62","'Firr(사)'!$AS$1:$AY$62","'Firr(회)'!$AS$1:$AY$62","'Firr(선)'!$L$1:$V$62","'Firr(사)'!$L$1:$V$62","'Firr(회)'!$L$1:$V$62"}</definedName>
    <definedName name="조명율표" localSheetId="4">[105]조명율표!$B$4:$F$495</definedName>
    <definedName name="조명율표" localSheetId="5">[105]조명율표!$B$4:$F$495</definedName>
    <definedName name="조명율표">[106]조명율표!$B$4:$F$495</definedName>
    <definedName name="조효" localSheetId="4" hidden="1">{"'Firr(선)'!$AS$1:$AY$62","'Firr(사)'!$AS$1:$AY$62","'Firr(회)'!$AS$1:$AY$62","'Firr(선)'!$L$1:$V$62","'Firr(사)'!$L$1:$V$62","'Firr(회)'!$L$1:$V$62"}</definedName>
    <definedName name="조효" localSheetId="5" hidden="1">{"'Firr(선)'!$AS$1:$AY$62","'Firr(사)'!$AS$1:$AY$62","'Firr(회)'!$AS$1:$AY$62","'Firr(선)'!$L$1:$V$62","'Firr(사)'!$L$1:$V$62","'Firr(회)'!$L$1:$V$62"}</definedName>
    <definedName name="조효" hidden="1">{"'Firr(선)'!$AS$1:$AY$62","'Firr(사)'!$AS$1:$AY$62","'Firr(회)'!$AS$1:$AY$62","'Firr(선)'!$L$1:$V$62","'Firr(사)'!$L$1:$V$62","'Firr(회)'!$L$1:$V$62"}</definedName>
    <definedName name="조효_1" localSheetId="4" hidden="1">{"'Firr(선)'!$AS$1:$AY$62","'Firr(사)'!$AS$1:$AY$62","'Firr(회)'!$AS$1:$AY$62","'Firr(선)'!$L$1:$V$62","'Firr(사)'!$L$1:$V$62","'Firr(회)'!$L$1:$V$62"}</definedName>
    <definedName name="조효_1" localSheetId="5" hidden="1">{"'Firr(선)'!$AS$1:$AY$62","'Firr(사)'!$AS$1:$AY$62","'Firr(회)'!$AS$1:$AY$62","'Firr(선)'!$L$1:$V$62","'Firr(사)'!$L$1:$V$62","'Firr(회)'!$L$1:$V$62"}</definedName>
    <definedName name="조효_1" hidden="1">{"'Firr(선)'!$AS$1:$AY$62","'Firr(사)'!$AS$1:$AY$62","'Firr(회)'!$AS$1:$AY$62","'Firr(선)'!$L$1:$V$62","'Firr(사)'!$L$1:$V$62","'Firr(회)'!$L$1:$V$62"}</definedName>
    <definedName name="조효석" localSheetId="4" hidden="1">{"'Firr(선)'!$AS$1:$AY$62","'Firr(사)'!$AS$1:$AY$62","'Firr(회)'!$AS$1:$AY$62","'Firr(선)'!$L$1:$V$62","'Firr(사)'!$L$1:$V$62","'Firr(회)'!$L$1:$V$62"}</definedName>
    <definedName name="조효석" localSheetId="5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조효석_1" localSheetId="4" hidden="1">{"'Firr(선)'!$AS$1:$AY$62","'Firr(사)'!$AS$1:$AY$62","'Firr(회)'!$AS$1:$AY$62","'Firr(선)'!$L$1:$V$62","'Firr(사)'!$L$1:$V$62","'Firr(회)'!$L$1:$V$62"}</definedName>
    <definedName name="조효석_1" localSheetId="5" hidden="1">{"'Firr(선)'!$AS$1:$AY$62","'Firr(사)'!$AS$1:$AY$62","'Firr(회)'!$AS$1:$AY$62","'Firr(선)'!$L$1:$V$62","'Firr(사)'!$L$1:$V$62","'Firr(회)'!$L$1:$V$62"}</definedName>
    <definedName name="조효석_1" hidden="1">{"'Firr(선)'!$AS$1:$AY$62","'Firr(사)'!$AS$1:$AY$62","'Firr(회)'!$AS$1:$AY$62","'Firr(선)'!$L$1:$V$62","'Firr(사)'!$L$1:$V$62","'Firr(회)'!$L$1:$V$62"}</definedName>
    <definedName name="주간" localSheetId="0" hidden="1">{#N/A,#N/A,FALSE,"운반시간"}</definedName>
    <definedName name="주간" hidden="1">{#N/A,#N/A,FALSE,"운반시간"}</definedName>
    <definedName name="지입수량">[100]일위대가!$M:$M</definedName>
    <definedName name="진짜중기단가표" localSheetId="4" hidden="1">{"'도면'!$G$62:$H$63","'도면'!$G$62:$H$63"}</definedName>
    <definedName name="진짜중기단가표" localSheetId="5" hidden="1">{"'도면'!$G$62:$H$63","'도면'!$G$62:$H$63"}</definedName>
    <definedName name="진짜중기단가표" hidden="1">{"'도면'!$G$62:$H$63","'도면'!$G$62:$H$63"}</definedName>
    <definedName name="진짜중기단가표_1" localSheetId="4" hidden="1">{"'도면'!$G$62:$H$63","'도면'!$G$62:$H$63"}</definedName>
    <definedName name="진짜중기단가표_1" localSheetId="5" hidden="1">{"'도면'!$G$62:$H$63","'도면'!$G$62:$H$63"}</definedName>
    <definedName name="진짜중기단가표_1" hidden="1">{"'도면'!$G$62:$H$63","'도면'!$G$62:$H$63"}</definedName>
    <definedName name="ㅊ퓿ㅍ" localSheetId="0" hidden="1">{#N/A,#N/A,FALSE,"혼합골재"}</definedName>
    <definedName name="ㅊ퓿ㅍ" hidden="1">{#N/A,#N/A,FALSE,"혼합골재"}</definedName>
    <definedName name="차이내역_2" localSheetId="4" hidden="1">{"'7'!$B$15:$D$32"}</definedName>
    <definedName name="차이내역_2" localSheetId="5" hidden="1">{"'7'!$B$15:$D$32"}</definedName>
    <definedName name="차이내역_2" hidden="1">{"'7'!$B$15:$D$32"}</definedName>
    <definedName name="착암공" localSheetId="4">'[59]기계경비(시간당)'!$D$12</definedName>
    <definedName name="착암공" localSheetId="5">'[59]기계경비(시간당)'!$D$12</definedName>
    <definedName name="착암공">'[60]기계경비(시간당)'!$D$12</definedName>
    <definedName name="참고2" localSheetId="4" hidden="1">{"'도면'!$G$62:$H$63","'도면'!$G$62:$H$63"}</definedName>
    <definedName name="참고2" localSheetId="5" hidden="1">{"'도면'!$G$62:$H$63","'도면'!$G$62:$H$63"}</definedName>
    <definedName name="참고2" hidden="1">{"'도면'!$G$62:$H$63","'도면'!$G$62:$H$63"}</definedName>
    <definedName name="참고2_1" localSheetId="4" hidden="1">{"'도면'!$G$62:$H$63","'도면'!$G$62:$H$63"}</definedName>
    <definedName name="참고2_1" localSheetId="5" hidden="1">{"'도면'!$G$62:$H$63","'도면'!$G$62:$H$63"}</definedName>
    <definedName name="참고2_1" hidden="1">{"'도면'!$G$62:$H$63","'도면'!$G$62:$H$63"}</definedName>
    <definedName name="총_1" localSheetId="4" hidden="1">{"'도면'!$G$62:$H$63","'도면'!$G$62:$H$63"}</definedName>
    <definedName name="총_1" localSheetId="5" hidden="1">{"'도면'!$G$62:$H$63","'도면'!$G$62:$H$63"}</definedName>
    <definedName name="총_1" hidden="1">{"'도면'!$G$62:$H$63","'도면'!$G$62:$H$63"}</definedName>
    <definedName name="총공" localSheetId="0" hidden="1">{#N/A,#N/A,FALSE,"운반시간"}</definedName>
    <definedName name="총공" hidden="1">{#N/A,#N/A,FALSE,"운반시간"}</definedName>
    <definedName name="총괄집계표" localSheetId="4" hidden="1">{"'도면'!$G$62:$H$63","'도면'!$G$62:$H$63"}</definedName>
    <definedName name="총괄집계표" localSheetId="5" hidden="1">{"'도면'!$G$62:$H$63","'도면'!$G$62:$H$63"}</definedName>
    <definedName name="총괄집계표" hidden="1">{"'도면'!$G$62:$H$63","'도면'!$G$62:$H$63"}</definedName>
    <definedName name="총괄집계표_1" localSheetId="4" hidden="1">{"'도면'!$G$62:$H$63","'도면'!$G$62:$H$63"}</definedName>
    <definedName name="총괄집계표_1" localSheetId="5" hidden="1">{"'도면'!$G$62:$H$63","'도면'!$G$62:$H$63"}</definedName>
    <definedName name="총괄집계표_1" hidden="1">{"'도면'!$G$62:$H$63","'도면'!$G$62:$H$63"}</definedName>
    <definedName name="측량고급기술자" localSheetId="4">'[93]1.인건비'!$C$15</definedName>
    <definedName name="측량고급기술자" localSheetId="5">'[93]1.인건비'!$C$15</definedName>
    <definedName name="측량고급기술자">'[94]1.인건비'!$C$15</definedName>
    <definedName name="측량중급기술자" localSheetId="4">'[93]1.인건비'!$C$16</definedName>
    <definedName name="측량중급기술자" localSheetId="5">'[93]1.인건비'!$C$16</definedName>
    <definedName name="측량중급기술자">'[94]1.인건비'!$C$16</definedName>
    <definedName name="측량초급기술자" localSheetId="4">'[93]1.인건비'!$C$17</definedName>
    <definedName name="측량초급기술자" localSheetId="5">'[93]1.인건비'!$C$17</definedName>
    <definedName name="측량초급기술자">'[94]1.인건비'!$C$17</definedName>
    <definedName name="ㅋㅇㅁㅇ" localSheetId="0" hidden="1">{"'공사부문'!$A$6:$A$32"}</definedName>
    <definedName name="ㅋㅇㅁㅇ" hidden="1">{"'공사부문'!$A$6:$A$32"}</definedName>
    <definedName name="ㅋㅋ" localSheetId="4" hidden="1">{"'7'!$B$15:$D$32"}</definedName>
    <definedName name="ㅋㅋ" localSheetId="0" hidden="1">{#N/A,#N/A,FALSE,"조골재"}</definedName>
    <definedName name="ㅋㅋ" localSheetId="6" hidden="1">{"'7'!$B$15:$D$32"}</definedName>
    <definedName name="ㅋㅋ" localSheetId="5" hidden="1">{"'7'!$B$15:$D$32"}</definedName>
    <definedName name="ㅋㅋ" hidden="1">{#N/A,#N/A,FALSE,"조골재"}</definedName>
    <definedName name="ㅋㅋㅋㅋ" localSheetId="4" hidden="1">{"'도면'!$G$62:$H$63","'도면'!$G$62:$H$63"}</definedName>
    <definedName name="ㅋㅋㅋㅋ" localSheetId="5" hidden="1">{"'도면'!$G$62:$H$63","'도면'!$G$62:$H$63"}</definedName>
    <definedName name="ㅋㅋㅋㅋ" hidden="1">{"'도면'!$G$62:$H$63","'도면'!$G$62:$H$63"}</definedName>
    <definedName name="ㅋㅋㅋㅋ_1" localSheetId="4" hidden="1">{"'도면'!$G$62:$H$63","'도면'!$G$62:$H$63"}</definedName>
    <definedName name="ㅋㅋㅋㅋ_1" localSheetId="5" hidden="1">{"'도면'!$G$62:$H$63","'도면'!$G$62:$H$63"}</definedName>
    <definedName name="ㅋㅋㅋㅋ_1" hidden="1">{"'도면'!$G$62:$H$63","'도면'!$G$62:$H$63"}</definedName>
    <definedName name="캇타간재" localSheetId="4">'[59]기계경비(시간당)'!$H$92</definedName>
    <definedName name="캇타간재" localSheetId="5">'[59]기계경비(시간당)'!$H$92</definedName>
    <definedName name="캇타간재">'[60]기계경비(시간당)'!$H$92</definedName>
    <definedName name="캇타노무" localSheetId="4">'[59]기계경비(시간당)'!$H$88</definedName>
    <definedName name="캇타노무" localSheetId="5">'[59]기계경비(시간당)'!$H$88</definedName>
    <definedName name="캇타노무">'[60]기계경비(시간당)'!$H$88</definedName>
    <definedName name="캇타손료" localSheetId="4">'[59]기계경비(시간당)'!$H$87</definedName>
    <definedName name="캇타손료" localSheetId="5">'[59]기계경비(시간당)'!$H$87</definedName>
    <definedName name="캇타손료">'[60]기계경비(시간당)'!$H$87</definedName>
    <definedName name="컨벤션" localSheetId="4" hidden="1">{"'7'!$B$15:$D$32"}</definedName>
    <definedName name="컨벤션" localSheetId="5" hidden="1">{"'7'!$B$15:$D$32"}</definedName>
    <definedName name="컨벤션" hidden="1">{"'7'!$B$15:$D$32"}</definedName>
    <definedName name="컴퓨터" localSheetId="4" hidden="1">{"'PC현황'!$A$1:$Z$29"}</definedName>
    <definedName name="컴퓨터" localSheetId="5" hidden="1">{"'PC현황'!$A$1:$Z$29"}</definedName>
    <definedName name="컴퓨터" hidden="1">{"'PC현황'!$A$1:$Z$29"}</definedName>
    <definedName name="코어">'[54]샌딩 에폭시 도장'!$A$1:$L$25</definedName>
    <definedName name="코어드릴">'[54]일반문틀 설치'!$A$1:$L$25</definedName>
    <definedName name="코어천공">[54]스텐문틀설치!$A$1:$L$25</definedName>
    <definedName name="콘크리트2" localSheetId="0" hidden="1">#REF!</definedName>
    <definedName name="콘크리트2" hidden="1">#REF!</definedName>
    <definedName name="택" localSheetId="4">[61]단가!$C$85</definedName>
    <definedName name="택" localSheetId="5">[61]단가!$C$85</definedName>
    <definedName name="택">[62]단가!$C$85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일위" localSheetId="4" hidden="1">{"'도면'!$G$62:$H$63","'도면'!$G$62:$H$63"}</definedName>
    <definedName name="토목일위" localSheetId="5" hidden="1">{"'도면'!$G$62:$H$63","'도면'!$G$62:$H$63"}</definedName>
    <definedName name="토목일위" hidden="1">{"'도면'!$G$62:$H$63","'도면'!$G$62:$H$63"}</definedName>
    <definedName name="토목일위_1" localSheetId="4" hidden="1">{"'도면'!$G$62:$H$63","'도면'!$G$62:$H$63"}</definedName>
    <definedName name="토목일위_1" localSheetId="5" hidden="1">{"'도면'!$G$62:$H$63","'도면'!$G$62:$H$63"}</definedName>
    <definedName name="토목일위_1" hidden="1">{"'도면'!$G$62:$H$63","'도면'!$G$62:$H$63"}</definedName>
    <definedName name="통신기사">92355</definedName>
    <definedName name="통신기사1급">92355</definedName>
    <definedName name="통신기사2급">91949</definedName>
    <definedName name="통신내선공">63806</definedName>
    <definedName name="통신산업기사">91949</definedName>
    <definedName name="통신설비공">77401</definedName>
    <definedName name="통신외선공">90961</definedName>
    <definedName name="통신케이블공">95424</definedName>
    <definedName name="파일" localSheetId="0" hidden="1">#REF!</definedName>
    <definedName name="파일" hidden="1">#REF!</definedName>
    <definedName name="페이지" localSheetId="4" hidden="1">{"'Firr(선)'!$AS$1:$AY$62","'Firr(사)'!$AS$1:$AY$62","'Firr(회)'!$AS$1:$AY$62","'Firr(선)'!$L$1:$V$62","'Firr(사)'!$L$1:$V$62","'Firr(회)'!$L$1:$V$62"}</definedName>
    <definedName name="페이지" localSheetId="5" hidden="1">{"'Firr(선)'!$AS$1:$AY$62","'Firr(사)'!$AS$1:$AY$62","'Firr(회)'!$AS$1:$AY$62","'Firr(선)'!$L$1:$V$62","'Firr(사)'!$L$1:$V$62","'Firr(회)'!$L$1:$V$62"}</definedName>
    <definedName name="페이지" hidden="1">{"'Firr(선)'!$AS$1:$AY$62","'Firr(사)'!$AS$1:$AY$62","'Firr(회)'!$AS$1:$AY$62","'Firr(선)'!$L$1:$V$62","'Firr(사)'!$L$1:$V$62","'Firr(회)'!$L$1:$V$62"}</definedName>
    <definedName name="페이지_1" localSheetId="4" hidden="1">{"'Firr(선)'!$AS$1:$AY$62","'Firr(사)'!$AS$1:$AY$62","'Firr(회)'!$AS$1:$AY$62","'Firr(선)'!$L$1:$V$62","'Firr(사)'!$L$1:$V$62","'Firr(회)'!$L$1:$V$62"}</definedName>
    <definedName name="페이지_1" localSheetId="5" hidden="1">{"'Firr(선)'!$AS$1:$AY$62","'Firr(사)'!$AS$1:$AY$62","'Firr(회)'!$AS$1:$AY$62","'Firr(선)'!$L$1:$V$62","'Firr(사)'!$L$1:$V$62","'Firr(회)'!$L$1:$V$62"}</definedName>
    <definedName name="페이지_1" hidden="1">{"'Firr(선)'!$AS$1:$AY$62","'Firr(사)'!$AS$1:$AY$62","'Firr(회)'!$AS$1:$AY$62","'Firr(선)'!$L$1:$V$62","'Firr(사)'!$L$1:$V$62","'Firr(회)'!$L$1:$V$62"}</definedName>
    <definedName name="포장절단" localSheetId="4">[61]단가!$C$79</definedName>
    <definedName name="포장절단" localSheetId="5">[61]단가!$C$79</definedName>
    <definedName name="포장절단">[62]단가!$C$79</definedName>
    <definedName name="포장파취" localSheetId="4">[61]단가!$C$81</definedName>
    <definedName name="포장파취" localSheetId="5">[61]단가!$C$81</definedName>
    <definedName name="포장파취">[62]단가!$C$81</definedName>
    <definedName name="표지" localSheetId="4" hidden="1">{"'제10장(표)'!$A$5:$L$10"}</definedName>
    <definedName name="표지" localSheetId="5" hidden="1">{"'제10장(표)'!$A$5:$L$10"}</definedName>
    <definedName name="표지" hidden="1">{"'제10장(표)'!$A$5:$L$10"}</definedName>
    <definedName name="표지11111" localSheetId="4" hidden="1">{"'신흥취수펌프 검토'!$M$2","'신흥취수펌프 검토'!$A$1:$AE$87"}</definedName>
    <definedName name="표지11111" localSheetId="5" hidden="1">{"'신흥취수펌프 검토'!$M$2","'신흥취수펌프 검토'!$A$1:$AE$87"}</definedName>
    <definedName name="표지11111" hidden="1">{"'신흥취수펌프 검토'!$M$2","'신흥취수펌프 검토'!$A$1:$AE$87"}</definedName>
    <definedName name="표지11111_1" localSheetId="4" hidden="1">{"'신흥취수펌프 검토'!$M$2","'신흥취수펌프 검토'!$A$1:$AE$87"}</definedName>
    <definedName name="표지11111_1" localSheetId="5" hidden="1">{"'신흥취수펌프 검토'!$M$2","'신흥취수펌프 검토'!$A$1:$AE$87"}</definedName>
    <definedName name="표지11111_1" hidden="1">{"'신흥취수펌프 검토'!$M$2","'신흥취수펌프 검토'!$A$1:$AE$87"}</definedName>
    <definedName name="표지222" localSheetId="4" hidden="1">{"'신흥취수펌프 검토'!$M$2","'신흥취수펌프 검토'!$A$1:$AE$87"}</definedName>
    <definedName name="표지222" localSheetId="5" hidden="1">{"'신흥취수펌프 검토'!$M$2","'신흥취수펌프 검토'!$A$1:$AE$87"}</definedName>
    <definedName name="표지222" hidden="1">{"'신흥취수펌프 검토'!$M$2","'신흥취수펌프 검토'!$A$1:$AE$87"}</definedName>
    <definedName name="표지222_1" localSheetId="4" hidden="1">{"'신흥취수펌프 검토'!$M$2","'신흥취수펌프 검토'!$A$1:$AE$87"}</definedName>
    <definedName name="표지222_1" localSheetId="5" hidden="1">{"'신흥취수펌프 검토'!$M$2","'신흥취수펌프 검토'!$A$1:$AE$87"}</definedName>
    <definedName name="표지222_1" hidden="1">{"'신흥취수펌프 검토'!$M$2","'신흥취수펌프 검토'!$A$1:$AE$87"}</definedName>
    <definedName name="표지3" localSheetId="4" hidden="1">{"'관경확장'!$A$79:$M$98","'관경확장'!$A$54:$M$78"}</definedName>
    <definedName name="표지3" localSheetId="5" hidden="1">{"'관경확장'!$A$79:$M$98","'관경확장'!$A$54:$M$78"}</definedName>
    <definedName name="표지3" hidden="1">{"'관경확장'!$A$79:$M$98","'관경확장'!$A$54:$M$78"}</definedName>
    <definedName name="표층포설" localSheetId="4">[61]단가!$C$82</definedName>
    <definedName name="표층포설" localSheetId="5">[61]단가!$C$82</definedName>
    <definedName name="표층포설">[62]단가!$C$82</definedName>
    <definedName name="프라임" localSheetId="4">[61]단가!$C$84</definedName>
    <definedName name="프라임" localSheetId="5">[61]단가!$C$84</definedName>
    <definedName name="프라임">[62]단가!$C$84</definedName>
    <definedName name="플로터용지2" localSheetId="4">'[93]2.재료비'!$D$44</definedName>
    <definedName name="플로터용지2" localSheetId="5">'[93]2.재료비'!$D$44</definedName>
    <definedName name="플로터용지2">'[94]2.재료비'!$D$44</definedName>
    <definedName name="ㅎ5" localSheetId="0" hidden="1">{#N/A,#N/A,FALSE,"골재소요량";#N/A,#N/A,FALSE,"골재소요량"}</definedName>
    <definedName name="ㅎ5" hidden="1">{#N/A,#N/A,FALSE,"골재소요량";#N/A,#N/A,FALSE,"골재소요량"}</definedName>
    <definedName name="ㅎㄹㅇㅀ" localSheetId="0" hidden="1">{#N/A,#N/A,FALSE,"부대1"}</definedName>
    <definedName name="ㅎㄹㅇㅀ" hidden="1">{#N/A,#N/A,FALSE,"부대1"}</definedName>
    <definedName name="ㅎ로ㅓ" localSheetId="0" hidden="1">{#N/A,#N/A,FALSE,"운반시간"}</definedName>
    <definedName name="ㅎ로ㅓ" hidden="1">{#N/A,#N/A,FALSE,"운반시간"}</definedName>
    <definedName name="ㅎㅇㅀㅇㅀㅇㅎ" localSheetId="0" hidden="1">{#N/A,#N/A,FALSE,"표지목차"}</definedName>
    <definedName name="ㅎㅇㅀㅇㅀㅇㅎ" hidden="1">{#N/A,#N/A,FALSE,"표지목차"}</definedName>
    <definedName name="ㅎㅇㅇㅀㅎㄹ" localSheetId="0" hidden="1">{#N/A,#N/A,FALSE,"속도"}</definedName>
    <definedName name="ㅎㅇㅇㅀㅎㄹ" hidden="1">{#N/A,#N/A,FALSE,"속도"}</definedName>
    <definedName name="ㅎㅎㅎ" localSheetId="4" hidden="1">{"'7'!$B$15:$D$32"}</definedName>
    <definedName name="ㅎㅎㅎ" localSheetId="5" hidden="1">{"'7'!$B$15:$D$32"}</definedName>
    <definedName name="ㅎㅎㅎ" hidden="1">{"'7'!$B$15:$D$32"}</definedName>
    <definedName name="호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ㅓㅗ" localSheetId="0" hidden="1">{#N/A,#N/A,FALSE,"포장1";#N/A,#N/A,FALSE,"포장1"}</definedName>
    <definedName name="호ㅓㅗ" hidden="1">{#N/A,#N/A,FALSE,"포장1";#N/A,#N/A,FALSE,"포장1"}</definedName>
    <definedName name="효석" localSheetId="4" hidden="1">{"'Firr(선)'!$AS$1:$AY$62","'Firr(사)'!$AS$1:$AY$62","'Firr(회)'!$AS$1:$AY$62","'Firr(선)'!$L$1:$V$62","'Firr(사)'!$L$1:$V$62","'Firr(회)'!$L$1:$V$62"}</definedName>
    <definedName name="효석" localSheetId="5" hidden="1">{"'Firr(선)'!$AS$1:$AY$62","'Firr(사)'!$AS$1:$AY$62","'Firr(회)'!$AS$1:$AY$62","'Firr(선)'!$L$1:$V$62","'Firr(사)'!$L$1:$V$62","'Firr(회)'!$L$1:$V$62"}</definedName>
    <definedName name="효석" hidden="1">{"'Firr(선)'!$AS$1:$AY$62","'Firr(사)'!$AS$1:$AY$62","'Firr(회)'!$AS$1:$AY$62","'Firr(선)'!$L$1:$V$62","'Firr(사)'!$L$1:$V$62","'Firr(회)'!$L$1:$V$62"}</definedName>
    <definedName name="효석_1" localSheetId="4" hidden="1">{"'Firr(선)'!$AS$1:$AY$62","'Firr(사)'!$AS$1:$AY$62","'Firr(회)'!$AS$1:$AY$62","'Firr(선)'!$L$1:$V$62","'Firr(사)'!$L$1:$V$62","'Firr(회)'!$L$1:$V$62"}</definedName>
    <definedName name="효석_1" localSheetId="5" hidden="1">{"'Firr(선)'!$AS$1:$AY$62","'Firr(사)'!$AS$1:$AY$62","'Firr(회)'!$AS$1:$AY$62","'Firr(선)'!$L$1:$V$62","'Firr(사)'!$L$1:$V$62","'Firr(회)'!$L$1:$V$62"}</definedName>
    <definedName name="효석_1" hidden="1">{"'Firr(선)'!$AS$1:$AY$62","'Firr(사)'!$AS$1:$AY$62","'Firr(회)'!$AS$1:$AY$62","'Firr(선)'!$L$1:$V$62","'Firr(사)'!$L$1:$V$62","'Firr(회)'!$L$1:$V$62"}</definedName>
    <definedName name="효제" localSheetId="4" hidden="1">{"'7'!$B$15:$D$32"}</definedName>
    <definedName name="효제" localSheetId="5" hidden="1">{"'7'!$B$15:$D$32"}</definedName>
    <definedName name="효제" hidden="1">{"'7'!$B$15:$D$32"}</definedName>
    <definedName name="히ㅏㅓㅣㅏㅓㅚㅏ" localSheetId="0" hidden="1">{#N/A,#N/A,FALSE,"구조1"}</definedName>
    <definedName name="히ㅏㅓㅣㅏㅓㅚㅏ" hidden="1">{#N/A,#N/A,FALSE,"구조1"}</definedName>
    <definedName name="ㅏ" localSheetId="4" hidden="1">{"'도면'!$G$62:$H$63","'도면'!$G$62:$H$63"}</definedName>
    <definedName name="ㅏ" localSheetId="5" hidden="1">{"'도면'!$G$62:$H$63","'도면'!$G$62:$H$63"}</definedName>
    <definedName name="ㅏ" hidden="1">{"'도면'!$G$62:$H$63","'도면'!$G$62:$H$63"}</definedName>
    <definedName name="ㅏㅏㅏ" localSheetId="4" hidden="1">{"'7'!$B$15:$D$32"}</definedName>
    <definedName name="ㅏㅏㅏ" localSheetId="5" hidden="1">{"'7'!$B$15:$D$32"}</definedName>
    <definedName name="ㅏㅏㅏ" hidden="1">{"'7'!$B$15:$D$32"}</definedName>
    <definedName name="ㅏㅏㅏ_1" localSheetId="4" hidden="1">{"'도면'!$G$62:$H$63","'도면'!$G$62:$H$63"}</definedName>
    <definedName name="ㅏㅏㅏ_1" localSheetId="5" hidden="1">{"'도면'!$G$62:$H$63","'도면'!$G$62:$H$63"}</definedName>
    <definedName name="ㅏㅏㅏ_1" hidden="1">{"'도면'!$G$62:$H$63","'도면'!$G$62:$H$63"}</definedName>
    <definedName name="ㅏㅏㅏㅏ" localSheetId="4" hidden="1">{"'도면'!$G$62:$H$63","'도면'!$G$62:$H$63"}</definedName>
    <definedName name="ㅏㅏㅏㅏ" localSheetId="5" hidden="1">{"'도면'!$G$62:$H$63","'도면'!$G$62:$H$63"}</definedName>
    <definedName name="ㅏㅏㅏㅏ" hidden="1">{"'도면'!$G$62:$H$63","'도면'!$G$62:$H$63"}</definedName>
    <definedName name="ㅏㅏㅏㅏ_1" localSheetId="4" hidden="1">{"'도면'!$G$62:$H$63","'도면'!$G$62:$H$63"}</definedName>
    <definedName name="ㅏㅏㅏㅏ_1" localSheetId="5" hidden="1">{"'도면'!$G$62:$H$63","'도면'!$G$62:$H$63"}</definedName>
    <definedName name="ㅏㅏㅏㅏ_1" hidden="1">{"'도면'!$G$62:$H$63","'도면'!$G$62:$H$63"}</definedName>
    <definedName name="ㅏㅓㅣㅏㅓㅣ" localSheetId="0" hidden="1">{#N/A,#N/A,FALSE,"부대2"}</definedName>
    <definedName name="ㅏㅓㅣㅏㅓㅣ" hidden="1">{#N/A,#N/A,FALSE,"부대2"}</definedName>
    <definedName name="ㅐOOOO" localSheetId="4" hidden="1">{"'도면'!$G$62:$H$63","'도면'!$G$62:$H$63"}</definedName>
    <definedName name="ㅐOOOO" localSheetId="5" hidden="1">{"'도면'!$G$62:$H$63","'도면'!$G$62:$H$63"}</definedName>
    <definedName name="ㅐOOOO" hidden="1">{"'도면'!$G$62:$H$63","'도면'!$G$62:$H$63"}</definedName>
    <definedName name="ㅐOOOO_1" localSheetId="4" hidden="1">{"'도면'!$G$62:$H$63","'도면'!$G$62:$H$63"}</definedName>
    <definedName name="ㅐOOOO_1" localSheetId="5" hidden="1">{"'도면'!$G$62:$H$63","'도면'!$G$62:$H$63"}</definedName>
    <definedName name="ㅐOOOO_1" hidden="1">{"'도면'!$G$62:$H$63","'도면'!$G$62:$H$63"}</definedName>
    <definedName name="ㅑ" localSheetId="0" hidden="1">{#N/A,#N/A,FALSE,"조골재"}</definedName>
    <definedName name="ㅑ" hidden="1">{#N/A,#N/A,FALSE,"조골재"}</definedName>
    <definedName name="ㅓ7" localSheetId="0" hidden="1">{#N/A,#N/A,FALSE,"단가표지"}</definedName>
    <definedName name="ㅓ7" hidden="1">{#N/A,#N/A,FALSE,"단가표지"}</definedName>
    <definedName name="ㅓㄴㅇ러" localSheetId="0" hidden="1">{#N/A,#N/A,FALSE,"골재소요량";#N/A,#N/A,FALSE,"골재소요량"}</definedName>
    <definedName name="ㅓㄴㅇ러" hidden="1">{#N/A,#N/A,FALSE,"골재소요량";#N/A,#N/A,FALSE,"골재소요량"}</definedName>
    <definedName name="ㅓㅏㅣㅓㅣㅓ" localSheetId="0" hidden="1">{#N/A,#N/A,FALSE,"혼합골재"}</definedName>
    <definedName name="ㅓㅏㅣㅓㅣㅓ" hidden="1">{#N/A,#N/A,FALSE,"혼합골재"}</definedName>
    <definedName name="ㅓㅗㅅㄹ" localSheetId="0" hidden="1">{#N/A,#N/A,FALSE,"조골재"}</definedName>
    <definedName name="ㅓㅗㅅㄹ" hidden="1">{#N/A,#N/A,FALSE,"조골재"}</definedName>
    <definedName name="ㅔ" localSheetId="4" hidden="1">{"'도면'!$G$62:$H$63","'도면'!$G$62:$H$63"}</definedName>
    <definedName name="ㅔ" localSheetId="5" hidden="1">{"'도면'!$G$62:$H$63","'도면'!$G$62:$H$63"}</definedName>
    <definedName name="ㅔ" hidden="1">{"'도면'!$G$62:$H$63","'도면'!$G$62:$H$63"}</definedName>
    <definedName name="ㅔ_1" localSheetId="4" hidden="1">{"'도면'!$G$62:$H$63","'도면'!$G$62:$H$63"}</definedName>
    <definedName name="ㅔ_1" localSheetId="5" hidden="1">{"'도면'!$G$62:$H$63","'도면'!$G$62:$H$63"}</definedName>
    <definedName name="ㅔ_1" hidden="1">{"'도면'!$G$62:$H$63","'도면'!$G$62:$H$63"}</definedName>
    <definedName name="ㅔ3" localSheetId="0" hidden="1">{#N/A,#N/A,FALSE,"배수1"}</definedName>
    <definedName name="ㅔ3" hidden="1">{#N/A,#N/A,FALSE,"배수1"}</definedName>
    <definedName name="ㅔㅔㅔㅔㅔㅔ" localSheetId="4" hidden="1">{"'도면'!$G$62:$H$63","'도면'!$G$62:$H$63"}</definedName>
    <definedName name="ㅔㅔㅔㅔㅔㅔ" localSheetId="5" hidden="1">{"'도면'!$G$62:$H$63","'도면'!$G$62:$H$63"}</definedName>
    <definedName name="ㅔㅔㅔㅔㅔㅔ" hidden="1">{"'도면'!$G$62:$H$63","'도면'!$G$62:$H$63"}</definedName>
    <definedName name="ㅔㅔㅔㅔㅔㅔ_1" localSheetId="4" hidden="1">{"'도면'!$G$62:$H$63","'도면'!$G$62:$H$63"}</definedName>
    <definedName name="ㅔㅔㅔㅔㅔㅔ_1" localSheetId="5" hidden="1">{"'도면'!$G$62:$H$63","'도면'!$G$62:$H$63"}</definedName>
    <definedName name="ㅔㅔㅔㅔㅔㅔ_1" hidden="1">{"'도면'!$G$62:$H$63","'도면'!$G$62:$H$63"}</definedName>
    <definedName name="ㅗㄹ호" localSheetId="0" hidden="1">{#N/A,#N/A,FALSE,"운반시간"}</definedName>
    <definedName name="ㅗㄹ호" hidden="1">{#N/A,#N/A,FALSE,"운반시간"}</definedName>
    <definedName name="ㅗㅎㅅ" localSheetId="0" hidden="1">{"'공사부문'!$A$6:$A$32"}</definedName>
    <definedName name="ㅗㅎㅅ" hidden="1">{"'공사부문'!$A$6:$A$32"}</definedName>
    <definedName name="ㅜ_1" localSheetId="4" hidden="1">{"'도면'!$G$62:$H$63","'도면'!$G$62:$H$63"}</definedName>
    <definedName name="ㅜ_1" localSheetId="5" hidden="1">{"'도면'!$G$62:$H$63","'도면'!$G$62:$H$63"}</definedName>
    <definedName name="ㅜ_1" hidden="1">{"'도면'!$G$62:$H$63","'도면'!$G$62:$H$63"}</definedName>
    <definedName name="ㅜㅜㅜㅜ" localSheetId="4" hidden="1">{"'도면'!$G$62:$H$63","'도면'!$G$62:$H$63"}</definedName>
    <definedName name="ㅜㅜㅜㅜ" localSheetId="5" hidden="1">{"'도면'!$G$62:$H$63","'도면'!$G$62:$H$63"}</definedName>
    <definedName name="ㅜㅜㅜㅜ" hidden="1">{"'도면'!$G$62:$H$63","'도면'!$G$62:$H$63"}</definedName>
    <definedName name="ㅜㅜㅜㅜ_1" localSheetId="4" hidden="1">{"'도면'!$G$62:$H$63","'도면'!$G$62:$H$63"}</definedName>
    <definedName name="ㅜㅜㅜㅜ_1" localSheetId="5" hidden="1">{"'도면'!$G$62:$H$63","'도면'!$G$62:$H$63"}</definedName>
    <definedName name="ㅜㅜㅜㅜ_1" hidden="1">{"'도면'!$G$62:$H$63","'도면'!$G$62:$H$63"}</definedName>
    <definedName name="ㅠ뮤ㅐ" localSheetId="0" hidden="1">#REF!</definedName>
    <definedName name="ㅠ뮤ㅐ" hidden="1">#REF!</definedName>
    <definedName name="ㅡㅁㅊ개14" localSheetId="4">[17]!Macro13</definedName>
    <definedName name="ㅡㅁㅊ개14">[17]!Macro13</definedName>
    <definedName name="ㅡㅡㅡㅡ" localSheetId="4" hidden="1">{"'7'!$B$15:$D$32"}</definedName>
    <definedName name="ㅡㅡㅡㅡ" localSheetId="5" hidden="1">{"'7'!$B$15:$D$32"}</definedName>
    <definedName name="ㅡㅡㅡㅡ" hidden="1">{"'7'!$B$15:$D$32"}</definedName>
    <definedName name="ㅣㅎㄹㅇㅇ" localSheetId="0" hidden="1">{#N/A,#N/A,FALSE,"토공2"}</definedName>
    <definedName name="ㅣㅎㄹㅇㅇ" hidden="1">{#N/A,#N/A,FALSE,"토공2"}</definedName>
    <definedName name="ㅣㅏㅓ" localSheetId="0" hidden="1">{#N/A,#N/A,FALSE,"운반시간"}</definedName>
    <definedName name="ㅣㅏㅓ" hidden="1">{#N/A,#N/A,FALSE,"운반시간"}</definedName>
    <definedName name="ㅣㅏㅓㅣㅏㅓㅣ" localSheetId="0" hidden="1">{#N/A,#N/A,FALSE,"속도"}</definedName>
    <definedName name="ㅣㅏㅓㅣㅏㅓㅣ" hidden="1">{#N/A,#N/A,FALSE,"속도"}</definedName>
    <definedName name="ㅣㅑㅣㅣ" localSheetId="0" hidden="1">{#N/A,#N/A,FALSE,"혼합골재"}</definedName>
    <definedName name="ㅣㅑㅣㅣ" hidden="1">{#N/A,#N/A,FALSE,"혼합골재"}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2" l="1"/>
  <c r="I14" i="12" s="1"/>
  <c r="G14" i="12" s="1"/>
  <c r="F14" i="12" l="1"/>
  <c r="H15" i="12" l="1"/>
  <c r="H13" i="12"/>
  <c r="H16" i="12"/>
  <c r="I17" i="12"/>
  <c r="G17" i="12" s="1"/>
  <c r="F17" i="12"/>
  <c r="I16" i="12"/>
  <c r="G16" i="12" s="1"/>
  <c r="F16" i="12"/>
  <c r="F15" i="12"/>
  <c r="I13" i="12"/>
  <c r="G13" i="12" s="1"/>
  <c r="F13" i="12"/>
  <c r="L12" i="12"/>
  <c r="M12" i="12" s="1"/>
  <c r="J12" i="12"/>
  <c r="K12" i="12" s="1"/>
  <c r="H12" i="12"/>
  <c r="I12" i="12" s="1"/>
  <c r="B12" i="12"/>
  <c r="L11" i="12"/>
  <c r="M11" i="12" s="1"/>
  <c r="J11" i="12"/>
  <c r="K11" i="12" s="1"/>
  <c r="H11" i="12"/>
  <c r="I11" i="12" s="1"/>
  <c r="B11" i="12"/>
  <c r="L10" i="12"/>
  <c r="M10" i="12" s="1"/>
  <c r="J10" i="12"/>
  <c r="K10" i="12" s="1"/>
  <c r="H10" i="12"/>
  <c r="I10" i="12" s="1"/>
  <c r="B10" i="12"/>
  <c r="L9" i="12"/>
  <c r="M9" i="12" s="1"/>
  <c r="J9" i="12"/>
  <c r="K9" i="12" s="1"/>
  <c r="H9" i="12"/>
  <c r="I9" i="12" s="1"/>
  <c r="B9" i="12"/>
  <c r="L8" i="12"/>
  <c r="M8" i="12" s="1"/>
  <c r="J8" i="12"/>
  <c r="K8" i="12" s="1"/>
  <c r="H8" i="12"/>
  <c r="B8" i="12"/>
  <c r="A5" i="10"/>
  <c r="M33" i="10"/>
  <c r="L31" i="10" s="1"/>
  <c r="M31" i="10" s="1"/>
  <c r="F38" i="10"/>
  <c r="H37" i="10"/>
  <c r="I37" i="10" s="1"/>
  <c r="G37" i="10" s="1"/>
  <c r="H36" i="10"/>
  <c r="F36" i="10" s="1"/>
  <c r="H35" i="10"/>
  <c r="I35" i="10" s="1"/>
  <c r="G35" i="10" s="1"/>
  <c r="J34" i="10"/>
  <c r="K34" i="10" s="1"/>
  <c r="I38" i="10" l="1"/>
  <c r="G38" i="10" s="1"/>
  <c r="K33" i="10"/>
  <c r="J31" i="10" s="1"/>
  <c r="K31" i="10" s="1"/>
  <c r="F34" i="10"/>
  <c r="F35" i="10"/>
  <c r="F12" i="12"/>
  <c r="G12" i="12"/>
  <c r="F11" i="12"/>
  <c r="F8" i="12"/>
  <c r="F9" i="12"/>
  <c r="G9" i="12"/>
  <c r="M7" i="12"/>
  <c r="M5" i="12" s="1"/>
  <c r="M9" i="4" s="1"/>
  <c r="F10" i="12"/>
  <c r="G11" i="12"/>
  <c r="G10" i="12"/>
  <c r="K7" i="12"/>
  <c r="K5" i="12" s="1"/>
  <c r="K9" i="4" s="1"/>
  <c r="I15" i="12"/>
  <c r="G15" i="12" s="1"/>
  <c r="I8" i="12"/>
  <c r="F37" i="10"/>
  <c r="I36" i="10"/>
  <c r="G36" i="10" s="1"/>
  <c r="G34" i="10"/>
  <c r="I33" i="10" l="1"/>
  <c r="H31" i="10" s="1"/>
  <c r="I31" i="10" s="1"/>
  <c r="G8" i="12"/>
  <c r="I7" i="12"/>
  <c r="I5" i="12" s="1"/>
  <c r="I9" i="4" s="1"/>
  <c r="G7" i="12" l="1"/>
  <c r="G5" i="12"/>
  <c r="H8" i="10" l="1"/>
  <c r="H15" i="10"/>
  <c r="H19" i="10"/>
  <c r="H20" i="10"/>
  <c r="I20" i="10" s="1"/>
  <c r="G20" i="10" s="1"/>
  <c r="H21" i="10"/>
  <c r="F21" i="10" s="1"/>
  <c r="F27" i="10"/>
  <c r="J26" i="10"/>
  <c r="K26" i="10" s="1"/>
  <c r="G26" i="10" s="1"/>
  <c r="J25" i="10"/>
  <c r="K25" i="10" s="1"/>
  <c r="L24" i="10"/>
  <c r="I24" i="10"/>
  <c r="F22" i="10"/>
  <c r="I19" i="10"/>
  <c r="F19" i="10"/>
  <c r="J18" i="10"/>
  <c r="F18" i="10" s="1"/>
  <c r="M17" i="10"/>
  <c r="I15" i="10"/>
  <c r="G15" i="10" s="1"/>
  <c r="D14" i="10"/>
  <c r="K13" i="10"/>
  <c r="I13" i="10"/>
  <c r="J12" i="10"/>
  <c r="F12" i="10" s="1"/>
  <c r="D9" i="10"/>
  <c r="L8" i="10"/>
  <c r="M8" i="10" s="1"/>
  <c r="J8" i="10"/>
  <c r="K8" i="10" s="1"/>
  <c r="I8" i="10"/>
  <c r="G8" i="10" s="1"/>
  <c r="F8" i="10"/>
  <c r="J7" i="10"/>
  <c r="F7" i="10" s="1"/>
  <c r="J6" i="10"/>
  <c r="K6" i="10" s="1"/>
  <c r="G6" i="10" s="1"/>
  <c r="F6" i="10" l="1"/>
  <c r="K12" i="10"/>
  <c r="L13" i="10" s="1"/>
  <c r="M13" i="10" s="1"/>
  <c r="F15" i="10"/>
  <c r="K14" i="10"/>
  <c r="K11" i="10" s="1"/>
  <c r="F26" i="10"/>
  <c r="F25" i="10"/>
  <c r="K18" i="10"/>
  <c r="I22" i="10" s="1"/>
  <c r="G22" i="10" s="1"/>
  <c r="M27" i="10"/>
  <c r="K24" i="10"/>
  <c r="G25" i="10"/>
  <c r="G19" i="10"/>
  <c r="I21" i="10"/>
  <c r="G21" i="10" s="1"/>
  <c r="F20" i="10"/>
  <c r="I14" i="10"/>
  <c r="G12" i="10"/>
  <c r="M9" i="10"/>
  <c r="M5" i="10" s="1"/>
  <c r="L30" i="10" s="1"/>
  <c r="M30" i="10" s="1"/>
  <c r="M29" i="10" s="1"/>
  <c r="I9" i="10"/>
  <c r="K7" i="10"/>
  <c r="G7" i="10" s="1"/>
  <c r="G13" i="10" l="1"/>
  <c r="M14" i="10"/>
  <c r="M11" i="10" s="1"/>
  <c r="F13" i="10"/>
  <c r="K17" i="10"/>
  <c r="G18" i="10"/>
  <c r="G27" i="10"/>
  <c r="M24" i="10"/>
  <c r="G24" i="10" s="1"/>
  <c r="I17" i="10"/>
  <c r="G17" i="10" s="1"/>
  <c r="G14" i="10"/>
  <c r="I11" i="10"/>
  <c r="G11" i="10" s="1"/>
  <c r="K9" i="10"/>
  <c r="K5" i="10" s="1"/>
  <c r="J30" i="10" s="1"/>
  <c r="K30" i="10" s="1"/>
  <c r="K29" i="10" s="1"/>
  <c r="I5" i="10"/>
  <c r="H30" i="10" s="1"/>
  <c r="I30" i="10" s="1"/>
  <c r="I29" i="10" s="1"/>
  <c r="G9" i="10" l="1"/>
  <c r="G5" i="10"/>
  <c r="G33" i="10" l="1"/>
  <c r="I9" i="11"/>
  <c r="I7" i="11"/>
  <c r="I6" i="11"/>
  <c r="I5" i="11"/>
  <c r="J4" i="11"/>
  <c r="L4" i="11"/>
  <c r="C4" i="11"/>
  <c r="C5" i="11" s="1"/>
  <c r="C6" i="11" s="1"/>
  <c r="C7" i="11" s="1"/>
  <c r="C8" i="11" s="1"/>
  <c r="C9" i="11" s="1"/>
  <c r="M9" i="11"/>
  <c r="K9" i="11"/>
  <c r="B9" i="11"/>
  <c r="M8" i="11"/>
  <c r="K8" i="11"/>
  <c r="B8" i="11"/>
  <c r="M7" i="11"/>
  <c r="K7" i="11"/>
  <c r="B7" i="11"/>
  <c r="M6" i="11"/>
  <c r="K6" i="11"/>
  <c r="B6" i="11"/>
  <c r="M5" i="11"/>
  <c r="K5" i="11"/>
  <c r="B5" i="11"/>
  <c r="B4" i="11"/>
  <c r="G5" i="11" l="1"/>
  <c r="G7" i="11"/>
  <c r="G9" i="11"/>
  <c r="G6" i="11"/>
  <c r="G30" i="10" l="1"/>
  <c r="N29" i="10"/>
  <c r="M4" i="11"/>
  <c r="A11" i="10"/>
  <c r="A17" i="10" s="1"/>
  <c r="A24" i="10" l="1"/>
  <c r="A29" i="10" s="1"/>
  <c r="A33" i="10" s="1"/>
  <c r="I8" i="11"/>
  <c r="G8" i="11" s="1"/>
  <c r="G31" i="10"/>
  <c r="F31" i="10"/>
  <c r="F30" i="10" l="1"/>
  <c r="I4" i="11"/>
  <c r="G29" i="10"/>
  <c r="A1" i="4" l="1"/>
  <c r="G9" i="4"/>
  <c r="J9" i="4"/>
  <c r="L9" i="4"/>
  <c r="N9" i="4"/>
  <c r="Q9" i="4"/>
  <c r="Y9" i="4" s="1"/>
  <c r="Z9" i="4" s="1"/>
  <c r="S9" i="4"/>
  <c r="AA9" i="4" s="1"/>
  <c r="AB9" i="4" s="1"/>
  <c r="U9" i="4"/>
  <c r="AC9" i="4" s="1"/>
  <c r="AD9" i="4" s="1"/>
  <c r="T9" i="4" l="1"/>
  <c r="V9" i="4"/>
  <c r="K4" i="11"/>
  <c r="G4" i="11" s="1"/>
  <c r="X9" i="4"/>
  <c r="O9" i="4"/>
  <c r="H9" i="4"/>
  <c r="R9" i="4"/>
  <c r="P9" i="4" s="1"/>
  <c r="W9" i="4"/>
  <c r="J8" i="4" l="1"/>
  <c r="J6" i="4" s="1"/>
  <c r="L8" i="4"/>
  <c r="L6" i="4" s="1"/>
  <c r="U8" i="4" l="1"/>
  <c r="AC8" i="4" s="1"/>
  <c r="S8" i="4"/>
  <c r="AA8" i="4" s="1"/>
  <c r="Q8" i="4"/>
  <c r="Y8" i="4" s="1"/>
  <c r="N8" i="4"/>
  <c r="N6" i="4" s="1"/>
  <c r="G8" i="4"/>
  <c r="B2" i="3"/>
  <c r="H8" i="4" l="1"/>
  <c r="V8" i="4" l="1"/>
  <c r="V6" i="4" s="1"/>
  <c r="T8" i="4"/>
  <c r="T6" i="4" s="1"/>
  <c r="H6" i="4"/>
  <c r="AD8" i="4" l="1"/>
  <c r="AD6" i="4" s="1"/>
  <c r="O8" i="4"/>
  <c r="R8" i="4"/>
  <c r="R6" i="4" s="1"/>
  <c r="AB8" i="4"/>
  <c r="AB6" i="4" s="1"/>
  <c r="F14" i="3" l="1"/>
  <c r="F11" i="3"/>
  <c r="F13" i="3" s="1"/>
  <c r="F12" i="3"/>
  <c r="F8" i="3"/>
  <c r="F9" i="3" s="1"/>
  <c r="P6" i="4"/>
  <c r="P8" i="4"/>
  <c r="Z8" i="4"/>
  <c r="Z6" i="4" s="1"/>
  <c r="W8" i="4"/>
  <c r="F10" i="3" l="1"/>
  <c r="F16" i="3"/>
  <c r="F18" i="3"/>
  <c r="X8" i="4"/>
  <c r="X6" i="4"/>
  <c r="F7" i="3" s="1"/>
  <c r="F17" i="3" s="1"/>
  <c r="F15" i="3" l="1"/>
  <c r="R18" i="3" l="1"/>
  <c r="F20" i="3"/>
  <c r="F21" i="3" s="1"/>
  <c r="N26" i="3"/>
  <c r="Q26" i="3" s="1"/>
  <c r="F23" i="3" l="1"/>
  <c r="F24" i="3" s="1"/>
  <c r="K26" i="3"/>
  <c r="F25" i="3" l="1"/>
  <c r="K10" i="8" s="1"/>
  <c r="B3" i="3" l="1"/>
  <c r="F10" i="8" s="1"/>
  <c r="F27" i="3" l="1"/>
  <c r="N23" i="3" l="1"/>
  <c r="L7" i="3"/>
  <c r="K23" i="3" l="1"/>
  <c r="N24" i="3"/>
  <c r="N25" i="3" l="1"/>
  <c r="L23" i="3"/>
  <c r="O23" i="3" s="1"/>
  <c r="K24" i="3"/>
  <c r="L24" i="3" s="1"/>
  <c r="O24" i="3" s="1"/>
  <c r="K25" i="3" l="1"/>
  <c r="K27" i="3" s="1"/>
  <c r="N27" i="3"/>
  <c r="O27" i="3" s="1"/>
  <c r="L27" i="3" s="1"/>
  <c r="L25" i="3" l="1"/>
  <c r="O25" i="3" s="1"/>
  <c r="Q27" i="3"/>
  <c r="O7" i="3"/>
</calcChain>
</file>

<file path=xl/sharedStrings.xml><?xml version="1.0" encoding="utf-8"?>
<sst xmlns="http://schemas.openxmlformats.org/spreadsheetml/2006/main" count="353" uniqueCount="177">
  <si>
    <t xml:space="preserve">1. 공              사              명 : </t>
    <phoneticPr fontId="3" type="noConversion"/>
  </si>
  <si>
    <t>공                   종</t>
    <phoneticPr fontId="3" type="noConversion"/>
  </si>
  <si>
    <t>규     격</t>
    <phoneticPr fontId="3" type="noConversion"/>
  </si>
  <si>
    <t>단 위</t>
    <phoneticPr fontId="3" type="noConversion"/>
  </si>
  <si>
    <t>단 가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</si>
  <si>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</si>
  <si>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</si>
  <si>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</si>
  <si>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고</t>
    <phoneticPr fontId="3" type="noConversion"/>
  </si>
  <si>
    <t>수 량</t>
    <phoneticPr fontId="3" type="noConversion"/>
  </si>
  <si>
    <t>금 액</t>
    <phoneticPr fontId="3" type="noConversion"/>
  </si>
  <si>
    <t>비율(%)</t>
    <phoneticPr fontId="3" type="noConversion"/>
  </si>
  <si>
    <t>1.직접공사비</t>
    <phoneticPr fontId="3" type="noConversion"/>
  </si>
  <si>
    <t>식</t>
    <phoneticPr fontId="3" type="noConversion"/>
  </si>
  <si>
    <t>3.고용보험료</t>
    <phoneticPr fontId="3" type="noConversion"/>
  </si>
  <si>
    <t>4.국민건강보험료</t>
    <phoneticPr fontId="3" type="noConversion"/>
  </si>
  <si>
    <t>8.건설기계대여대금지급보증서발급수수료</t>
    <phoneticPr fontId="3" type="noConversion"/>
  </si>
  <si>
    <t>명        칭</t>
    <phoneticPr fontId="3" type="noConversion"/>
  </si>
  <si>
    <t>규    격</t>
    <phoneticPr fontId="3" type="noConversion"/>
  </si>
  <si>
    <t>단위</t>
  </si>
  <si>
    <t>단  가</t>
  </si>
  <si>
    <t>금액</t>
    <phoneticPr fontId="3" type="noConversion"/>
  </si>
  <si>
    <t>계약금액</t>
    <phoneticPr fontId="3" type="noConversion"/>
  </si>
  <si>
    <t>13.개산급(부가세 포함)</t>
    <phoneticPr fontId="3" type="noConversion"/>
  </si>
  <si>
    <t>식</t>
    <phoneticPr fontId="3" type="noConversion"/>
  </si>
  <si>
    <t>14.하도금액 합계</t>
    <phoneticPr fontId="3" type="noConversion"/>
  </si>
  <si>
    <t>식</t>
    <phoneticPr fontId="3" type="noConversion"/>
  </si>
  <si>
    <t>비율(%)</t>
  </si>
  <si>
    <t>수 량</t>
  </si>
  <si>
    <t>금 액</t>
  </si>
  <si>
    <t>설계가</t>
    <phoneticPr fontId="3" type="noConversion"/>
  </si>
  <si>
    <t>직접공사비</t>
    <phoneticPr fontId="3" type="noConversion"/>
  </si>
  <si>
    <t>단가</t>
    <phoneticPr fontId="3" type="noConversion"/>
  </si>
  <si>
    <t>수량</t>
    <phoneticPr fontId="3" type="noConversion"/>
  </si>
  <si>
    <t>합계</t>
    <phoneticPr fontId="3" type="noConversion"/>
  </si>
  <si>
    <t>직접재료비</t>
    <phoneticPr fontId="3" type="noConversion"/>
  </si>
  <si>
    <t>직접노무비</t>
    <phoneticPr fontId="3" type="noConversion"/>
  </si>
  <si>
    <t>경비</t>
    <phoneticPr fontId="3" type="noConversion"/>
  </si>
  <si>
    <t>계</t>
    <phoneticPr fontId="3" type="noConversion"/>
  </si>
  <si>
    <t>2.간접노무비</t>
    <phoneticPr fontId="3" type="noConversion"/>
  </si>
  <si>
    <t>5.연금보험료</t>
    <phoneticPr fontId="3" type="noConversion"/>
  </si>
  <si>
    <t>6.노인장기요양보험료</t>
    <phoneticPr fontId="3" type="noConversion"/>
  </si>
  <si>
    <t>7.퇴직공제부금비</t>
    <phoneticPr fontId="3" type="noConversion"/>
  </si>
  <si>
    <t>9.산업안전보건관리비</t>
    <phoneticPr fontId="3" type="noConversion"/>
  </si>
  <si>
    <t>10.환경보전비</t>
    <phoneticPr fontId="3" type="noConversion"/>
  </si>
  <si>
    <t>11.기타경비</t>
    <phoneticPr fontId="3" type="noConversion"/>
  </si>
  <si>
    <t>3.신재보험료</t>
    <phoneticPr fontId="3" type="noConversion"/>
  </si>
  <si>
    <t>식</t>
    <phoneticPr fontId="3" type="noConversion"/>
  </si>
  <si>
    <t>12.일반관리비</t>
    <phoneticPr fontId="3" type="noConversion"/>
  </si>
  <si>
    <t>13.이윤</t>
    <phoneticPr fontId="3" type="noConversion"/>
  </si>
  <si>
    <t>14.공급가액</t>
    <phoneticPr fontId="3" type="noConversion"/>
  </si>
  <si>
    <t>15.부가가치세</t>
    <phoneticPr fontId="3" type="noConversion"/>
  </si>
  <si>
    <t>16.하도금액(계약금액)</t>
    <phoneticPr fontId="3" type="noConversion"/>
  </si>
  <si>
    <t>내 역 서</t>
    <phoneticPr fontId="3" type="noConversion"/>
  </si>
  <si>
    <t>정산항목</t>
    <phoneticPr fontId="3" type="noConversion"/>
  </si>
  <si>
    <t>3. 내                               역 :</t>
    <phoneticPr fontId="3" type="noConversion"/>
  </si>
  <si>
    <t xml:space="preserve">2. 견        적         금        액 : </t>
    <phoneticPr fontId="3" type="noConversion"/>
  </si>
  <si>
    <t>수주처</t>
    <phoneticPr fontId="19" type="noConversion"/>
  </si>
  <si>
    <t>:</t>
    <phoneticPr fontId="13" type="noConversion"/>
  </si>
  <si>
    <t>공사명</t>
    <phoneticPr fontId="19" type="noConversion"/>
  </si>
  <si>
    <t>(\</t>
    <phoneticPr fontId="3" type="noConversion"/>
  </si>
  <si>
    <t>.VAT포함)</t>
    <phoneticPr fontId="3" type="noConversion"/>
  </si>
  <si>
    <t>첨부와 같이 내역를 제출합니다.</t>
    <phoneticPr fontId="19" type="noConversion"/>
  </si>
  <si>
    <t>견  적  서</t>
    <phoneticPr fontId="19" type="noConversion"/>
  </si>
  <si>
    <t>견적금액</t>
    <phoneticPr fontId="13" type="noConversion"/>
  </si>
  <si>
    <t>간접비(경비)</t>
    <phoneticPr fontId="3" type="noConversion"/>
  </si>
  <si>
    <t>EA</t>
    <phoneticPr fontId="3" type="noConversion"/>
  </si>
  <si>
    <t>원도급(86.745%)</t>
    <phoneticPr fontId="3" type="noConversion"/>
  </si>
  <si>
    <t>1</t>
    <phoneticPr fontId="3" type="noConversion"/>
  </si>
  <si>
    <t>…… 1</t>
    <phoneticPr fontId="3" type="noConversion"/>
  </si>
  <si>
    <t>금액</t>
    <phoneticPr fontId="3" type="noConversion"/>
  </si>
  <si>
    <t>…… 2</t>
    <phoneticPr fontId="3" type="noConversion"/>
  </si>
  <si>
    <t>가배관 자재 및 부설</t>
    <phoneticPr fontId="3" type="noConversion"/>
  </si>
  <si>
    <t>비     고</t>
    <phoneticPr fontId="13" type="noConversion"/>
  </si>
  <si>
    <t>D900 * 10M</t>
    <phoneticPr fontId="3" type="noConversion"/>
  </si>
  <si>
    <t>식</t>
    <phoneticPr fontId="3" type="noConversion"/>
  </si>
  <si>
    <t>㈜백마종합건설</t>
    <phoneticPr fontId="19" type="noConversion"/>
  </si>
  <si>
    <t>공사명 : 보령광역 서산계통 공기제수밸브 교체공사 중 부단수 차단 공사</t>
    <phoneticPr fontId="3" type="noConversion"/>
  </si>
  <si>
    <t>D1,350mm</t>
    <phoneticPr fontId="3" type="noConversion"/>
  </si>
  <si>
    <t>부단수 차단</t>
    <phoneticPr fontId="3" type="noConversion"/>
  </si>
  <si>
    <t>일위대가_호표_강관부설(2025년)</t>
    <phoneticPr fontId="13" type="noConversion"/>
  </si>
  <si>
    <t>공 종 명</t>
  </si>
  <si>
    <t>규 격</t>
  </si>
  <si>
    <t>수량</t>
  </si>
  <si>
    <t>합    계</t>
  </si>
  <si>
    <t/>
  </si>
  <si>
    <t>재 료 비</t>
  </si>
  <si>
    <t>노 무 비</t>
  </si>
  <si>
    <t>경    비</t>
  </si>
  <si>
    <t>비 고</t>
  </si>
  <si>
    <t>단 가</t>
  </si>
  <si>
    <t>토목6-3-1</t>
  </si>
  <si>
    <t>수도</t>
  </si>
  <si>
    <t>인</t>
  </si>
  <si>
    <t>hr</t>
    <phoneticPr fontId="13" type="noConversion"/>
  </si>
  <si>
    <t>개소</t>
  </si>
  <si>
    <t>토목6-3-2</t>
  </si>
  <si>
    <t>인력품의</t>
  </si>
  <si>
    <t>%</t>
  </si>
  <si>
    <t>4.0㎜  KSD5316</t>
  </si>
  <si>
    <t>kg</t>
  </si>
  <si>
    <t>강관절단(B종)</t>
  </si>
  <si>
    <t>D900㎜</t>
  </si>
  <si>
    <t>토목6-3-4</t>
  </si>
  <si>
    <t>99% 6000ℓ(기체) 40ℓ</t>
  </si>
  <si>
    <t>L</t>
  </si>
  <si>
    <t>98% (용접용) 1kg=853ℓ</t>
  </si>
  <si>
    <t>KG</t>
  </si>
  <si>
    <t>355x3.5mm</t>
  </si>
  <si>
    <t>개</t>
  </si>
  <si>
    <t>강관철거</t>
  </si>
  <si>
    <t>부설의 50%</t>
  </si>
  <si>
    <t>절단(철거)</t>
  </si>
  <si>
    <t>일위대가목록</t>
    <phoneticPr fontId="13" type="noConversion"/>
  </si>
  <si>
    <t>규    격</t>
  </si>
  <si>
    <t>단 위</t>
  </si>
  <si>
    <t>nr</t>
    <phoneticPr fontId="13" type="noConversion"/>
  </si>
  <si>
    <t>nr</t>
  </si>
  <si>
    <t>강관부설(기계)</t>
    <phoneticPr fontId="13" type="noConversion"/>
  </si>
  <si>
    <t>D900㎜</t>
    <phoneticPr fontId="13" type="noConversion"/>
  </si>
  <si>
    <t>nr</t>
    <phoneticPr fontId="13" type="noConversion"/>
  </si>
  <si>
    <t xml:space="preserve"> 배 관 공</t>
    <phoneticPr fontId="13" type="noConversion"/>
  </si>
  <si>
    <t xml:space="preserve"> 보통인부</t>
    <phoneticPr fontId="13" type="noConversion"/>
  </si>
  <si>
    <t xml:space="preserve"> 트럭탑제형 크레인</t>
    <phoneticPr fontId="13" type="noConversion"/>
  </si>
  <si>
    <t>10 TON</t>
    <phoneticPr fontId="13" type="noConversion"/>
  </si>
  <si>
    <t xml:space="preserve"> 일 시공량</t>
    <phoneticPr fontId="13" type="noConversion"/>
  </si>
  <si>
    <t>일/본</t>
    <phoneticPr fontId="13" type="noConversion"/>
  </si>
  <si>
    <t>강관접합(B종)</t>
    <phoneticPr fontId="13" type="noConversion"/>
  </si>
  <si>
    <t>D900㎜, 내·외부용접</t>
    <phoneticPr fontId="13" type="noConversion"/>
  </si>
  <si>
    <t xml:space="preserve"> 용 접 공(일 반)</t>
    <phoneticPr fontId="13" type="noConversion"/>
  </si>
  <si>
    <t xml:space="preserve"> 공구손료 및 경장비</t>
    <phoneticPr fontId="13" type="noConversion"/>
  </si>
  <si>
    <t>인력품의</t>
    <phoneticPr fontId="13" type="noConversion"/>
  </si>
  <si>
    <t xml:space="preserve"> 일 시공량</t>
    <phoneticPr fontId="13" type="noConversion"/>
  </si>
  <si>
    <t>일/개소</t>
    <phoneticPr fontId="13" type="noConversion"/>
  </si>
  <si>
    <t xml:space="preserve"> 용접봉(고장력강용)</t>
    <phoneticPr fontId="13" type="noConversion"/>
  </si>
  <si>
    <t>강관절단(B종)</t>
    <phoneticPr fontId="13" type="noConversion"/>
  </si>
  <si>
    <t>D900㎜</t>
    <phoneticPr fontId="13" type="noConversion"/>
  </si>
  <si>
    <t xml:space="preserve"> 용 접 공(일 반)</t>
    <phoneticPr fontId="13" type="noConversion"/>
  </si>
  <si>
    <t xml:space="preserve"> 산소</t>
    <phoneticPr fontId="13" type="noConversion"/>
  </si>
  <si>
    <t xml:space="preserve"> 아세칠렌</t>
    <phoneticPr fontId="13" type="noConversion"/>
  </si>
  <si>
    <t xml:space="preserve"> 연마숫돌</t>
    <phoneticPr fontId="13" type="noConversion"/>
  </si>
  <si>
    <t xml:space="preserve"> 공구손료 및 경장비</t>
    <phoneticPr fontId="13" type="noConversion"/>
  </si>
  <si>
    <t>플랜지조인트접합</t>
    <phoneticPr fontId="13" type="noConversion"/>
  </si>
  <si>
    <t>토목6-8-7</t>
    <phoneticPr fontId="13" type="noConversion"/>
  </si>
  <si>
    <t xml:space="preserve"> 배 관 공</t>
    <phoneticPr fontId="13" type="noConversion"/>
  </si>
  <si>
    <t xml:space="preserve"> 보통인부</t>
    <phoneticPr fontId="13" type="noConversion"/>
  </si>
  <si>
    <t xml:space="preserve"> 공구손료 및 경장비</t>
    <phoneticPr fontId="13" type="noConversion"/>
  </si>
  <si>
    <t>노무비의 %</t>
    <phoneticPr fontId="13" type="noConversion"/>
  </si>
  <si>
    <t>%</t>
    <phoneticPr fontId="13" type="noConversion"/>
  </si>
  <si>
    <t>70% 적용</t>
    <phoneticPr fontId="13" type="noConversion"/>
  </si>
  <si>
    <t>0.49</t>
    <phoneticPr fontId="3" type="noConversion"/>
  </si>
  <si>
    <t>가배관 설계내역서</t>
    <phoneticPr fontId="13" type="noConversion"/>
  </si>
  <si>
    <t>개소</t>
    <phoneticPr fontId="13" type="noConversion"/>
  </si>
  <si>
    <t>개소</t>
    <phoneticPr fontId="13" type="noConversion"/>
  </si>
  <si>
    <t>개소</t>
    <phoneticPr fontId="13" type="noConversion"/>
  </si>
  <si>
    <t>1S 직관</t>
    <phoneticPr fontId="13" type="noConversion"/>
  </si>
  <si>
    <t>본</t>
    <phoneticPr fontId="13" type="noConversion"/>
  </si>
  <si>
    <t>EA</t>
    <phoneticPr fontId="13" type="noConversion"/>
  </si>
  <si>
    <t>1F 단관</t>
    <phoneticPr fontId="13" type="noConversion"/>
  </si>
  <si>
    <t>EA</t>
    <phoneticPr fontId="13" type="noConversion"/>
  </si>
  <si>
    <t>1S 곡관</t>
    <phoneticPr fontId="13" type="noConversion"/>
  </si>
  <si>
    <t>이음관</t>
    <phoneticPr fontId="13" type="noConversion"/>
  </si>
  <si>
    <t>보령광역 서산계통 공기제수밸브 교체공사 중 부단수 차단 공사</t>
    <phoneticPr fontId="13" type="noConversion"/>
  </si>
  <si>
    <t>공사명 : 보령광역 서산계통 공기제수밸브 교체공사 중 부단수 차단 공사</t>
    <phoneticPr fontId="3" type="noConversion"/>
  </si>
  <si>
    <t>내역서</t>
    <phoneticPr fontId="13" type="noConversion"/>
  </si>
  <si>
    <t>D900×6.0m</t>
    <phoneticPr fontId="13" type="noConversion"/>
  </si>
  <si>
    <t>D900×90˚</t>
    <phoneticPr fontId="13" type="noConversion"/>
  </si>
  <si>
    <t>D900×2.0m</t>
    <phoneticPr fontId="13" type="noConversion"/>
  </si>
  <si>
    <t>D900</t>
    <phoneticPr fontId="13" type="noConversion"/>
  </si>
  <si>
    <t>대호스토퍼 내역</t>
    <phoneticPr fontId="3" type="noConversion"/>
  </si>
  <si>
    <t>피팅부 보호공 및 가배관 보강 별도</t>
    <phoneticPr fontId="3" type="noConversion"/>
  </si>
  <si>
    <t>D900㎜</t>
    <phoneticPr fontId="13" type="noConversion"/>
  </si>
  <si>
    <t>1. 가배관(서산계통)</t>
    <phoneticPr fontId="13" type="noConversion"/>
  </si>
  <si>
    <t>L=14.0m</t>
    <phoneticPr fontId="13" type="noConversion"/>
  </si>
  <si>
    <t>1S 단관</t>
    <phoneticPr fontId="13" type="noConversion"/>
  </si>
  <si>
    <t>EA</t>
    <phoneticPr fontId="13" type="noConversion"/>
  </si>
  <si>
    <t>D900×4.0m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</si>
</sst>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176" formatCode="0.0000%"/>
    <numFmt numFmtId="177" formatCode="_-* #,##0_-;\-* #,##0_-;_-* &quot;-&quot;?_-;_-@_-"/>
    <numFmt numFmtId="178" formatCode="0.0%"/>
    <numFmt numFmtId="179" formatCode="[DBNum4]&quot;일금&quot;\ [$-412]General\ &quot;원정&quot;"/>
    <numFmt numFmtId="180" formatCode="0_);[Red]\(0\)"/>
    <numFmt numFmtId="181" formatCode="0.000%"/>
    <numFmt numFmtId="182" formatCode="_(* #,##0.00_);_(* \(#,##0.00\);_(* &quot;-&quot;??_);_(@_)"/>
    <numFmt numFmtId="183" formatCode="_(* #,##0_);_(* \(#,##0\);_(* &quot;-&quot;??_);_(@_)"/>
    <numFmt numFmtId="184" formatCode="yyyy&quot;년&quot;\ m&quot;월&quot;\ d&quot;일&quot;;@"/>
    <numFmt numFmtId="185" formatCode="&quot;적용금액&quot;\-0"/>
    <numFmt numFmtId="186" formatCode="General;\-General\,&quot;&quot;;@"/>
    <numFmt numFmtId="187" formatCode="#,###.00;\-#,###.00;&quot;&quot;;@"/>
    <numFmt numFmtId="188" formatCode="#,###.0;\-#,###.0;&quot;&quot;;@"/>
    <numFmt numFmtId="189" formatCode="&quot;No.&quot;0"/>
    <numFmt numFmtId="190" formatCode="#,###;\-#,###;&quot;&quot;;@"/>
    <numFmt numFmtId="191" formatCode="0.0&quot; 본 / 일&quot;"/>
    <numFmt numFmtId="192" formatCode="0.0&quot; 개소 / 일&quot;"/>
  </numFmts>
  <fonts count="34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8"/>
      <name val="돋움"/>
      <family val="3"/>
      <charset val="129"/>
    </font>
    <font>
      <b/>
      <sz val="22"/>
      <name val="굴림"/>
      <family val="3"/>
      <charset val="129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sz val="10"/>
      <color indexed="10"/>
      <name val="굴림"/>
      <family val="3"/>
      <charset val="129"/>
    </font>
    <font>
      <sz val="11"/>
      <color theme="0"/>
      <name val="굴림"/>
      <family val="3"/>
      <charset val="129"/>
    </font>
    <font>
      <sz val="20"/>
      <name val="HY헤드라인M"/>
      <family val="1"/>
      <charset val="129"/>
    </font>
    <font>
      <sz val="11"/>
      <name val="굴림체"/>
      <family val="3"/>
      <charset val="129"/>
    </font>
    <font>
      <sz val="8"/>
      <name val="굴림체"/>
      <family val="3"/>
      <charset val="129"/>
    </font>
    <font>
      <b/>
      <sz val="24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rgb="FF0000FF"/>
      <name val="굴림"/>
      <family val="3"/>
      <charset val="129"/>
    </font>
    <font>
      <sz val="9"/>
      <color indexed="8"/>
      <name val="굴림체"/>
      <family val="3"/>
      <charset val="129"/>
    </font>
    <font>
      <sz val="24"/>
      <color theme="1"/>
      <name val="HY견고딕"/>
      <family val="1"/>
      <charset val="129"/>
    </font>
    <font>
      <sz val="8"/>
      <name val="맑은 고딕"/>
      <family val="3"/>
      <charset val="129"/>
    </font>
    <font>
      <b/>
      <sz val="13"/>
      <color theme="1"/>
      <name val="맑은 고딕"/>
      <family val="3"/>
      <charset val="129"/>
      <scheme val="minor"/>
    </font>
    <font>
      <sz val="10"/>
      <color indexed="8"/>
      <name val="Arial"/>
      <family val="2"/>
    </font>
    <font>
      <sz val="13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b/>
      <sz val="14"/>
      <color indexed="8"/>
      <name val="Arial"/>
      <family val="2"/>
    </font>
    <font>
      <b/>
      <sz val="20"/>
      <color theme="1"/>
      <name val="맑은 고딕"/>
      <family val="3"/>
      <charset val="129"/>
      <scheme val="minor"/>
    </font>
    <font>
      <sz val="9"/>
      <color rgb="FFFF0000"/>
      <name val="굴림"/>
      <family val="3"/>
      <charset val="129"/>
    </font>
    <font>
      <b/>
      <sz val="13"/>
      <name val="맑은 고딕"/>
      <family val="3"/>
      <charset val="129"/>
      <scheme val="minor"/>
    </font>
    <font>
      <b/>
      <sz val="9"/>
      <color indexed="8"/>
      <name val="굴림체"/>
      <family val="3"/>
      <charset val="129"/>
    </font>
    <font>
      <sz val="9"/>
      <name val="굴림체"/>
      <family val="3"/>
      <charset val="129"/>
    </font>
    <font>
      <b/>
      <sz val="9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b/>
      <sz val="14"/>
      <color indexed="8"/>
      <name val="굴림체"/>
      <family val="3"/>
      <charset val="129"/>
    </font>
    <font>
      <sz val="10"/>
      <name val="돋움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12" fillId="0" borderId="0"/>
    <xf numFmtId="41" fontId="1" fillId="0" borderId="0" applyFont="0" applyFill="0" applyBorder="0" applyAlignment="0" applyProtection="0"/>
    <xf numFmtId="0" fontId="17" fillId="0" borderId="0"/>
    <xf numFmtId="182" fontId="21" fillId="0" borderId="0"/>
    <xf numFmtId="0" fontId="21" fillId="0" borderId="0"/>
    <xf numFmtId="0" fontId="33" fillId="0" borderId="0">
      <alignment vertical="center"/>
    </xf>
  </cellStyleXfs>
  <cellXfs count="218">
    <xf numFmtId="0" fontId="0" fillId="0" borderId="0" xfId="0">
      <alignment vertical="center"/>
    </xf>
    <xf numFmtId="41" fontId="2" fillId="0" borderId="0" xfId="0" applyNumberFormat="1" applyFont="1">
      <alignment vertical="center"/>
    </xf>
    <xf numFmtId="41" fontId="2" fillId="0" borderId="0" xfId="0" applyNumberFormat="1" applyFont="1" applyAlignment="1">
      <alignment horizontal="left" vertical="center"/>
    </xf>
    <xf numFmtId="41" fontId="4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horizontal="center" vertical="center"/>
    </xf>
    <xf numFmtId="41" fontId="2" fillId="0" borderId="9" xfId="0" applyNumberFormat="1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41" fontId="2" fillId="0" borderId="9" xfId="0" applyNumberFormat="1" applyFont="1" applyBorder="1">
      <alignment vertical="center"/>
    </xf>
    <xf numFmtId="10" fontId="2" fillId="0" borderId="9" xfId="0" applyNumberFormat="1" applyFont="1" applyBorder="1">
      <alignment vertical="center"/>
    </xf>
    <xf numFmtId="41" fontId="7" fillId="0" borderId="9" xfId="0" applyNumberFormat="1" applyFont="1" applyBorder="1">
      <alignment vertical="center"/>
    </xf>
    <xf numFmtId="0" fontId="6" fillId="0" borderId="9" xfId="0" applyFont="1" applyBorder="1">
      <alignment vertical="center"/>
    </xf>
    <xf numFmtId="41" fontId="6" fillId="0" borderId="9" xfId="0" applyNumberFormat="1" applyFont="1" applyBorder="1">
      <alignment vertical="center"/>
    </xf>
    <xf numFmtId="41" fontId="6" fillId="0" borderId="9" xfId="0" applyNumberFormat="1" applyFont="1" applyBorder="1" applyAlignment="1">
      <alignment horizontal="center" vertical="center"/>
    </xf>
    <xf numFmtId="10" fontId="6" fillId="0" borderId="9" xfId="0" applyNumberFormat="1" applyFont="1" applyBorder="1">
      <alignment vertical="center"/>
    </xf>
    <xf numFmtId="41" fontId="8" fillId="0" borderId="9" xfId="0" applyNumberFormat="1" applyFont="1" applyBorder="1">
      <alignment vertical="center"/>
    </xf>
    <xf numFmtId="41" fontId="6" fillId="0" borderId="0" xfId="0" applyNumberFormat="1" applyFont="1">
      <alignment vertical="center"/>
    </xf>
    <xf numFmtId="41" fontId="7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41" fontId="7" fillId="0" borderId="0" xfId="0" applyNumberFormat="1" applyFont="1" applyAlignment="1">
      <alignment horizontal="center" vertical="center"/>
    </xf>
    <xf numFmtId="41" fontId="5" fillId="0" borderId="0" xfId="0" applyNumberFormat="1" applyFont="1">
      <alignment vertical="center"/>
    </xf>
    <xf numFmtId="41" fontId="5" fillId="0" borderId="9" xfId="0" applyNumberFormat="1" applyFont="1" applyBorder="1" applyAlignment="1">
      <alignment horizontal="center" vertical="center" wrapText="1"/>
    </xf>
    <xf numFmtId="41" fontId="5" fillId="0" borderId="9" xfId="0" applyNumberFormat="1" applyFont="1" applyBorder="1" applyAlignment="1">
      <alignment vertical="center" shrinkToFit="1"/>
    </xf>
    <xf numFmtId="41" fontId="5" fillId="0" borderId="0" xfId="0" applyNumberFormat="1" applyFont="1" applyAlignment="1">
      <alignment horizontal="left" vertical="center"/>
    </xf>
    <xf numFmtId="41" fontId="5" fillId="0" borderId="0" xfId="0" applyNumberFormat="1" applyFont="1" applyAlignment="1">
      <alignment horizontal="center" vertical="center"/>
    </xf>
    <xf numFmtId="177" fontId="6" fillId="0" borderId="9" xfId="0" applyNumberFormat="1" applyFont="1" applyBorder="1">
      <alignment vertical="center"/>
    </xf>
    <xf numFmtId="177" fontId="2" fillId="0" borderId="9" xfId="0" applyNumberFormat="1" applyFont="1" applyBorder="1">
      <alignment vertical="center"/>
    </xf>
    <xf numFmtId="41" fontId="9" fillId="0" borderId="0" xfId="0" applyNumberFormat="1" applyFont="1">
      <alignment vertical="center"/>
    </xf>
    <xf numFmtId="41" fontId="5" fillId="0" borderId="9" xfId="0" applyNumberFormat="1" applyFont="1" applyBorder="1">
      <alignment vertical="center"/>
    </xf>
    <xf numFmtId="41" fontId="5" fillId="0" borderId="9" xfId="0" applyNumberFormat="1" applyFont="1" applyBorder="1" applyAlignment="1">
      <alignment horizontal="center" vertical="center"/>
    </xf>
    <xf numFmtId="41" fontId="10" fillId="0" borderId="9" xfId="0" applyNumberFormat="1" applyFont="1" applyBorder="1" applyAlignment="1">
      <alignment horizontal="center" vertical="center"/>
    </xf>
    <xf numFmtId="41" fontId="5" fillId="0" borderId="12" xfId="0" applyNumberFormat="1" applyFont="1" applyBorder="1" applyAlignment="1">
      <alignment horizontal="left" vertical="center"/>
    </xf>
    <xf numFmtId="41" fontId="5" fillId="0" borderId="11" xfId="0" applyNumberFormat="1" applyFont="1" applyBorder="1" applyAlignment="1">
      <alignment horizontal="left" vertical="center"/>
    </xf>
    <xf numFmtId="41" fontId="2" fillId="2" borderId="9" xfId="0" applyNumberFormat="1" applyFont="1" applyFill="1" applyBorder="1" applyAlignment="1">
      <alignment horizontal="center" vertical="center"/>
    </xf>
    <xf numFmtId="41" fontId="5" fillId="2" borderId="9" xfId="0" applyNumberFormat="1" applyFont="1" applyFill="1" applyBorder="1" applyAlignment="1">
      <alignment horizontal="center" vertical="center"/>
    </xf>
    <xf numFmtId="41" fontId="2" fillId="0" borderId="0" xfId="0" applyNumberFormat="1" applyFont="1" applyAlignment="1">
      <alignment horizontal="right" vertical="center"/>
    </xf>
    <xf numFmtId="180" fontId="5" fillId="0" borderId="0" xfId="0" applyNumberFormat="1" applyFont="1" applyAlignment="1">
      <alignment horizontal="right" vertical="center"/>
    </xf>
    <xf numFmtId="9" fontId="5" fillId="0" borderId="0" xfId="0" applyNumberFormat="1" applyFont="1" applyAlignment="1">
      <alignment horizontal="right" vertical="center"/>
    </xf>
    <xf numFmtId="10" fontId="2" fillId="0" borderId="9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178" fontId="6" fillId="0" borderId="9" xfId="0" applyNumberFormat="1" applyFont="1" applyBorder="1" applyAlignment="1">
      <alignment horizontal="center" vertical="center"/>
    </xf>
    <xf numFmtId="181" fontId="2" fillId="0" borderId="9" xfId="0" applyNumberFormat="1" applyFont="1" applyBorder="1" applyAlignment="1">
      <alignment horizontal="center" vertical="center"/>
    </xf>
    <xf numFmtId="0" fontId="2" fillId="3" borderId="9" xfId="0" applyFont="1" applyFill="1" applyBorder="1">
      <alignment vertical="center"/>
    </xf>
    <xf numFmtId="0" fontId="17" fillId="0" borderId="0" xfId="3" applyAlignment="1">
      <alignment vertical="center"/>
    </xf>
    <xf numFmtId="0" fontId="17" fillId="0" borderId="16" xfId="3" applyBorder="1" applyAlignment="1">
      <alignment vertical="center"/>
    </xf>
    <xf numFmtId="0" fontId="17" fillId="0" borderId="17" xfId="3" applyBorder="1" applyAlignment="1">
      <alignment vertical="center"/>
    </xf>
    <xf numFmtId="0" fontId="17" fillId="0" borderId="18" xfId="3" applyBorder="1" applyAlignment="1">
      <alignment vertical="center"/>
    </xf>
    <xf numFmtId="0" fontId="17" fillId="0" borderId="19" xfId="3" applyBorder="1" applyAlignment="1">
      <alignment vertical="center"/>
    </xf>
    <xf numFmtId="0" fontId="17" fillId="0" borderId="20" xfId="3" applyBorder="1" applyAlignment="1">
      <alignment vertical="center"/>
    </xf>
    <xf numFmtId="0" fontId="20" fillId="0" borderId="19" xfId="3" applyFont="1" applyBorder="1" applyAlignment="1">
      <alignment vertical="center"/>
    </xf>
    <xf numFmtId="0" fontId="20" fillId="0" borderId="0" xfId="3" applyFont="1" applyAlignment="1">
      <alignment vertical="center"/>
    </xf>
    <xf numFmtId="0" fontId="20" fillId="0" borderId="0" xfId="3" applyFont="1" applyAlignment="1">
      <alignment horizontal="distributed" vertical="center"/>
    </xf>
    <xf numFmtId="0" fontId="20" fillId="0" borderId="0" xfId="3" applyFont="1" applyAlignment="1">
      <alignment horizontal="center" vertical="center"/>
    </xf>
    <xf numFmtId="0" fontId="20" fillId="0" borderId="20" xfId="3" applyFont="1" applyBorder="1" applyAlignment="1">
      <alignment vertical="center"/>
    </xf>
    <xf numFmtId="182" fontId="21" fillId="0" borderId="0" xfId="4"/>
    <xf numFmtId="0" fontId="22" fillId="0" borderId="19" xfId="3" applyFont="1" applyBorder="1" applyAlignment="1">
      <alignment vertical="center"/>
    </xf>
    <xf numFmtId="0" fontId="22" fillId="0" borderId="0" xfId="3" applyFont="1" applyAlignment="1">
      <alignment vertical="center"/>
    </xf>
    <xf numFmtId="0" fontId="20" fillId="0" borderId="0" xfId="3" applyFont="1" applyAlignment="1">
      <alignment horizontal="right" vertical="center"/>
    </xf>
    <xf numFmtId="183" fontId="24" fillId="0" borderId="0" xfId="4" applyNumberFormat="1" applyFont="1" applyAlignment="1">
      <alignment vertical="center"/>
    </xf>
    <xf numFmtId="0" fontId="22" fillId="0" borderId="20" xfId="3" applyFont="1" applyBorder="1" applyAlignment="1">
      <alignment vertical="center"/>
    </xf>
    <xf numFmtId="184" fontId="20" fillId="0" borderId="0" xfId="3" applyNumberFormat="1" applyFont="1" applyAlignment="1">
      <alignment horizontal="right" vertical="center"/>
    </xf>
    <xf numFmtId="0" fontId="21" fillId="0" borderId="0" xfId="5"/>
    <xf numFmtId="0" fontId="17" fillId="0" borderId="21" xfId="3" applyBorder="1" applyAlignment="1">
      <alignment vertical="center"/>
    </xf>
    <xf numFmtId="0" fontId="17" fillId="0" borderId="22" xfId="3" applyBorder="1" applyAlignment="1">
      <alignment vertical="center"/>
    </xf>
    <xf numFmtId="0" fontId="17" fillId="0" borderId="23" xfId="3" applyBorder="1" applyAlignment="1">
      <alignment vertical="center"/>
    </xf>
    <xf numFmtId="10" fontId="5" fillId="0" borderId="0" xfId="0" applyNumberFormat="1" applyFont="1">
      <alignment vertical="center"/>
    </xf>
    <xf numFmtId="41" fontId="5" fillId="0" borderId="11" xfId="0" quotePrefix="1" applyNumberFormat="1" applyFont="1" applyBorder="1" applyAlignment="1">
      <alignment horizontal="left" vertical="center"/>
    </xf>
    <xf numFmtId="41" fontId="11" fillId="0" borderId="7" xfId="0" applyNumberFormat="1" applyFont="1" applyBorder="1" applyAlignment="1">
      <alignment horizontal="center" vertical="center"/>
    </xf>
    <xf numFmtId="185" fontId="26" fillId="0" borderId="9" xfId="0" applyNumberFormat="1" applyFont="1" applyBorder="1" applyAlignment="1">
      <alignment horizontal="center" vertical="center"/>
    </xf>
    <xf numFmtId="0" fontId="27" fillId="0" borderId="0" xfId="3" applyFont="1" applyAlignment="1">
      <alignment vertical="center"/>
    </xf>
    <xf numFmtId="41" fontId="11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horizontal="right" vertical="center"/>
    </xf>
    <xf numFmtId="0" fontId="17" fillId="0" borderId="0" xfId="3"/>
    <xf numFmtId="0" fontId="17" fillId="0" borderId="0" xfId="3" applyAlignment="1">
      <alignment horizontal="center"/>
    </xf>
    <xf numFmtId="186" fontId="17" fillId="3" borderId="9" xfId="3" applyNumberFormat="1" applyFill="1" applyBorder="1" applyAlignment="1">
      <alignment horizontal="center" vertical="center"/>
    </xf>
    <xf numFmtId="186" fontId="17" fillId="3" borderId="11" xfId="3" applyNumberFormat="1" applyFill="1" applyBorder="1" applyAlignment="1">
      <alignment vertical="center"/>
    </xf>
    <xf numFmtId="186" fontId="17" fillId="3" borderId="12" xfId="3" applyNumberFormat="1" applyFill="1" applyBorder="1" applyAlignment="1">
      <alignment vertical="center"/>
    </xf>
    <xf numFmtId="186" fontId="17" fillId="3" borderId="9" xfId="3" applyNumberFormat="1" applyFill="1" applyBorder="1" applyAlignment="1">
      <alignment vertical="center"/>
    </xf>
    <xf numFmtId="187" fontId="17" fillId="3" borderId="9" xfId="3" applyNumberFormat="1" applyFill="1" applyBorder="1" applyAlignment="1">
      <alignment vertical="center"/>
    </xf>
    <xf numFmtId="188" fontId="17" fillId="3" borderId="9" xfId="3" applyNumberFormat="1" applyFill="1" applyBorder="1" applyAlignment="1">
      <alignment vertical="center"/>
    </xf>
    <xf numFmtId="186" fontId="17" fillId="3" borderId="9" xfId="3" applyNumberFormat="1" applyFill="1" applyBorder="1" applyAlignment="1">
      <alignment horizontal="center" vertical="center" wrapText="1"/>
    </xf>
    <xf numFmtId="186" fontId="28" fillId="3" borderId="12" xfId="3" applyNumberFormat="1" applyFont="1" applyFill="1" applyBorder="1" applyAlignment="1">
      <alignment vertical="center"/>
    </xf>
    <xf numFmtId="186" fontId="28" fillId="3" borderId="9" xfId="3" applyNumberFormat="1" applyFont="1" applyFill="1" applyBorder="1" applyAlignment="1">
      <alignment vertical="center"/>
    </xf>
    <xf numFmtId="186" fontId="28" fillId="3" borderId="9" xfId="3" applyNumberFormat="1" applyFont="1" applyFill="1" applyBorder="1" applyAlignment="1">
      <alignment horizontal="center" vertical="center"/>
    </xf>
    <xf numFmtId="0" fontId="28" fillId="3" borderId="9" xfId="3" applyFont="1" applyFill="1" applyBorder="1"/>
    <xf numFmtId="190" fontId="28" fillId="3" borderId="9" xfId="3" applyNumberFormat="1" applyFont="1" applyFill="1" applyBorder="1" applyAlignment="1">
      <alignment vertical="center"/>
    </xf>
    <xf numFmtId="186" fontId="28" fillId="3" borderId="9" xfId="3" applyNumberFormat="1" applyFont="1" applyFill="1" applyBorder="1" applyAlignment="1">
      <alignment horizontal="center" vertical="center" wrapText="1"/>
    </xf>
    <xf numFmtId="0" fontId="17" fillId="3" borderId="9" xfId="3" applyFill="1" applyBorder="1" applyAlignment="1">
      <alignment vertical="center"/>
    </xf>
    <xf numFmtId="191" fontId="17" fillId="3" borderId="9" xfId="3" applyNumberFormat="1" applyFill="1" applyBorder="1" applyAlignment="1">
      <alignment horizontal="left" vertical="center"/>
    </xf>
    <xf numFmtId="0" fontId="17" fillId="0" borderId="0" xfId="3" applyAlignment="1">
      <alignment horizontal="left" vertical="center"/>
    </xf>
    <xf numFmtId="186" fontId="17" fillId="0" borderId="9" xfId="3" applyNumberFormat="1" applyBorder="1" applyAlignment="1">
      <alignment horizontal="center" vertical="center"/>
    </xf>
    <xf numFmtId="186" fontId="17" fillId="0" borderId="11" xfId="3" applyNumberFormat="1" applyBorder="1" applyAlignment="1">
      <alignment vertical="center"/>
    </xf>
    <xf numFmtId="186" fontId="17" fillId="0" borderId="12" xfId="3" applyNumberFormat="1" applyBorder="1" applyAlignment="1">
      <alignment vertical="center"/>
    </xf>
    <xf numFmtId="186" fontId="17" fillId="0" borderId="9" xfId="3" applyNumberFormat="1" applyBorder="1" applyAlignment="1">
      <alignment vertical="center"/>
    </xf>
    <xf numFmtId="190" fontId="17" fillId="0" borderId="9" xfId="3" applyNumberFormat="1" applyBorder="1" applyAlignment="1">
      <alignment vertical="center"/>
    </xf>
    <xf numFmtId="189" fontId="17" fillId="0" borderId="11" xfId="3" applyNumberFormat="1" applyBorder="1" applyAlignment="1">
      <alignment horizontal="left" vertical="center"/>
    </xf>
    <xf numFmtId="0" fontId="17" fillId="0" borderId="12" xfId="3" applyBorder="1" applyAlignment="1">
      <alignment vertical="center"/>
    </xf>
    <xf numFmtId="0" fontId="17" fillId="0" borderId="9" xfId="3" applyBorder="1" applyAlignment="1">
      <alignment vertical="center"/>
    </xf>
    <xf numFmtId="38" fontId="17" fillId="0" borderId="9" xfId="3" applyNumberFormat="1" applyBorder="1" applyAlignment="1">
      <alignment vertical="center"/>
    </xf>
    <xf numFmtId="189" fontId="17" fillId="0" borderId="12" xfId="3" applyNumberFormat="1" applyBorder="1" applyAlignment="1">
      <alignment horizontal="left" vertical="center"/>
    </xf>
    <xf numFmtId="189" fontId="17" fillId="0" borderId="9" xfId="3" applyNumberFormat="1" applyBorder="1" applyAlignment="1">
      <alignment horizontal="left" vertical="center"/>
    </xf>
    <xf numFmtId="190" fontId="28" fillId="3" borderId="9" xfId="0" applyNumberFormat="1" applyFont="1" applyFill="1" applyBorder="1">
      <alignment vertical="center"/>
    </xf>
    <xf numFmtId="186" fontId="0" fillId="0" borderId="9" xfId="0" applyNumberFormat="1" applyBorder="1">
      <alignment vertical="center"/>
    </xf>
    <xf numFmtId="189" fontId="30" fillId="3" borderId="11" xfId="3" applyNumberFormat="1" applyFont="1" applyFill="1" applyBorder="1" applyAlignment="1">
      <alignment horizontal="left" vertical="center"/>
    </xf>
    <xf numFmtId="186" fontId="30" fillId="3" borderId="12" xfId="0" applyNumberFormat="1" applyFont="1" applyFill="1" applyBorder="1">
      <alignment vertical="center"/>
    </xf>
    <xf numFmtId="186" fontId="30" fillId="3" borderId="9" xfId="0" applyNumberFormat="1" applyFont="1" applyFill="1" applyBorder="1">
      <alignment vertical="center"/>
    </xf>
    <xf numFmtId="186" fontId="30" fillId="3" borderId="9" xfId="0" applyNumberFormat="1" applyFont="1" applyFill="1" applyBorder="1" applyAlignment="1">
      <alignment horizontal="center" vertical="center"/>
    </xf>
    <xf numFmtId="0" fontId="30" fillId="3" borderId="9" xfId="0" applyFont="1" applyFill="1" applyBorder="1" applyAlignment="1"/>
    <xf numFmtId="190" fontId="30" fillId="3" borderId="9" xfId="0" applyNumberFormat="1" applyFont="1" applyFill="1" applyBorder="1">
      <alignment vertical="center"/>
    </xf>
    <xf numFmtId="186" fontId="30" fillId="3" borderId="9" xfId="0" applyNumberFormat="1" applyFont="1" applyFill="1" applyBorder="1" applyAlignment="1">
      <alignment horizontal="center" vertical="center" wrapText="1"/>
    </xf>
    <xf numFmtId="186" fontId="31" fillId="3" borderId="11" xfId="3" applyNumberFormat="1" applyFont="1" applyFill="1" applyBorder="1" applyAlignment="1">
      <alignment vertical="center"/>
    </xf>
    <xf numFmtId="186" fontId="31" fillId="3" borderId="11" xfId="3" applyNumberFormat="1" applyFont="1" applyFill="1" applyBorder="1" applyAlignment="1">
      <alignment horizontal="center" vertical="center"/>
    </xf>
    <xf numFmtId="186" fontId="31" fillId="3" borderId="12" xfId="3" applyNumberFormat="1" applyFont="1" applyFill="1" applyBorder="1" applyAlignment="1">
      <alignment horizontal="center" vertical="center"/>
    </xf>
    <xf numFmtId="186" fontId="31" fillId="3" borderId="9" xfId="3" applyNumberFormat="1" applyFont="1" applyFill="1" applyBorder="1" applyAlignment="1">
      <alignment horizontal="center" vertical="center"/>
    </xf>
    <xf numFmtId="186" fontId="31" fillId="3" borderId="9" xfId="3" applyNumberFormat="1" applyFont="1" applyFill="1" applyBorder="1" applyAlignment="1">
      <alignment horizontal="center" vertical="center" wrapText="1"/>
    </xf>
    <xf numFmtId="186" fontId="30" fillId="0" borderId="12" xfId="0" applyNumberFormat="1" applyFont="1" applyBorder="1">
      <alignment vertical="center"/>
    </xf>
    <xf numFmtId="186" fontId="30" fillId="0" borderId="9" xfId="0" applyNumberFormat="1" applyFont="1" applyBorder="1">
      <alignment vertical="center"/>
    </xf>
    <xf numFmtId="186" fontId="30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/>
    <xf numFmtId="190" fontId="8" fillId="0" borderId="9" xfId="0" applyNumberFormat="1" applyFont="1" applyBorder="1">
      <alignment vertical="center"/>
    </xf>
    <xf numFmtId="186" fontId="30" fillId="3" borderId="9" xfId="3" applyNumberFormat="1" applyFont="1" applyFill="1" applyBorder="1" applyAlignment="1">
      <alignment horizontal="center" vertical="center" wrapText="1"/>
    </xf>
    <xf numFmtId="186" fontId="7" fillId="0" borderId="12" xfId="0" applyNumberFormat="1" applyFont="1" applyBorder="1">
      <alignment vertical="center"/>
    </xf>
    <xf numFmtId="0" fontId="7" fillId="0" borderId="9" xfId="0" applyFont="1" applyBorder="1">
      <alignment vertical="center"/>
    </xf>
    <xf numFmtId="186" fontId="7" fillId="0" borderId="9" xfId="0" applyNumberFormat="1" applyFont="1" applyBorder="1" applyAlignment="1">
      <alignment horizontal="center" vertical="center"/>
    </xf>
    <xf numFmtId="187" fontId="7" fillId="0" borderId="9" xfId="0" applyNumberFormat="1" applyFont="1" applyBorder="1">
      <alignment vertical="center"/>
    </xf>
    <xf numFmtId="188" fontId="7" fillId="0" borderId="9" xfId="0" applyNumberFormat="1" applyFont="1" applyBorder="1">
      <alignment vertical="center"/>
    </xf>
    <xf numFmtId="186" fontId="7" fillId="4" borderId="12" xfId="0" applyNumberFormat="1" applyFont="1" applyFill="1" applyBorder="1">
      <alignment vertical="center"/>
    </xf>
    <xf numFmtId="192" fontId="7" fillId="4" borderId="9" xfId="0" applyNumberFormat="1" applyFont="1" applyFill="1" applyBorder="1" applyAlignment="1">
      <alignment horizontal="left" vertical="center"/>
    </xf>
    <xf numFmtId="0" fontId="7" fillId="4" borderId="9" xfId="0" applyFont="1" applyFill="1" applyBorder="1">
      <alignment vertical="center"/>
    </xf>
    <xf numFmtId="186" fontId="7" fillId="4" borderId="9" xfId="0" applyNumberFormat="1" applyFont="1" applyFill="1" applyBorder="1" applyAlignment="1">
      <alignment horizontal="center" vertical="center"/>
    </xf>
    <xf numFmtId="187" fontId="7" fillId="4" borderId="9" xfId="0" applyNumberFormat="1" applyFont="1" applyFill="1" applyBorder="1">
      <alignment vertical="center"/>
    </xf>
    <xf numFmtId="188" fontId="7" fillId="4" borderId="9" xfId="0" applyNumberFormat="1" applyFont="1" applyFill="1" applyBorder="1">
      <alignment vertical="center"/>
    </xf>
    <xf numFmtId="0" fontId="30" fillId="0" borderId="9" xfId="0" applyFont="1" applyBorder="1" applyAlignment="1"/>
    <xf numFmtId="190" fontId="30" fillId="0" borderId="9" xfId="0" applyNumberFormat="1" applyFont="1" applyBorder="1">
      <alignment vertical="center"/>
    </xf>
    <xf numFmtId="186" fontId="30" fillId="0" borderId="9" xfId="0" applyNumberFormat="1" applyFont="1" applyBorder="1" applyAlignment="1">
      <alignment horizontal="center" vertical="center" wrapText="1"/>
    </xf>
    <xf numFmtId="186" fontId="30" fillId="3" borderId="12" xfId="3" applyNumberFormat="1" applyFont="1" applyFill="1" applyBorder="1" applyAlignment="1">
      <alignment vertical="center"/>
    </xf>
    <xf numFmtId="186" fontId="30" fillId="3" borderId="9" xfId="3" applyNumberFormat="1" applyFont="1" applyFill="1" applyBorder="1" applyAlignment="1">
      <alignment vertical="center"/>
    </xf>
    <xf numFmtId="186" fontId="30" fillId="3" borderId="9" xfId="3" applyNumberFormat="1" applyFont="1" applyFill="1" applyBorder="1" applyAlignment="1">
      <alignment horizontal="center" vertical="center"/>
    </xf>
    <xf numFmtId="0" fontId="30" fillId="3" borderId="9" xfId="3" applyFont="1" applyFill="1" applyBorder="1"/>
    <xf numFmtId="190" fontId="30" fillId="3" borderId="9" xfId="3" applyNumberFormat="1" applyFont="1" applyFill="1" applyBorder="1" applyAlignment="1">
      <alignment vertical="center"/>
    </xf>
    <xf numFmtId="186" fontId="31" fillId="3" borderId="12" xfId="3" applyNumberFormat="1" applyFont="1" applyFill="1" applyBorder="1" applyAlignment="1">
      <alignment vertical="center"/>
    </xf>
    <xf numFmtId="186" fontId="31" fillId="3" borderId="9" xfId="3" applyNumberFormat="1" applyFont="1" applyFill="1" applyBorder="1" applyAlignment="1">
      <alignment vertical="center"/>
    </xf>
    <xf numFmtId="0" fontId="31" fillId="3" borderId="9" xfId="3" applyFont="1" applyFill="1" applyBorder="1" applyAlignment="1">
      <alignment vertical="center"/>
    </xf>
    <xf numFmtId="187" fontId="31" fillId="3" borderId="9" xfId="3" applyNumberFormat="1" applyFont="1" applyFill="1" applyBorder="1" applyAlignment="1">
      <alignment vertical="center"/>
    </xf>
    <xf numFmtId="188" fontId="31" fillId="3" borderId="9" xfId="3" applyNumberFormat="1" applyFont="1" applyFill="1" applyBorder="1" applyAlignment="1">
      <alignment vertical="center"/>
    </xf>
    <xf numFmtId="186" fontId="7" fillId="3" borderId="12" xfId="0" applyNumberFormat="1" applyFont="1" applyFill="1" applyBorder="1">
      <alignment vertical="center"/>
    </xf>
    <xf numFmtId="186" fontId="7" fillId="3" borderId="9" xfId="0" applyNumberFormat="1" applyFont="1" applyFill="1" applyBorder="1">
      <alignment vertical="center"/>
    </xf>
    <xf numFmtId="0" fontId="7" fillId="3" borderId="9" xfId="0" applyFont="1" applyFill="1" applyBorder="1">
      <alignment vertical="center"/>
    </xf>
    <xf numFmtId="186" fontId="7" fillId="3" borderId="9" xfId="0" applyNumberFormat="1" applyFont="1" applyFill="1" applyBorder="1" applyAlignment="1">
      <alignment horizontal="center" vertical="center"/>
    </xf>
    <xf numFmtId="187" fontId="7" fillId="3" borderId="9" xfId="0" applyNumberFormat="1" applyFont="1" applyFill="1" applyBorder="1">
      <alignment vertical="center"/>
    </xf>
    <xf numFmtId="188" fontId="7" fillId="3" borderId="9" xfId="0" applyNumberFormat="1" applyFont="1" applyFill="1" applyBorder="1">
      <alignment vertical="center"/>
    </xf>
    <xf numFmtId="186" fontId="7" fillId="3" borderId="9" xfId="0" applyNumberFormat="1" applyFont="1" applyFill="1" applyBorder="1" applyAlignment="1">
      <alignment horizontal="center" vertical="center" wrapText="1"/>
    </xf>
    <xf numFmtId="191" fontId="7" fillId="3" borderId="9" xfId="0" applyNumberFormat="1" applyFont="1" applyFill="1" applyBorder="1" applyAlignment="1">
      <alignment horizontal="left" vertical="center"/>
    </xf>
    <xf numFmtId="186" fontId="7" fillId="0" borderId="9" xfId="0" applyNumberFormat="1" applyFont="1" applyBorder="1">
      <alignment vertical="center"/>
    </xf>
    <xf numFmtId="186" fontId="7" fillId="4" borderId="9" xfId="0" applyNumberFormat="1" applyFont="1" applyFill="1" applyBorder="1">
      <alignment vertical="center"/>
    </xf>
    <xf numFmtId="186" fontId="7" fillId="0" borderId="9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right" vertical="center"/>
    </xf>
    <xf numFmtId="0" fontId="17" fillId="0" borderId="7" xfId="3" applyBorder="1" applyAlignment="1">
      <alignment horizontal="center" vertical="center"/>
    </xf>
    <xf numFmtId="186" fontId="28" fillId="5" borderId="11" xfId="3" applyNumberFormat="1" applyFont="1" applyFill="1" applyBorder="1" applyAlignment="1">
      <alignment horizontal="left" vertical="center"/>
    </xf>
    <xf numFmtId="186" fontId="28" fillId="5" borderId="12" xfId="3" applyNumberFormat="1" applyFont="1" applyFill="1" applyBorder="1" applyAlignment="1">
      <alignment horizontal="left" vertical="center"/>
    </xf>
    <xf numFmtId="186" fontId="17" fillId="5" borderId="9" xfId="3" applyNumberFormat="1" applyFill="1" applyBorder="1" applyAlignment="1">
      <alignment vertical="center"/>
    </xf>
    <xf numFmtId="186" fontId="17" fillId="5" borderId="9" xfId="3" applyNumberFormat="1" applyFill="1" applyBorder="1" applyAlignment="1">
      <alignment horizontal="center" vertical="center"/>
    </xf>
    <xf numFmtId="187" fontId="17" fillId="5" borderId="9" xfId="3" applyNumberFormat="1" applyFill="1" applyBorder="1" applyAlignment="1">
      <alignment vertical="center"/>
    </xf>
    <xf numFmtId="190" fontId="28" fillId="5" borderId="9" xfId="3" applyNumberFormat="1" applyFont="1" applyFill="1" applyBorder="1" applyAlignment="1">
      <alignment vertical="center"/>
    </xf>
    <xf numFmtId="186" fontId="17" fillId="5" borderId="9" xfId="3" applyNumberFormat="1" applyFill="1" applyBorder="1" applyAlignment="1">
      <alignment horizontal="center" vertical="center" wrapText="1"/>
    </xf>
    <xf numFmtId="0" fontId="17" fillId="0" borderId="0" xfId="3" applyAlignment="1">
      <alignment wrapText="1"/>
    </xf>
    <xf numFmtId="49" fontId="28" fillId="3" borderId="11" xfId="3" applyNumberFormat="1" applyFont="1" applyFill="1" applyBorder="1" applyAlignment="1">
      <alignment horizontal="left" vertical="center"/>
    </xf>
    <xf numFmtId="0" fontId="17" fillId="3" borderId="12" xfId="3" applyFill="1" applyBorder="1" applyAlignment="1">
      <alignment vertical="center"/>
    </xf>
    <xf numFmtId="190" fontId="17" fillId="3" borderId="9" xfId="3" applyNumberFormat="1" applyFill="1" applyBorder="1" applyAlignment="1">
      <alignment vertical="center"/>
    </xf>
    <xf numFmtId="186" fontId="29" fillId="3" borderId="12" xfId="3" applyNumberFormat="1" applyFont="1" applyFill="1" applyBorder="1" applyAlignment="1">
      <alignment vertical="center"/>
    </xf>
    <xf numFmtId="186" fontId="29" fillId="3" borderId="9" xfId="3" applyNumberFormat="1" applyFont="1" applyFill="1" applyBorder="1" applyAlignment="1">
      <alignment vertical="center"/>
    </xf>
    <xf numFmtId="0" fontId="29" fillId="3" borderId="9" xfId="3" applyFont="1" applyFill="1" applyBorder="1" applyAlignment="1">
      <alignment vertical="center"/>
    </xf>
    <xf numFmtId="186" fontId="29" fillId="3" borderId="9" xfId="3" applyNumberFormat="1" applyFont="1" applyFill="1" applyBorder="1" applyAlignment="1">
      <alignment horizontal="center" vertical="center"/>
    </xf>
    <xf numFmtId="0" fontId="17" fillId="0" borderId="7" xfId="3" applyBorder="1" applyAlignment="1">
      <alignment horizontal="left" vertical="center"/>
    </xf>
    <xf numFmtId="41" fontId="5" fillId="3" borderId="9" xfId="0" applyNumberFormat="1" applyFont="1" applyFill="1" applyBorder="1" applyAlignment="1">
      <alignment horizontal="center" vertical="center"/>
    </xf>
    <xf numFmtId="41" fontId="5" fillId="3" borderId="9" xfId="0" applyNumberFormat="1" applyFont="1" applyFill="1" applyBorder="1" applyAlignment="1">
      <alignment vertical="center" shrinkToFit="1"/>
    </xf>
    <xf numFmtId="41" fontId="5" fillId="3" borderId="9" xfId="0" applyNumberFormat="1" applyFont="1" applyFill="1" applyBorder="1">
      <alignment vertical="center"/>
    </xf>
    <xf numFmtId="186" fontId="29" fillId="3" borderId="12" xfId="0" applyNumberFormat="1" applyFont="1" applyFill="1" applyBorder="1">
      <alignment vertical="center"/>
    </xf>
    <xf numFmtId="186" fontId="29" fillId="3" borderId="9" xfId="0" applyNumberFormat="1" applyFont="1" applyFill="1" applyBorder="1">
      <alignment vertical="center"/>
    </xf>
    <xf numFmtId="0" fontId="29" fillId="3" borderId="9" xfId="0" applyFont="1" applyFill="1" applyBorder="1">
      <alignment vertical="center"/>
    </xf>
    <xf numFmtId="186" fontId="29" fillId="3" borderId="9" xfId="0" applyNumberFormat="1" applyFont="1" applyFill="1" applyBorder="1" applyAlignment="1">
      <alignment horizontal="center" vertical="center"/>
    </xf>
    <xf numFmtId="190" fontId="0" fillId="3" borderId="9" xfId="0" applyNumberFormat="1" applyFill="1" applyBorder="1">
      <alignment vertical="center"/>
    </xf>
    <xf numFmtId="190" fontId="29" fillId="3" borderId="9" xfId="0" applyNumberFormat="1" applyFont="1" applyFill="1" applyBorder="1">
      <alignment vertical="center"/>
    </xf>
    <xf numFmtId="0" fontId="18" fillId="0" borderId="19" xfId="3" applyFont="1" applyBorder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8" fillId="0" borderId="20" xfId="3" applyFont="1" applyBorder="1" applyAlignment="1">
      <alignment horizontal="center" vertical="center"/>
    </xf>
    <xf numFmtId="179" fontId="23" fillId="0" borderId="0" xfId="1" applyNumberFormat="1" applyFont="1" applyAlignment="1">
      <alignment horizontal="left" vertical="center"/>
    </xf>
    <xf numFmtId="184" fontId="20" fillId="0" borderId="0" xfId="3" applyNumberFormat="1" applyFont="1" applyAlignment="1">
      <alignment horizontal="right" vertical="center"/>
    </xf>
    <xf numFmtId="0" fontId="25" fillId="0" borderId="19" xfId="3" applyFont="1" applyBorder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5" fillId="0" borderId="20" xfId="3" applyFont="1" applyBorder="1" applyAlignment="1">
      <alignment horizontal="center" vertical="center"/>
    </xf>
    <xf numFmtId="41" fontId="2" fillId="2" borderId="9" xfId="0" applyNumberFormat="1" applyFont="1" applyFill="1" applyBorder="1" applyAlignment="1">
      <alignment horizontal="center" vertical="center"/>
    </xf>
    <xf numFmtId="41" fontId="14" fillId="0" borderId="0" xfId="0" applyNumberFormat="1" applyFont="1" applyAlignment="1">
      <alignment horizontal="center" vertical="center"/>
    </xf>
    <xf numFmtId="41" fontId="2" fillId="0" borderId="7" xfId="0" applyNumberFormat="1" applyFont="1" applyBorder="1" applyAlignment="1">
      <alignment horizontal="right" vertical="center"/>
    </xf>
    <xf numFmtId="41" fontId="5" fillId="2" borderId="1" xfId="0" applyNumberFormat="1" applyFont="1" applyFill="1" applyBorder="1" applyAlignment="1">
      <alignment horizontal="center" vertical="center"/>
    </xf>
    <xf numFmtId="41" fontId="5" fillId="2" borderId="3" xfId="0" applyNumberFormat="1" applyFont="1" applyFill="1" applyBorder="1" applyAlignment="1">
      <alignment horizontal="center" vertical="center"/>
    </xf>
    <xf numFmtId="41" fontId="5" fillId="2" borderId="4" xfId="0" applyNumberFormat="1" applyFont="1" applyFill="1" applyBorder="1" applyAlignment="1">
      <alignment horizontal="center" vertical="center"/>
    </xf>
    <xf numFmtId="41" fontId="5" fillId="2" borderId="5" xfId="0" applyNumberFormat="1" applyFont="1" applyFill="1" applyBorder="1" applyAlignment="1">
      <alignment horizontal="center" vertical="center"/>
    </xf>
    <xf numFmtId="41" fontId="5" fillId="2" borderId="6" xfId="0" applyNumberFormat="1" applyFont="1" applyFill="1" applyBorder="1" applyAlignment="1">
      <alignment horizontal="center" vertical="center"/>
    </xf>
    <xf numFmtId="41" fontId="5" fillId="2" borderId="8" xfId="0" applyNumberFormat="1" applyFont="1" applyFill="1" applyBorder="1" applyAlignment="1">
      <alignment horizontal="center" vertical="center"/>
    </xf>
    <xf numFmtId="41" fontId="11" fillId="0" borderId="0" xfId="0" applyNumberFormat="1" applyFont="1" applyAlignment="1">
      <alignment horizontal="center" vertical="center"/>
    </xf>
    <xf numFmtId="41" fontId="5" fillId="2" borderId="10" xfId="0" applyNumberFormat="1" applyFont="1" applyFill="1" applyBorder="1" applyAlignment="1">
      <alignment horizontal="center" vertical="center"/>
    </xf>
    <xf numFmtId="41" fontId="5" fillId="2" borderId="15" xfId="0" applyNumberFormat="1" applyFont="1" applyFill="1" applyBorder="1" applyAlignment="1">
      <alignment horizontal="center" vertical="center"/>
    </xf>
    <xf numFmtId="41" fontId="5" fillId="2" borderId="14" xfId="0" applyNumberFormat="1" applyFont="1" applyFill="1" applyBorder="1" applyAlignment="1">
      <alignment horizontal="center" vertical="center"/>
    </xf>
    <xf numFmtId="41" fontId="15" fillId="2" borderId="1" xfId="0" applyNumberFormat="1" applyFont="1" applyFill="1" applyBorder="1" applyAlignment="1">
      <alignment horizontal="center" vertical="center"/>
    </xf>
    <xf numFmtId="41" fontId="15" fillId="2" borderId="2" xfId="0" applyNumberFormat="1" applyFont="1" applyFill="1" applyBorder="1" applyAlignment="1">
      <alignment horizontal="center" vertical="center"/>
    </xf>
    <xf numFmtId="41" fontId="15" fillId="2" borderId="3" xfId="0" applyNumberFormat="1" applyFont="1" applyFill="1" applyBorder="1" applyAlignment="1">
      <alignment horizontal="center" vertical="center"/>
    </xf>
    <xf numFmtId="41" fontId="5" fillId="2" borderId="9" xfId="0" applyNumberFormat="1" applyFont="1" applyFill="1" applyBorder="1" applyAlignment="1">
      <alignment horizontal="center" vertical="center"/>
    </xf>
    <xf numFmtId="41" fontId="16" fillId="2" borderId="9" xfId="0" applyNumberFormat="1" applyFont="1" applyFill="1" applyBorder="1" applyAlignment="1">
      <alignment horizontal="center" vertical="center"/>
    </xf>
    <xf numFmtId="41" fontId="15" fillId="2" borderId="11" xfId="0" applyNumberFormat="1" applyFont="1" applyFill="1" applyBorder="1" applyAlignment="1">
      <alignment horizontal="center" vertical="center"/>
    </xf>
    <xf numFmtId="41" fontId="15" fillId="2" borderId="13" xfId="0" applyNumberFormat="1" applyFont="1" applyFill="1" applyBorder="1" applyAlignment="1">
      <alignment horizontal="center" vertical="center"/>
    </xf>
    <xf numFmtId="41" fontId="15" fillId="2" borderId="12" xfId="0" applyNumberFormat="1" applyFont="1" applyFill="1" applyBorder="1" applyAlignment="1">
      <alignment horizontal="center" vertical="center"/>
    </xf>
    <xf numFmtId="0" fontId="32" fillId="0" borderId="7" xfId="3" applyFont="1" applyBorder="1" applyAlignment="1">
      <alignment horizontal="center" vertical="center"/>
    </xf>
    <xf numFmtId="186" fontId="17" fillId="3" borderId="11" xfId="3" applyNumberFormat="1" applyFill="1" applyBorder="1" applyAlignment="1">
      <alignment horizontal="center" vertical="center"/>
    </xf>
    <xf numFmtId="186" fontId="17" fillId="3" borderId="12" xfId="3" applyNumberFormat="1" applyFill="1" applyBorder="1" applyAlignment="1">
      <alignment horizontal="center" vertical="center"/>
    </xf>
    <xf numFmtId="186" fontId="17" fillId="3" borderId="9" xfId="3" applyNumberFormat="1" applyFill="1" applyBorder="1" applyAlignment="1">
      <alignment horizontal="center" vertical="center"/>
    </xf>
    <xf numFmtId="186" fontId="17" fillId="3" borderId="9" xfId="3" applyNumberFormat="1" applyFill="1" applyBorder="1" applyAlignment="1">
      <alignment horizontal="center" vertical="center" wrapText="1"/>
    </xf>
    <xf numFmtId="186" fontId="17" fillId="0" borderId="11" xfId="3" applyNumberFormat="1" applyBorder="1" applyAlignment="1">
      <alignment horizontal="center" vertical="center"/>
    </xf>
    <xf numFmtId="186" fontId="17" fillId="0" borderId="12" xfId="3" applyNumberFormat="1" applyBorder="1" applyAlignment="1">
      <alignment horizontal="center" vertical="center"/>
    </xf>
  </cellXfs>
  <cellStyles count="7">
    <cellStyle name="쉼표 [0] 2" xfId="2" xr:uid="{00000000-0005-0000-0000-000000000000}"/>
    <cellStyle name="쉼표 [0] 3" xfId="4" xr:uid="{00000000-0005-0000-0000-000001000000}"/>
    <cellStyle name="표준" xfId="0" builtinId="0"/>
    <cellStyle name="표준 2" xfId="3" xr:uid="{00000000-0005-0000-0000-000003000000}"/>
    <cellStyle name="표준 2 8" xfId="6" xr:uid="{00000000-0005-0000-0000-000004000000}"/>
    <cellStyle name="표준 3" xfId="5" xr:uid="{00000000-0005-0000-0000-000005000000}"/>
    <cellStyle name="표준_양식(6-1-1~3,7)" xfId="1" xr:uid="{00000000-0005-0000-0000-000006000000}"/>
  </cellStyles>
  <dxfs count="0"/>
  <tableStyles count="0" defaultTableStyle="TableStyleMedium2" defaultPivotStyle="PivotStyleLight16"/>
  <colors>
    <mruColors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117" Type="http://schemas.openxmlformats.org/officeDocument/2006/relationships/styles" Target="styles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externalLink" Target="externalLinks/externalLink82.xml"/><Relationship Id="rId112" Type="http://schemas.openxmlformats.org/officeDocument/2006/relationships/externalLink" Target="externalLinks/externalLink105.xml"/><Relationship Id="rId16" Type="http://schemas.openxmlformats.org/officeDocument/2006/relationships/externalLink" Target="externalLinks/externalLink9.xml"/><Relationship Id="rId107" Type="http://schemas.openxmlformats.org/officeDocument/2006/relationships/externalLink" Target="externalLinks/externalLink100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102" Type="http://schemas.openxmlformats.org/officeDocument/2006/relationships/externalLink" Target="externalLinks/externalLink95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3.xml"/><Relationship Id="rId95" Type="http://schemas.openxmlformats.org/officeDocument/2006/relationships/externalLink" Target="externalLinks/externalLink88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113" Type="http://schemas.openxmlformats.org/officeDocument/2006/relationships/externalLink" Target="externalLinks/externalLink106.xml"/><Relationship Id="rId118" Type="http://schemas.openxmlformats.org/officeDocument/2006/relationships/sharedStrings" Target="sharedStrings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59" Type="http://schemas.openxmlformats.org/officeDocument/2006/relationships/externalLink" Target="externalLinks/externalLink52.xml"/><Relationship Id="rId103" Type="http://schemas.openxmlformats.org/officeDocument/2006/relationships/externalLink" Target="externalLinks/externalLink96.xml"/><Relationship Id="rId108" Type="http://schemas.openxmlformats.org/officeDocument/2006/relationships/externalLink" Target="externalLinks/externalLink101.xml"/><Relationship Id="rId54" Type="http://schemas.openxmlformats.org/officeDocument/2006/relationships/externalLink" Target="externalLinks/externalLink47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91" Type="http://schemas.openxmlformats.org/officeDocument/2006/relationships/externalLink" Target="externalLinks/externalLink84.xml"/><Relationship Id="rId96" Type="http://schemas.openxmlformats.org/officeDocument/2006/relationships/externalLink" Target="externalLinks/externalLink8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49" Type="http://schemas.openxmlformats.org/officeDocument/2006/relationships/externalLink" Target="externalLinks/externalLink42.xml"/><Relationship Id="rId114" Type="http://schemas.openxmlformats.org/officeDocument/2006/relationships/externalLink" Target="externalLinks/externalLink107.xml"/><Relationship Id="rId119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94" Type="http://schemas.openxmlformats.org/officeDocument/2006/relationships/externalLink" Target="externalLinks/externalLink87.xml"/><Relationship Id="rId99" Type="http://schemas.openxmlformats.org/officeDocument/2006/relationships/externalLink" Target="externalLinks/externalLink92.xml"/><Relationship Id="rId101" Type="http://schemas.openxmlformats.org/officeDocument/2006/relationships/externalLink" Target="externalLinks/externalLink9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109" Type="http://schemas.openxmlformats.org/officeDocument/2006/relationships/externalLink" Target="externalLinks/externalLink10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97" Type="http://schemas.openxmlformats.org/officeDocument/2006/relationships/externalLink" Target="externalLinks/externalLink90.xml"/><Relationship Id="rId104" Type="http://schemas.openxmlformats.org/officeDocument/2006/relationships/externalLink" Target="externalLinks/externalLink97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externalLink" Target="externalLinks/externalLink8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110" Type="http://schemas.openxmlformats.org/officeDocument/2006/relationships/externalLink" Target="externalLinks/externalLink103.xml"/><Relationship Id="rId115" Type="http://schemas.openxmlformats.org/officeDocument/2006/relationships/externalLink" Target="externalLinks/externalLink108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Relationship Id="rId100" Type="http://schemas.openxmlformats.org/officeDocument/2006/relationships/externalLink" Target="externalLinks/externalLink93.xml"/><Relationship Id="rId105" Type="http://schemas.openxmlformats.org/officeDocument/2006/relationships/externalLink" Target="externalLinks/externalLink98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93" Type="http://schemas.openxmlformats.org/officeDocument/2006/relationships/externalLink" Target="externalLinks/externalLink86.xml"/><Relationship Id="rId98" Type="http://schemas.openxmlformats.org/officeDocument/2006/relationships/externalLink" Target="externalLinks/externalLink91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39.xml"/><Relationship Id="rId67" Type="http://schemas.openxmlformats.org/officeDocument/2006/relationships/externalLink" Target="externalLinks/externalLink60.xml"/><Relationship Id="rId116" Type="http://schemas.openxmlformats.org/officeDocument/2006/relationships/theme" Target="theme/theme1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62" Type="http://schemas.openxmlformats.org/officeDocument/2006/relationships/externalLink" Target="externalLinks/externalLink55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111" Type="http://schemas.openxmlformats.org/officeDocument/2006/relationships/externalLink" Target="externalLinks/externalLink104.xml"/><Relationship Id="rId15" Type="http://schemas.openxmlformats.org/officeDocument/2006/relationships/externalLink" Target="externalLinks/externalLink8.xml"/><Relationship Id="rId36" Type="http://schemas.openxmlformats.org/officeDocument/2006/relationships/externalLink" Target="externalLinks/externalLink29.xml"/><Relationship Id="rId57" Type="http://schemas.openxmlformats.org/officeDocument/2006/relationships/externalLink" Target="externalLinks/externalLink50.xml"/><Relationship Id="rId106" Type="http://schemas.openxmlformats.org/officeDocument/2006/relationships/externalLink" Target="externalLinks/externalLink9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21</xdr:row>
      <xdr:rowOff>133350</xdr:rowOff>
    </xdr:from>
    <xdr:to>
      <xdr:col>9</xdr:col>
      <xdr:colOff>82924</xdr:colOff>
      <xdr:row>22</xdr:row>
      <xdr:rowOff>200024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A1C1AD4-D06A-4238-BA0B-907BCA46F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9950" y="5619750"/>
          <a:ext cx="21621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1187823</xdr:colOff>
      <xdr:row>19</xdr:row>
      <xdr:rowOff>112059</xdr:rowOff>
    </xdr:from>
    <xdr:to>
      <xdr:col>10</xdr:col>
      <xdr:colOff>631764</xdr:colOff>
      <xdr:row>23</xdr:row>
      <xdr:rowOff>127753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B5C7CA8-A954-4322-A515-630D9B049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5205" y="5334000"/>
          <a:ext cx="1080000" cy="109145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9688;&#54665;&#54532;&#47196;&#51229;&#53944;\&#51076;&#49892;&#49345;&#49688;&#46020;\&#44228;&#49328;&#51088;&#47308;\10.0%20&#51221;&#49688;&#51648;%20&#48143;%20&#49569;&#49688;&#54156;&#54532;&#51109;%20&#49444;&#48708;(&#44592;&#48376;-&#49373;&#54876;-2&#45800;&#44228;-3&#45824;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9688;&#54665;&#54532;&#47196;&#51229;&#53944;/&#51076;&#49892;&#49345;&#49688;&#46020;/&#44228;&#49328;&#51088;&#47308;/10.0%20&#51221;&#49688;&#51648;%20&#48143;%20&#49569;&#49688;&#54156;&#54532;&#51109;%20&#49444;&#48708;(&#44592;&#48376;-&#49373;&#54876;-2&#45800;&#44228;-3&#45824;).xls" TargetMode="External"/><Relationship Id="rId1" Type="http://schemas.openxmlformats.org/officeDocument/2006/relationships/externalLinkPath" Target="/&#49688;&#54665;&#54532;&#47196;&#51229;&#53944;/&#51076;&#49892;&#49345;&#49688;&#46020;/&#44228;&#49328;&#51088;&#47308;/10.0%20&#51221;&#49688;&#51648;%20&#48143;%20&#49569;&#49688;&#54156;&#54532;&#51109;%20&#49444;&#48708;(&#44592;&#48376;-&#49373;&#54876;-2&#45800;&#44228;-3&#45824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TEAM-5\My%20Documents\dacom\&#50896;&#51452;~&#51228;&#52380;\&#50896;&#51452;&#52572;&#51333;\&#44277;&#53685;&#51088;&#47308;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TEAM-5/My%20Documents/dacom/&#50896;&#51452;~&#51228;&#52380;/&#50896;&#51452;&#52572;&#51333;/&#44277;&#53685;&#51088;&#47308;.xls" TargetMode="External"/><Relationship Id="rId1" Type="http://schemas.openxmlformats.org/officeDocument/2006/relationships/externalLinkPath" Target="/TEAM-5/My%20Documents/dacom/&#50896;&#51452;~&#51228;&#52380;/&#50896;&#51452;&#52572;&#51333;/&#44277;&#53685;&#51088;&#4730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1\My%20Documents\&#50629;&#47924;\&#48152;&#50900;%20&#51204;&#44592;&#45236;&#50669;-1,%202&#52264;%20&#48516;&#47532;\&#45236;&#50669;&#49436;(&#51204;&#44592;)-1&#52264;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1/My%20Documents/&#50629;&#47924;/&#48152;&#50900;%20&#51204;&#44592;&#45236;&#50669;-1,%202&#52264;%20&#48516;&#47532;/&#45236;&#50669;&#49436;(&#51204;&#44592;)-1&#52264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1/My%20Documents/&#50629;&#47924;/&#48152;&#50900;%20&#51204;&#44592;&#45236;&#50669;-1,%202&#52264;%20&#48516;&#47532;/&#45236;&#50669;&#49436;(&#51204;&#44592;)-1&#5226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4228;&#54016;1\&#47196;&#52972;%20&#46356;&#49828;&#53356;%20(d)\hb\&#49340;&#49328;1&#51648;&#44396;(&#49892;&#49884;)\&#51452;&#44277;&#49688;&#47049;\&#51068;&#50948;&#45824;&#44032;98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YGN6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YGN6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YGN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project2005\1&#49345;&#49688;&#46020;\16&#44053;&#48320;&#50668;&#44284;&#49688;&#51204;&#44592;&#49444;&#44228;(&#52572;&#51333;&#48516;)\3&#49900;&#51032;&#54980;&#51089;&#50629;\2.&#44228;&#49328;&#49436;\&#51204;&#44592;&#44228;&#49328;&#49436;(12&#50900;2&#51068;&#49688;&#51221;)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roject2005/1&#49345;&#49688;&#46020;/16&#44053;&#48320;&#50668;&#44284;&#49688;&#51204;&#44592;&#49444;&#44228;(&#52572;&#51333;&#48516;)/3&#49900;&#51032;&#54980;&#51089;&#50629;/2.&#44228;&#49328;&#49436;/&#51204;&#44592;&#44228;&#49328;&#49436;(12&#50900;2&#51068;&#49688;&#51221;).XLS" TargetMode="External"/><Relationship Id="rId1" Type="http://schemas.openxmlformats.org/officeDocument/2006/relationships/externalLinkPath" Target="/project2005/1&#49345;&#49688;&#46020;/16&#44053;&#48320;&#50668;&#44284;&#49688;&#51204;&#44592;&#49444;&#44228;(&#52572;&#51333;&#48516;)/3&#49900;&#51032;&#54980;&#51089;&#50629;/2.&#44228;&#49328;&#49436;/&#51204;&#44592;&#44228;&#49328;&#49436;(12&#50900;2&#51068;&#49688;&#51221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WG\&#44221;&#44592;&#44592;&#49696;&#45800;\&#52397;&#49328;&#54616;&#49688;&#52376;&#47532;&#51109;\&#51204;&#44592;(1019&#51228;&#52636;)\&#44400;&#45224;&#44228;&#53685;\&#52572;&#51333;-&#44400;&#45224;&#54616;&#49688;&#52376;&#47532;&#51109;(&#45236;&#50669;&#52572;&#51333;)\&#52572;&#51333;-&#44400;&#45224;&#54616;&#49688;&#52376;&#47532;&#51109;(&#52572;&#51333;1111&#45800;&#44032;)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WG/&#44221;&#44592;&#44592;&#49696;&#45800;/&#52397;&#49328;&#54616;&#49688;&#52376;&#47532;&#51109;/&#51204;&#44592;(1019&#51228;&#52636;)/&#44400;&#45224;&#44228;&#53685;/&#52572;&#51333;-&#44400;&#45224;&#54616;&#49688;&#52376;&#47532;&#51109;(&#45236;&#50669;&#52572;&#51333;)/&#52572;&#51333;-&#44400;&#45224;&#54616;&#49688;&#52376;&#47532;&#51109;(&#52572;&#51333;1111&#45800;&#44032;).xls" TargetMode="External"/><Relationship Id="rId1" Type="http://schemas.openxmlformats.org/officeDocument/2006/relationships/externalLinkPath" Target="/DWG/&#44221;&#44592;&#44592;&#49696;&#45800;/&#52397;&#49328;&#54616;&#49688;&#52376;&#47532;&#51109;/&#51204;&#44592;(1019&#51228;&#52636;)/&#44400;&#45224;&#44228;&#53685;/&#52572;&#51333;-&#44400;&#45224;&#54616;&#49688;&#52376;&#47532;&#51109;(&#45236;&#50669;&#52572;&#51333;)/&#52572;&#51333;-&#44400;&#45224;&#54616;&#49688;&#52376;&#47532;&#51109;(&#52572;&#51333;1111&#45800;&#44032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Startup" Target="&#51204;&#51452;&#44036;/&#51204;&#44592;/HWP/HWP/DF98513/PROJECT/LOAD/BONGSAN/BONG/HWP/OUT/YE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\SE6380\TOP1\MISS_&#49688;\ORIGINAL\&#49688;_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&#54633;&#51221;&#47196;&#45236;&#50669;&#49436;(&#53664;&#47785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228;&#49328;&#4943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0COMPANY\GEONHOA\PAENGSEO\YESAN\Y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Project\PROJECT2005\1.&#49345;&#49688;&#46020;\&#44053;&#48320;&#50668;&#44284;&#49688;\1.&#51204;&#44592;&#49444;&#44228;(10&#50900;24&#51068;)\&#52280;&#44256;&#51088;&#47308;\1CAL-PWR(&#50668;&#49328;stp)-REV3-IEC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roject/PROJECT2005/1.&#49345;&#49688;&#46020;/&#44053;&#48320;&#50668;&#44284;&#49688;/1.&#51204;&#44592;&#49444;&#44228;(10&#50900;24&#51068;)/&#52280;&#44256;&#51088;&#47308;/1CAL-PWR(&#50668;&#49328;stp)-REV3-IEC.xls" TargetMode="External"/><Relationship Id="rId1" Type="http://schemas.openxmlformats.org/officeDocument/2006/relationships/externalLinkPath" Target="/Project/PROJECT2005/1.&#49345;&#49688;&#46020;/&#44053;&#48320;&#50668;&#44284;&#49688;/1.&#51204;&#44592;&#49444;&#44228;(10&#50900;24&#51068;)/&#52280;&#44256;&#51088;&#47308;/1CAL-PWR(&#50668;&#49328;stp)-REV3-IEC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Ing\&#51064;&#52380;&#54617;&#51061;\&#44228;&#49328;&#49436;\&#51312;&#46020;&#44228;&#49328;&#49436;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Ing/&#51064;&#52380;&#54617;&#51061;/&#44228;&#49328;&#49436;/&#51312;&#46020;&#44228;&#49328;&#49436;.xls" TargetMode="External"/><Relationship Id="rId1" Type="http://schemas.openxmlformats.org/officeDocument/2006/relationships/externalLinkPath" Target="/Ing/&#51064;&#52380;&#54617;&#51061;/&#44228;&#49328;&#49436;/&#51312;&#46020;&#44228;&#49328;&#49436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N.YJ\&#51025;&#50857;&#53685;&#44228;\&#50896;&#44032;&#44228;&#49328;\My%20Documents\Data\MAST\&#45796;&#50896;(ZENECA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ATA\SGH\NAMGWANG\REP-NG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ATA/SGH/NAMGWANG/REP-NG.XLS" TargetMode="External"/><Relationship Id="rId1" Type="http://schemas.openxmlformats.org/officeDocument/2006/relationships/externalLinkPath" Target="/DATA/SGH/NAMGWANG/REP-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XCEL\XLS\XL_DATA\&#44204;&#51201;\&#50629;&#52404;\HIT\&#50500;&#49328;&#44277;&#51109;\&#50500;&#49328;&#51032;&#51204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-RMIL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N\SICOMWEB\&#52392;&#48512;&#54632;\Execldata\LEEDM\&#45224;&#48512;&#49328;S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cgwork\&#44256;&#47161;&#48516;&#44592;\&#48120;&#44552;OPGW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project2005\1&#49345;&#49688;&#46020;\16&#44053;&#48320;&#50668;&#44284;&#49688;&#51204;&#44592;&#49444;&#44228;(&#52572;&#51333;&#48516;)\16&#48320;&#44221;&#49444;&#44228;_9&#44060;&#49548;\3.%20&#51204;&#44592;&#48324;&#46020;\1&#49688;&#47049;&#49328;&#52636;&#49436;\1&#46041;&#47141;&#49688;&#47049;&#49328;&#52636;&#49436;_&#51204;&#49688;&#51221;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roject2005/1&#49345;&#49688;&#46020;/16&#44053;&#48320;&#50668;&#44284;&#49688;&#51204;&#44592;&#49444;&#44228;(&#52572;&#51333;&#48516;)/16&#48320;&#44221;&#49444;&#44228;_9&#44060;&#49548;/3.%20&#51204;&#44592;&#48324;&#46020;/1&#49688;&#47049;&#49328;&#52636;&#49436;/1&#46041;&#47141;&#49688;&#47049;&#49328;&#52636;&#49436;_&#51204;&#49688;&#51221;.xls" TargetMode="External"/><Relationship Id="rId1" Type="http://schemas.openxmlformats.org/officeDocument/2006/relationships/externalLinkPath" Target="/project2005/1&#49345;&#49688;&#46020;/16&#44053;&#48320;&#50668;&#44284;&#49688;&#51204;&#44592;&#49444;&#44228;(&#52572;&#51333;&#48516;)/16&#48320;&#44221;&#49444;&#44228;_9&#44060;&#49548;/3.%20&#51204;&#44592;&#48324;&#46020;/1&#49688;&#47049;&#49328;&#52636;&#49436;/1&#46041;&#47141;&#49688;&#47049;&#49328;&#52636;&#49436;_&#51204;&#49688;&#51221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4\2004DWG\&#54620;&#44397;&#49688;&#51088;&#50896;&#44277;&#49324;\&#54620;&#44397;&#49688;&#51088;&#50896;&#44277;&#49324;&#44305;&#51452;&#44428;&#45824;&#48520;-&#44285;&#47749;&#52384;&#50472;-2005.11.14\&#45236;&#50669;&#49436;-2005.11.16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4/2004DWG/&#54620;&#44397;&#49688;&#51088;&#50896;&#44277;&#49324;/&#54620;&#44397;&#49688;&#51088;&#50896;&#44277;&#49324;&#44305;&#51452;&#44428;&#45824;&#48520;-&#44285;&#47749;&#52384;&#50472;-2005.11.14/&#45236;&#50669;&#49436;-2005.11.16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4/2004DWG/&#54620;&#44397;&#49688;&#51088;&#50896;&#44277;&#49324;/&#54620;&#44397;&#49688;&#51088;&#50896;&#44277;&#49324;&#44305;&#51452;&#44428;&#45824;&#48520;-&#44285;&#47749;&#52384;&#50472;-2005.11.14/&#45236;&#50669;&#49436;-2005.11.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49324;&#50857;&#51088;&#51060;&#47492;\&#48148;&#53461;%20&#54868;&#47732;\&#54788;&#50504;&#49324;&#54637;\&#49436;&#49328;&#44032;&#50517;&#51109;&#53945;&#44256;&#50517;&#48152;&#51228;&#51312;&#44396;&#47588;&#49444;&#52824;\&#44048;&#49324;&#54980;\&#54032;&#45356;&#51228;&#51312;&#44396;&#47588;\&#49436;&#49328;&#44032;&#50517;&#51109;%20&#51228;&#51312;&#44396;&#47588;(&#52572;&#51333;)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49324;&#50857;&#51088;&#51060;&#47492;/&#48148;&#53461;%20&#54868;&#47732;/&#54788;&#50504;&#49324;&#54637;/&#49436;&#49328;&#44032;&#50517;&#51109;&#53945;&#44256;&#50517;&#48152;&#51228;&#51312;&#44396;&#47588;&#49444;&#52824;/&#44048;&#49324;&#54980;/&#54032;&#45356;&#51228;&#51312;&#44396;&#47588;/&#49436;&#49328;&#44032;&#50517;&#51109;%20&#51228;&#51312;&#44396;&#47588;(&#52572;&#51333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49324;&#50857;&#51088;&#51060;&#47492;/&#48148;&#53461;%20&#54868;&#47732;/&#54788;&#50504;&#49324;&#54637;/&#49436;&#49328;&#44032;&#50517;&#51109;&#53945;&#44256;&#50517;&#48152;&#51228;&#51312;&#44396;&#47588;&#49444;&#52824;/&#44048;&#49324;&#54980;/&#54032;&#45356;&#51228;&#51312;&#44396;&#47588;/&#49436;&#49328;&#44032;&#50517;&#51109;%20&#51228;&#51312;&#44396;&#47588;(&#52572;&#51333;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ATA\0YEONGI\REPT-NG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ATA/0YEONGI/REPT-NG.XLS" TargetMode="External"/><Relationship Id="rId1" Type="http://schemas.openxmlformats.org/officeDocument/2006/relationships/externalLinkPath" Target="/DATA/0YEONGI/REPT-N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CAL\UNIT-Q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TEAM-5\9611\OUT\YES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TEAM-5/9611/OUT/YES.XLS" TargetMode="External"/><Relationship Id="rId1" Type="http://schemas.openxmlformats.org/officeDocument/2006/relationships/externalLinkPath" Target="/TEAM-5/9611/OUT/YE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wg2000\&#49457;&#51068;\&#49884;&#45208;&#45769;&#49828;\PJT-97\R-SUWONJ\REP\P7-5-31\LX-CAL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wg2000/&#49457;&#51068;/&#49884;&#45208;&#45769;&#49828;/PJT-97/R-SUWONJ/REP/P7-5-31/LX-CAL.XLS" TargetMode="External"/><Relationship Id="rId1" Type="http://schemas.openxmlformats.org/officeDocument/2006/relationships/externalLinkPath" Target="/dwg2000/&#49457;&#51068;/&#49884;&#45208;&#45769;&#49828;/PJT-97/R-SUWONJ/REP/P7-5-31/LX-C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My%20Documents\DATA\&#50872;&#49328;\DATA\&#54861;&#49688;&#50696;&#44221;&#48372;\YONGF0.XLS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My%20Documents/DATA/&#50872;&#49328;/DATA/&#54861;&#49688;&#50696;&#44221;&#48372;/YONGF0.XLS" TargetMode="External"/><Relationship Id="rId1" Type="http://schemas.openxmlformats.org/officeDocument/2006/relationships/externalLinkPath" Target="/My%20Documents/DATA/&#50872;&#49328;/DATA/&#54861;&#49688;&#50696;&#44221;&#48372;/YONGF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wg2000\&#49457;&#51068;\&#49884;&#45208;&#45769;&#49828;\P-Iso\Calc-St2\LX-JU.XLS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wg2000/&#49457;&#51068;/&#49884;&#45208;&#45769;&#49828;/P-Iso/Calc-St2/LX-JU.XLS" TargetMode="External"/><Relationship Id="rId1" Type="http://schemas.openxmlformats.org/officeDocument/2006/relationships/externalLinkPath" Target="/dwg2000/&#49457;&#51068;/&#49884;&#45208;&#45769;&#49828;/P-Iso/Calc-St2/LX-JU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&#49888;&#50864;&#50644;&#51648;&#45768;&#50612;&#47553;\&#44608;&#47749;&#44260;\&#49437;&#44257;&#50725;&#44284;\&#49892;&#49884;&#49444;&#44228;\&#49688;&#47049;&#49328;&#52636;&#49436;\&#49437;&#44257;\&#46041;&#47141;&#51228;&#50612;&#49688;&#47049;&#49328;&#52636;&#49436;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&#49888;&#50864;&#50644;&#51648;&#45768;&#50612;&#47553;/&#44608;&#47749;&#44260;/&#49437;&#44257;&#50725;&#44284;/&#49892;&#49884;&#49444;&#44228;/&#49688;&#47049;&#49328;&#52636;&#49436;/&#49437;&#44257;/&#46041;&#47141;&#51228;&#50612;&#49688;&#47049;&#49328;&#52636;&#49436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&#49888;&#50864;&#50644;&#51648;&#45768;&#50612;&#47553;/&#44608;&#47749;&#44260;/&#49437;&#44257;&#50725;&#44284;/&#49892;&#49884;&#49444;&#44228;/&#49688;&#47049;&#49328;&#52636;&#49436;/&#49437;&#44257;/&#46041;&#47141;&#51228;&#50612;&#49688;&#47049;&#49328;&#52636;&#49436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24;&#50577;&#51452;&#51648;&#44032;&#54788;&#54889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6&#45380;\&#44277;&#49324;\&#51116;&#54644;&#45824;&#52293;&#44592;&#44552;&#44277;&#49324;\&#55064;&#44221;&#48727;&#47932;&#54156;&#54532;&#51109;&#50808;%201&#44060;&#49548;%20&#51204;&#46041;&#48184;&#48652;%20&#51088;&#46041;&#51228;&#50612;&#48152;%20&#44396;&#47588;&#49444;&#52824;\&#51473;&#44257;&#48727;&#47932;&#51204;&#44592;&#45236;&#50669;&#49436;-&#49688;&#51221;(CCTV&#48520;&#54252;&#54632;)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6&#45380;/&#44277;&#49324;/&#51116;&#54644;&#45824;&#52293;&#44592;&#44552;&#44277;&#49324;/&#55064;&#44221;&#48727;&#47932;&#54156;&#54532;&#51109;&#50808;%201&#44060;&#49548;%20&#51204;&#46041;&#48184;&#48652;%20&#51088;&#46041;&#51228;&#50612;&#48152;%20&#44396;&#47588;&#49444;&#52824;/&#51473;&#44257;&#48727;&#47932;&#51204;&#44592;&#45236;&#50669;&#49436;-&#49688;&#51221;(CCTV&#48520;&#54252;&#546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6&#45380;/&#44277;&#49324;/&#51116;&#54644;&#45824;&#52293;&#44592;&#44552;&#44277;&#49324;/&#55064;&#44221;&#48727;&#47932;&#54156;&#54532;&#51109;&#50808;%201&#44060;&#49548;%20&#51204;&#46041;&#48184;&#48652;%20&#51088;&#46041;&#51228;&#50612;&#48152;%20&#44396;&#47588;&#49444;&#52824;/&#51473;&#44257;&#48727;&#47932;&#51204;&#44592;&#45236;&#50669;&#49436;-&#49688;&#51221;(CCTV&#48520;&#54252;&#54632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Users\&#51060;&#44221;&#54984;\Documents\2016&#45380;%20&#54532;&#47196;&#51229;&#53944;\&#49688;&#46020;&#44428;%20&#44305;&#50669;&#49345;&#49688;&#46020;%20&#50857;&#49688;&#44277;&#44553;%20&#49888;&#47280;&#49457;%20&#51228;&#44256;&#49324;&#50629;%20&#51228;2&#44277;&#44396;\21.%20&#51217;&#49688;&#51088;&#47308;\01.%20&#48516;&#50556;&#48324;(&#49444;&#44228;&#49324;)\&#53664;&#47785;%20-%20&#50976;&#49888;\&#44592;&#48376;&#44228;&#54925;%20&#51088;&#47308;\20151210_&#51204;&#44592;&#48516;&#50556;&#49569;&#48512;\02.&#51204;&#47141;&#48708;\02.&#54620;&#51204;&#49688;&#53441;&#48708;,&#49324;&#50857;&#51204;&#44160;&#49324;,&#53685;&#49888;&#48708;_2(&#49688;&#51221;&#49324;&#54637;&#50630;&#51020;).xls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60;&#44221;&#54984;/Documents/2016&#45380;%20&#54532;&#47196;&#51229;&#53944;/&#49688;&#46020;&#44428;%20&#44305;&#50669;&#49345;&#49688;&#46020;%20&#50857;&#49688;&#44277;&#44553;%20&#49888;&#47280;&#49457;%20&#51228;&#44256;&#49324;&#50629;%20&#51228;2&#44277;&#44396;/21.%20&#51217;&#49688;&#51088;&#47308;/01.%20&#48516;&#50556;&#48324;(&#49444;&#44228;&#49324;)/&#53664;&#47785;%20-%20&#50976;&#49888;/&#44592;&#48376;&#44228;&#54925;%20&#51088;&#47308;/20151210_&#51204;&#44592;&#48516;&#50556;&#49569;&#48512;/02.&#51204;&#47141;&#48708;/02.&#54620;&#51204;&#49688;&#53441;&#48708;,&#49324;&#50857;&#51204;&#44160;&#49324;,&#53685;&#49888;&#48708;_2(&#49688;&#51221;&#49324;&#54637;&#50630;&#51020;).xls" TargetMode="External"/><Relationship Id="rId1" Type="http://schemas.openxmlformats.org/officeDocument/2006/relationships/externalLinkPath" Target="/Users/&#51060;&#44221;&#54984;/Documents/2016&#45380;%20&#54532;&#47196;&#51229;&#53944;/&#49688;&#46020;&#44428;%20&#44305;&#50669;&#49345;&#49688;&#46020;%20&#50857;&#49688;&#44277;&#44553;%20&#49888;&#47280;&#49457;%20&#51228;&#44256;&#49324;&#50629;%20&#51228;2&#44277;&#44396;/21.%20&#51217;&#49688;&#51088;&#47308;/01.%20&#48516;&#50556;&#48324;(&#49444;&#44228;&#49324;)/&#53664;&#47785;%20-%20&#50976;&#49888;/&#44592;&#48376;&#44228;&#54925;%20&#51088;&#47308;/20151210_&#51204;&#44592;&#48516;&#50556;&#49569;&#48512;/02.&#51204;&#47141;&#48708;/02.&#54620;&#51204;&#49688;&#53441;&#48708;,&#49324;&#50857;&#51204;&#44160;&#49324;,&#53685;&#49888;&#48708;_2(&#49688;&#51221;&#49324;&#54637;&#50630;&#51020;)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TEAM-5\My%20Documents\dacom\&#50896;&#51452;~&#51228;&#52380;\&#50896;&#51452;&#52572;&#51333;\&#50696;&#49328;&#45236;~1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TEAM-5/My%20Documents/dacom/&#50896;&#51452;~&#51228;&#52380;/&#50896;&#51452;&#52572;&#51333;/&#50696;&#49328;&#45236;~1.XLS" TargetMode="External"/><Relationship Id="rId1" Type="http://schemas.openxmlformats.org/officeDocument/2006/relationships/externalLinkPath" Target="/TEAM-5/My%20Documents/dacom/&#50896;&#51452;~&#51228;&#52380;/&#50896;&#51452;&#52572;&#51333;/&#50696;&#49328;&#45236;~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4277;&#50976;&#48169;\3.0%20&#44288;&#44144;&#44277;&#49324;&#48708;\&#45800;&#44032;2000\&#44277;&#49324;&#48708;-&#53664;&#47448;&#48317;.xls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4277;&#50976;&#48169;/3.0%20&#44288;&#44144;&#44277;&#49324;&#48708;/&#45800;&#44032;2000/&#44277;&#49324;&#48708;-&#53664;&#47448;&#48317;.xls" TargetMode="External"/><Relationship Id="rId1" Type="http://schemas.openxmlformats.org/officeDocument/2006/relationships/externalLinkPath" Target="/&#44277;&#50976;&#48169;/3.0%20&#44288;&#44144;&#44277;&#49324;&#48708;/&#45800;&#44032;2000/&#44277;&#49324;&#48708;-&#53664;&#47448;&#4831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arch2\&#52384;&#50896;&#44608;&#54868;&#52572;&#51333;\&#48373;&#49324;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arch2/&#52384;&#50896;&#44608;&#54868;&#52572;&#51333;/&#48373;&#49324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arch2/&#52384;&#50896;&#44608;&#54868;&#52572;&#51333;/&#48373;&#49324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45812;&#45840;\&#49688;&#50517;&#52384;&#44288;\&#50641;&#49472;\2&#52264;&#44592;&#49457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y%20Documents\DATA\&#50872;&#49328;\DATA\&#54861;&#49688;&#50696;&#44221;&#48372;\YONGF0.XLS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y%20Documents/DATA/&#50872;&#49328;/DATA/&#54861;&#49688;&#50696;&#44221;&#48372;/YONGF0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y%20Documents/DATA/&#50872;&#49328;/DATA/&#54861;&#49688;&#50696;&#44221;&#48372;/YONGF0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ol\&#45824;&#54840;&#49828;&#53664;&#54140;\&#47928;&#49436;\&#50504;&#51456;&#50865;\&#44288;&#47196;&#51060;&#49444;&#49444;&#44228;\&#49444;&#44228;&#49436;(SNP)\&#44221;&#51064;(&#44404;&#54252;&#52380;)&#44396;&#44036;\MYDOCU~1\JUN-TIE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LEEYONG\PUSAN154\&#44305;&#50577;&#51204;&#44592;.XLS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LEEYONG/PUSAN154/&#44305;&#50577;&#51204;&#44592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LEEYONG/PUSAN154/&#44305;&#50577;&#51204;&#44592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21;&#54812;\&#54620;&#44397;brt\My%20Documents\&#48155;&#51008;%20&#54028;&#51068;\&#44608;&#50857;&#44592;\&#50641;&#49472;\GUMI4B2\&#44396;&#48120;4&#45800;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LEEDM\&#44256;&#49888;&#48513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FF\2000&#45380;&#46020;\&#44277;&#49324;&#49444;&#44228;\&#51217;&#50504;&#49884;&#49444;&#51228;&#51089;\&#51217;&#50504;&#49884;&#49444;&#44396;&#47588;.xls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FF/2000&#45380;&#46020;/&#44277;&#49324;&#49444;&#44228;/&#51217;&#50504;&#49884;&#49444;&#51228;&#51089;/&#51217;&#50504;&#49884;&#49444;&#44396;&#47588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FF/2000&#45380;&#46020;/&#44277;&#49324;&#49444;&#44228;/&#51217;&#50504;&#49884;&#49444;&#51228;&#51089;/&#51217;&#50504;&#49884;&#49444;&#44396;&#4758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52;&#54665;project\&#49340;&#44368;&#53552;&#45328;\&#49340;&#44368;&#53552;&#45328;ruswjr2k1_0719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WINDOWS\TEMP\HANDY\&#49444;&#44228;&#45800;&#44032;\2003&#45380;\99&#49444;&#44228;&#44592;&#51456;&#45800;&#44032;.xls" TargetMode="External"/></Relationships>
</file>

<file path=xl/externalLinks/_rels/externalLink7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8128;&#50577;&#54616;&#49688;&#52376;&#47532;&#49324;&#50629;/&#48128;&#50577;&#54616;&#49688;&#52376;&#47532;&#49884;&#49444;&#50857;&#50669;/WINDOWS/TEMP/HANDY/&#49444;&#44228;&#45800;&#44032;/2003&#45380;/99&#49444;&#44228;&#44592;&#51456;&#45800;&#44032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WINDOWS/TEMP/HANDY/&#49444;&#44228;&#45800;&#44032;/2003&#45380;/99&#49444;&#44228;&#44592;&#51456;&#45800;&#44032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3.200.80/2005&#45380;/2005&#49324;&#50629;&#44228;&#54925;&#48143;&#50696;&#49328;/&#50696;&#49328;&#49888;&#52397;/&#49468;&#53552;/&#54016;&#48324;8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4592;&#49696;&#44160;&#53664;&#49436;\&#49436;&#48512;&#49688;&#46020;\&#49436;&#48512;&#48372;&#50756;\&#48373;&#49324;&#48376;%20IO&#49828;&#52992;&#51572;(&#49436;&#48512;-&#47564;&#47532;)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4592;&#49696;&#44160;&#53664;&#49436;/&#49436;&#48512;&#49688;&#46020;/&#49436;&#48512;&#48372;&#50756;/&#48373;&#49324;&#48376;%20IO&#49828;&#52992;&#51572;(&#49436;&#48512;-&#47564;&#475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4592;&#49696;&#44160;&#53664;&#49436;/&#49436;&#48512;&#49688;&#46020;/&#49436;&#48512;&#48372;&#50756;/&#48373;&#49324;&#48376;%20IO&#49828;&#52992;&#51572;(&#49436;&#48512;-&#47564;&#47532;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TEMP\YGN56\SONG.XLS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TEMP/YGN56/SONG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TEMP/YGN56/SONG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51473;&#50521;\&#51473;&#50521;&#45236;&#50669;.XLS" TargetMode="External"/></Relationships>
</file>

<file path=xl/externalLinks/_rels/externalLink8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51473;&#50521;/&#51473;&#50521;&#45236;&#50669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51473;&#50521;/&#51473;&#50521;&#45236;&#50669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47560;&#49328;\&#51665;&#44228;&#54364;.XLS" TargetMode="External"/></Relationships>
</file>

<file path=xl/externalLinks/_rels/externalLink8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47560;&#49328;/&#51665;&#44228;&#54364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47560;&#49328;/&#51665;&#44228;&#54364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51068;&#49328;\&#48148;&#53461;%20&#54868;&#47732;\&#49569;&#54028;&#45236;&#50669;&#49436;\&#51204;&#44592;&#46020;&#47732;(3&#52264;&#50504;-gipam)\&#48155;&#51008;&#47700;&#51068;\&#49345;&#54889;&#49892;&#50808;&#54156;&#54532;&#51109;&#51088;&#46041;&#51228;&#50612;&#48152;\&#51473;&#44257;&#48727;&#47932;&#51204;&#44592;&#45236;&#50669;&#49436;-&#49688;&#51221;(CCTV&#48520;&#54252;&#54632;).xls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51068;&#49328;/&#48148;&#53461;%20&#54868;&#47732;/&#49569;&#54028;&#45236;&#50669;&#49436;/&#51204;&#44592;&#46020;&#47732;(3&#52264;&#50504;-gipam)/&#48155;&#51008;&#47700;&#51068;/&#49345;&#54889;&#49892;&#50808;&#54156;&#54532;&#51109;&#51088;&#46041;&#51228;&#50612;&#48152;/&#51473;&#44257;&#48727;&#47932;&#51204;&#44592;&#45236;&#50669;&#49436;-&#49688;&#51221;(CCTV&#48520;&#54252;&#546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51068;&#49328;/&#48148;&#53461;%20&#54868;&#47732;/&#49569;&#54028;&#45236;&#50669;&#49436;/&#51204;&#44592;&#46020;&#47732;(3&#52264;&#50504;-gipam)/&#48155;&#51008;&#47700;&#51068;/&#49345;&#54889;&#49892;&#50808;&#54156;&#54532;&#51109;&#51088;&#46041;&#51228;&#50612;&#48152;/&#51473;&#44257;&#48727;&#47932;&#51204;&#44592;&#45236;&#50669;&#49436;-&#49688;&#51221;(CCTV&#48520;&#54252;&#54632;)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ATA-DATA-DATA-DATA-DATA\D\DATA-DATA(&#45236;&#50669;&#49436;)\&#44228;&#51109;\&#52572;&#51333;&#45236;&#50669;&#49436;(&#44592;&#51088;&#51116;)\&#49345;&#49688;\&#54620;&#44053;&#54616;&#47448;&#44428;&#44553;&#49688;&#52404;&#44228;\&#51204;&#44592;&#49688;&#47049;\&#49328;&#52636;&#49436;.xls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ATA-DATA-DATA-DATA-DATA/D/DATA-DATA(&#45236;&#50669;&#49436;)/&#44228;&#51109;/&#52572;&#51333;&#45236;&#50669;&#49436;(&#44592;&#51088;&#51116;)/&#49345;&#49688;/&#54620;&#44053;&#54616;&#47448;&#44428;&#44553;&#49688;&#52404;&#44228;/&#51204;&#44592;&#49688;&#47049;/&#49328;&#52636;&#49436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ATA-DATA-DATA-DATA-DATA/D/DATA-DATA(&#45236;&#50669;&#49436;)/&#44228;&#51109;/&#52572;&#51333;&#45236;&#50669;&#49436;(&#44592;&#51088;&#51116;)/&#49345;&#49688;/&#54620;&#44053;&#54616;&#47448;&#44428;&#44553;&#49688;&#52404;&#44228;/&#51204;&#44592;&#49688;&#47049;/&#49328;&#52636;&#49436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WINDOWS\TEMP\HANDY\2004&#49444;&#44228;&#45800;&#44032;(&#52572;&#51333;).xls" TargetMode="External"/></Relationships>
</file>

<file path=xl/externalLinks/_rels/externalLink9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8128;&#50577;&#54616;&#49688;&#52376;&#47532;&#49324;&#50629;/&#48128;&#50577;&#54616;&#49688;&#52376;&#47532;&#49884;&#49444;&#50857;&#50669;/WINDOWS/TEMP/HANDY/2004&#49444;&#44228;&#45800;&#44032;(&#52572;&#51333;)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WINDOWS/TEMP/HANDY/2004&#49444;&#44228;&#45800;&#44032;(&#52572;&#51333;)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r.lee&#9756;&#9758;\&#53552;&#45328;\&#49457;&#45224;&#51109;&#54840;&#50896;\&#45236;&#50669;&#49436;\&#45432;&#44480;&#51116;IC&#45236;&#50669;&#49436;.xls" TargetMode="External"/></Relationships>
</file>

<file path=xl/externalLinks/_rels/externalLink9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r.lee&#9756;&#9758;/&#53552;&#45328;/&#49457;&#45224;&#51109;&#54840;&#50896;/&#45236;&#50669;&#49436;/&#45432;&#44480;&#51116;IC&#45236;&#50669;&#49436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r.lee&#9756;&#9758;/&#53552;&#45328;/&#49457;&#45224;&#51109;&#54840;&#50896;/&#45236;&#50669;&#49436;/&#45432;&#44480;&#51116;IC&#45236;&#50669;&#4943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52992;&#51060;&#48660;-&#50577;&#49885;,&#51204;&#49569;&#50857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@&#54532;&#47196;&#51229;&#53944;%202010(&#44608;&#49888;&#51068;)\&#50689;&#51452;&#45796;&#47785;&#51201;&#45840;%20TK%20&#49892;&#49884;&#49444;&#44228;\2%20&#45236;&#50669;&#49436;&#51089;&#50629;\&#44277;&#49324;&#44228;&#50557;%20&#45236;&#50669;&#49436;(&#49688;&#44277;-&#49340;&#49457;)\&#51204;&#52404;&#44277;&#49324;&#48516;\&#54620;&#51204;&#49688;&#53441;&#48708;\&#44060;&#47029;&#44277;&#49324;&#48708;&#49328;&#52636;(&#54665;&#48373;&#46020;&#49884;&#54616;&#49688;)-rev4.xls" TargetMode="External"/></Relationships>
</file>

<file path=xl/externalLinks/_rels/externalLink9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@&#54532;&#47196;&#51229;&#53944;%202010(&#44608;&#49888;&#51068;)/&#50689;&#51452;&#45796;&#47785;&#51201;&#45840;%20TK%20&#49892;&#49884;&#49444;&#44228;/2%20&#45236;&#50669;&#49436;&#51089;&#50629;/&#44277;&#49324;&#44228;&#50557;%20&#45236;&#50669;&#49436;(&#49688;&#44277;-&#49340;&#49457;)/&#51204;&#52404;&#44277;&#49324;&#48516;/&#54620;&#51204;&#49688;&#53441;&#48708;/&#44060;&#47029;&#44277;&#49324;&#48708;&#49328;&#52636;(&#54665;&#48373;&#46020;&#49884;&#54616;&#49688;)-rev4.xls" TargetMode="External"/><Relationship Id="rId1" Type="http://schemas.openxmlformats.org/officeDocument/2006/relationships/externalLinkPath" Target="/@&#54532;&#47196;&#51229;&#53944;%202010(&#44608;&#49888;&#51068;)/&#50689;&#51452;&#45796;&#47785;&#51201;&#45840;%20TK%20&#49892;&#49884;&#49444;&#44228;/2%20&#45236;&#50669;&#49436;&#51089;&#50629;/&#44277;&#49324;&#44228;&#50557;%20&#45236;&#50669;&#49436;(&#49688;&#44277;-&#49340;&#49457;)/&#51204;&#52404;&#44277;&#49324;&#48516;/&#54620;&#51204;&#49688;&#53441;&#48708;/&#44060;&#47029;&#44277;&#49324;&#48708;&#49328;&#52636;(&#54665;&#48373;&#46020;&#49884;&#54616;&#49688;)-rev4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49324;&#48376;%20-%20&#51204;&#49569;&#54532;&#47196;&#44536;&#47016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2016&#45380;\&#49688;&#46020;&#44428;%20&#44305;&#50669;&#49345;&#49688;&#46020;%20&#50857;&#49688;&#44277;&#44553;%20&#49888;&#47280;&#49457;%20&#51228;&#44256;&#49324;&#50629;%20&#51228;2&#44277;&#44396;%20&#44592;&#48376;&#49444;&#44228;\01.%20&#51089;&#50629;&#48169;\8.&#45236;&#50669;&#49436;\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10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2016&#45380;/&#49688;&#46020;&#44428;%20&#44305;&#50669;&#49345;&#49688;&#46020;%20&#50857;&#49688;&#44277;&#44553;%20&#49888;&#47280;&#49457;%20&#51228;&#44256;&#49324;&#50629;%20&#51228;2&#44277;&#44396;%20&#44592;&#48376;&#49444;&#44228;/01.%20&#51089;&#50629;&#48169;/8.&#45236;&#50669;&#49436;/&#49688;&#46020;&#44428;(&#8545;)&#44305;&#50669;&#49345;&#49688;&#46020;%20&#51204;&#44592;_&#51221;&#48372;&#53685;&#49888;&#44277;&#49324;-0405-&#49444;&#44228;&#44032;(2015&#49345;&#48152;&#44592;&#45432;&#51076;)REV02-&#52572;&#51333;.xlsm" TargetMode="External"/><Relationship Id="rId1" Type="http://schemas.openxmlformats.org/officeDocument/2006/relationships/externalLinkPath" Target="/2016&#45380;/&#49688;&#46020;&#44428;%20&#44305;&#50669;&#49345;&#49688;&#46020;%20&#50857;&#49688;&#44277;&#44553;%20&#49888;&#47280;&#49457;%20&#51228;&#44256;&#49324;&#50629;%20&#51228;2&#44277;&#44396;%20&#44592;&#48376;&#49444;&#44228;/01.%20&#51089;&#50629;&#48169;/8.&#45236;&#50669;&#49436;/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01.Project\03.%202007&#45380;%20Project\A723040(&#44608;&#54644;BTL%20&#49892;&#49884;&#49444;&#44228;)\&#44228;&#50557;&#44288;&#47144;\&#44053;&#54868;%20&#44288;&#44144;&#51221;&#48708;(&#44592;&#48376;&#44228;&#54925;%20&#48143;%20&#51077;&#52272;&#50504;&#45236;&#49436;)\&#45236;&#50669;&#49436;(2004.1).xls" TargetMode="External"/></Relationships>
</file>

<file path=xl/externalLinks/_rels/externalLink10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01.Project/03.%202007&#45380;%20Project/A723040(&#44608;&#54644;BTL%20&#49892;&#49884;&#49444;&#44228;)/&#44228;&#50557;&#44288;&#47144;/&#44053;&#54868;%20&#44288;&#44144;&#51221;&#48708;(&#44592;&#48376;&#44228;&#54925;%20&#48143;%20&#51077;&#52272;&#50504;&#45236;&#49436;)/&#45236;&#50669;&#49436;(2004.1).xls" TargetMode="External"/><Relationship Id="rId1" Type="http://schemas.openxmlformats.org/officeDocument/2006/relationships/externalLinkPath" Target="/01.Project/03.%202007&#45380;%20Project/A723040(&#44608;&#54644;BTL%20&#49892;&#49884;&#49444;&#44228;)/&#44228;&#50557;&#44288;&#47144;/&#44053;&#54868;%20&#44288;&#44144;&#51221;&#48708;(&#44592;&#48376;&#44228;&#54925;%20&#48143;%20&#51077;&#52272;&#50504;&#45236;&#49436;)/&#45236;&#50669;&#49436;(2004.1)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8708;&#46168;&#44592;\&#44277;&#49324;&#44288;&#47144;\&#49884;&#49444;&#44277;&#49324;\2003&#44032;&#47196;&#46321;&#44277;&#49324;\&#49888;&#47548;&#46041;&#44600;&#44032;&#47196;&#46321;&#44277;&#49324;\&#49444;&#44228;\&#44032;&#47196;&#46321;\&#44277;&#49324;\&#49884;&#49444;&#44277;&#49324;\2001\&#49888;&#47548;8&#46041;&#49440;&#47196;&#44368;&#52404;&#44277;&#49324;\&#49884;&#55141;&#45824;&#47196;%20&#44032;&#47196;&#46321;%20&#44277;&#49324;(36&#48376;%20&#44592;&#52488;0.2).xls" TargetMode="External"/></Relationships>
</file>

<file path=xl/externalLinks/_rels/externalLink10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8708;&#46168;&#44592;/&#44277;&#49324;&#44288;&#47144;/&#49884;&#49444;&#44277;&#49324;/2003&#44032;&#47196;&#46321;&#44277;&#49324;/&#49888;&#47548;&#46041;&#44600;&#44032;&#47196;&#46321;&#44277;&#49324;/&#49444;&#44228;/&#44032;&#47196;&#46321;/&#44277;&#49324;/&#49884;&#49444;&#44277;&#49324;/2001/&#49888;&#47548;8&#46041;&#49440;&#47196;&#44368;&#52404;&#44277;&#49324;/&#49884;&#55141;&#45824;&#47196;%20&#44032;&#47196;&#46321;%20&#44277;&#49324;(36&#48376;%20&#44592;&#52488;0.2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8708;&#46168;&#44592;/&#44277;&#49324;&#44288;&#47144;/&#49884;&#49444;&#44277;&#49324;/2003&#44032;&#47196;&#46321;&#44277;&#49324;/&#49888;&#47548;&#46041;&#44600;&#44032;&#47196;&#46321;&#44277;&#49324;/&#49444;&#44228;/&#44032;&#47196;&#46321;/&#44277;&#49324;/&#49884;&#49444;&#44277;&#49324;/2001/&#49888;&#47548;8&#46041;&#49440;&#47196;&#44368;&#52404;&#44277;&#49324;/&#49884;&#55141;&#45824;&#47196;%20&#44032;&#47196;&#46321;%20&#44277;&#49324;(36&#48376;%20&#44592;&#52488;0.2).xls" TargetMode="External"/></Relationships>
</file>

<file path=xl/externalLinks/_rels/externalLink10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lovel/Documents/&#52852;&#52852;&#50724;&#53665;%20&#48155;&#51008;%20&#54028;&#51068;/&#44032;&#48176;&#44288;%20&#48143;%20&#48372;&#44053;%20&#45236;&#50669;-251223.xlsx" TargetMode="External"/><Relationship Id="rId1" Type="http://schemas.openxmlformats.org/officeDocument/2006/relationships/externalLinkPath" Target="/Users/lovel/Documents/&#52852;&#52852;&#50724;&#53665;%20&#48155;&#51008;%20&#54028;&#51068;/&#44032;&#48176;&#44288;%20&#48143;%20&#48372;&#44053;%20&#45236;&#50669;-251223.xlsx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0&#50689;&#50629;&#49324;&#54637;(&#44204;&#51201;&#49436;)\AA&#51648;&#50669;&#48324;%20&#44204;&#51201;&#54788;&#54889;\2025&#45380;\&#52649;&#52397;&#45224;&#46020;\&#48372;&#47161;&#44305;&#50669;%20&#49436;&#49328;&#44228;&#53685;(1350x4P)-&#48372;&#47161;&#44428;&#51648;&#49324;\(&#51452;)&#48177;&#47560;&#51333;&#54633;&#44148;&#49444;\&#51068;&#50948;&#45824;&#44032;-&#49345;&#49688;&#46020;&#44288;&#47196;&#44277;(2025&#49345;&#48152;&#44592;&#45800;&#44032;&#51201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격조사서"/>
      <sheetName val="VXXXXX"/>
      <sheetName val="VXXX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집계표"/>
      <sheetName val="BID"/>
      <sheetName val="전계가"/>
      <sheetName val="★도급내역"/>
      <sheetName val="갑지"/>
      <sheetName val="원본"/>
      <sheetName val="단가산출서(이동2교)"/>
      <sheetName val="자재"/>
      <sheetName val="노임적용2"/>
      <sheetName val="중기사용료 (08년)"/>
      <sheetName val="작업량-장비"/>
      <sheetName val="손료절감"/>
      <sheetName val="건설기계조종원"/>
      <sheetName val="기계경비목록"/>
      <sheetName val="기계경비적용"/>
      <sheetName val="노임table"/>
      <sheetName val="기계경비table"/>
      <sheetName val="일위대가_산근"/>
      <sheetName val="노임적용"/>
      <sheetName val="중기기초자료"/>
      <sheetName val="3.공통공사대비"/>
      <sheetName val="단가비교표"/>
      <sheetName val="결과조달"/>
      <sheetName val="연결임시"/>
      <sheetName val="입찰"/>
      <sheetName val="현경"/>
      <sheetName val="9902"/>
      <sheetName val="조건표"/>
      <sheetName val="금액내역서"/>
      <sheetName val="증감내용"/>
      <sheetName val="귀래 설계 공내역서"/>
      <sheetName val="#REF"/>
      <sheetName val="변경집계표"/>
      <sheetName val="부속동"/>
      <sheetName val="백호우계수"/>
      <sheetName val="청천내"/>
      <sheetName val="MOTOR"/>
      <sheetName val="집수정(600-700)"/>
      <sheetName val="연돌일위집계"/>
      <sheetName val="여과지동"/>
      <sheetName val="기초자료"/>
      <sheetName val="내역표지"/>
      <sheetName val="교량전기"/>
      <sheetName val="경상비"/>
      <sheetName val="설계"/>
      <sheetName val="COVER"/>
      <sheetName val="A-4"/>
      <sheetName val="2000년1차"/>
      <sheetName val="예가표"/>
      <sheetName val="대비"/>
      <sheetName val="내역(원안-대안)"/>
      <sheetName val="내역"/>
      <sheetName val="Y-WORK"/>
      <sheetName val="공통비"/>
      <sheetName val="9GNG운반"/>
      <sheetName val="기계경비(시간당)"/>
      <sheetName val="램머"/>
      <sheetName val="단면 (2)"/>
      <sheetName val="CIVIL4"/>
      <sheetName val="철거산출근거"/>
      <sheetName val="금융"/>
      <sheetName val="소일위대가코드표"/>
      <sheetName val="노임단가"/>
      <sheetName val="2000전체분"/>
      <sheetName val="Sheet4"/>
      <sheetName val="대림경상68억"/>
      <sheetName val="중기사용료"/>
      <sheetName val="기본단가표"/>
      <sheetName val="배수내역"/>
      <sheetName val="내역서"/>
      <sheetName val="간접비"/>
      <sheetName val="토목"/>
      <sheetName val="강교(Sub)"/>
      <sheetName val="Sheet3"/>
      <sheetName val="S0"/>
      <sheetName val="남양내역"/>
      <sheetName val="SG"/>
      <sheetName val="전체내역"/>
      <sheetName val="견적"/>
      <sheetName val="실행철강하도"/>
      <sheetName val="표지"/>
      <sheetName val="개요"/>
      <sheetName val="메모"/>
      <sheetName val="안전"/>
      <sheetName val="시공계획"/>
      <sheetName val="공사비예산서(토목분)"/>
      <sheetName val="간선계산"/>
      <sheetName val="구조물철거타공정이월"/>
      <sheetName val="실행"/>
      <sheetName val="2공구산출내역"/>
      <sheetName val="1,2공구원가계산서"/>
      <sheetName val="1공구산출내역서"/>
      <sheetName val="예정(3)"/>
      <sheetName val="동원(3)"/>
      <sheetName val="기별(종합)"/>
      <sheetName val="본선 토공 분배표"/>
      <sheetName val="일반공사"/>
      <sheetName val="2000.11월설계내역"/>
      <sheetName val="참고1.잔여수량(기계약기준)"/>
      <sheetName val="참고2.3개층 예상 투입수량"/>
      <sheetName val="Sheet5"/>
      <sheetName val="guard(mac)"/>
      <sheetName val="토적표 (2)"/>
      <sheetName val="00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토사(PE)"/>
      <sheetName val="단가"/>
      <sheetName val="O_단가조사서"/>
      <sheetName val="전신환매도율"/>
      <sheetName val="SCHEDULE"/>
      <sheetName val="ELECTRIC"/>
      <sheetName val="CTEMCOST"/>
      <sheetName val="일위대가(계측기설치)"/>
      <sheetName val="부안일위"/>
      <sheetName val="진접"/>
      <sheetName val="목표세부명세"/>
      <sheetName val="공사비집계"/>
      <sheetName val="Sheet1"/>
      <sheetName val="견적대비표"/>
      <sheetName val="106C0300"/>
      <sheetName val="집계표(육상)"/>
      <sheetName val="변경현황"/>
      <sheetName val="주차구획선수량"/>
      <sheetName val="내역서(총)"/>
      <sheetName val="발신정보"/>
      <sheetName val="VXXXXXXX"/>
      <sheetName val="tggwan(mac)"/>
      <sheetName val="자판실행"/>
      <sheetName val="변경내역대비표(2)"/>
      <sheetName val="입찰내역 발주처 양식"/>
      <sheetName val="관접합및부설"/>
      <sheetName val="품의서"/>
      <sheetName val="날개벽"/>
      <sheetName val="인부신상자료"/>
      <sheetName val="설계명세서(선로)"/>
      <sheetName val="업무처리전"/>
      <sheetName val="Eq. Mobilization"/>
      <sheetName val="공정관리"/>
      <sheetName val="수입"/>
      <sheetName val="금융현황(BBCHP)"/>
      <sheetName val="KUNGDEVI"/>
      <sheetName val="교각1"/>
      <sheetName val="COPING"/>
      <sheetName val="날개벽(시점좌측)"/>
      <sheetName val="1.설계기준"/>
      <sheetName val="I.설계조건"/>
      <sheetName val="주형"/>
      <sheetName val="3.바닥판설계"/>
      <sheetName val="1.설계조건"/>
      <sheetName val="용수간선"/>
      <sheetName val="1호맨홀토공"/>
      <sheetName val="지급자재"/>
      <sheetName val="Sheet2"/>
      <sheetName val="실행예산(97.12.17)"/>
      <sheetName val="부표총괄"/>
      <sheetName val="P-산#1-1(WOWA1)"/>
      <sheetName val="T6-6(7)"/>
      <sheetName val="T6-6(6)"/>
      <sheetName val="이자계산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국공유지및사유지"/>
      <sheetName val="사업계획"/>
      <sheetName val="기계내역"/>
      <sheetName val="원장갑지"/>
      <sheetName val="원가계산서  (2)"/>
      <sheetName val="창천동현금출납"/>
      <sheetName val="창천거래원장(1공구)"/>
      <sheetName val="1.토목공사"/>
      <sheetName val="2.레미콘"/>
      <sheetName val="3.목수"/>
      <sheetName val="4.반넬임대"/>
      <sheetName val="5.공구리"/>
      <sheetName val="6.미장,방수"/>
      <sheetName val="7.철근"/>
      <sheetName val="8.시멘트"/>
      <sheetName val="9.모래"/>
      <sheetName val="10.조적"/>
      <sheetName val="11.세멘벽돌"/>
      <sheetName val="12.적벽돌"/>
      <sheetName val="13.철물"/>
      <sheetName val="14.목재,석고보드"/>
      <sheetName val="15.PVC,스치로폴"/>
      <sheetName val="16.타일,타일시공"/>
      <sheetName val="17.창호"/>
      <sheetName val="18.목창호"/>
      <sheetName val="19.석공사"/>
      <sheetName val="20.유리"/>
      <sheetName val="21.도장"/>
      <sheetName val="22.도배,장판"/>
      <sheetName val="23.씽크,신발장"/>
      <sheetName val="24.책상,의자"/>
      <sheetName val="25.에어컨"/>
      <sheetName val="26.부대포장"/>
      <sheetName val="27.조경공사"/>
      <sheetName val="28.정화조"/>
      <sheetName val="29.전기공사"/>
      <sheetName val="30.설비공사"/>
      <sheetName val="31.도기"/>
      <sheetName val="32.수전"/>
      <sheetName val="33.배수배관용PVC"/>
      <sheetName val="34.지붕,치장유리"/>
      <sheetName val="35.준공후베란다샷시,유리"/>
      <sheetName val="36.현장관리비"/>
      <sheetName val="37.현장경비(식대)"/>
      <sheetName val="38.직영노임"/>
      <sheetName val="I一般比"/>
      <sheetName val="총괄내역서"/>
      <sheetName val="연습"/>
      <sheetName val="사급자재"/>
      <sheetName val="대전-교대(A1-A2)"/>
      <sheetName val="수량산출내역1115"/>
      <sheetName val="타공종이기"/>
      <sheetName val="기성조서"/>
      <sheetName val="SULKEA"/>
      <sheetName val="잔수량(작성)"/>
      <sheetName val="정보매체A동"/>
      <sheetName val="일위대가(가설)"/>
      <sheetName val="5. 간접 공사비 총괄"/>
      <sheetName val="DATA"/>
      <sheetName val="중기조종사 단위단가"/>
      <sheetName val="20관리비율"/>
      <sheetName val="J直材4"/>
      <sheetName val="기계공사"/>
      <sheetName val="공사비총"/>
      <sheetName val="정부노임단가"/>
      <sheetName val="5월"/>
      <sheetName val="차액보증"/>
      <sheetName val="견적내역서"/>
      <sheetName val="입찰안"/>
      <sheetName val="물가시세"/>
      <sheetName val="슬래브수량"/>
      <sheetName val="B토목"/>
      <sheetName val="BSD (2)"/>
      <sheetName val="D-623D"/>
      <sheetName val="공사비증감"/>
      <sheetName val="준검 내역서"/>
      <sheetName val="PAD TR보호대기초"/>
      <sheetName val="가로등기초"/>
      <sheetName val="HANDHOLE(2)"/>
      <sheetName val="수로단위수량"/>
      <sheetName val="프라임 강변역(4,236)"/>
      <sheetName val="h-013211-2"/>
      <sheetName val="Sheet1 (2)"/>
      <sheetName val="Sheet6"/>
      <sheetName val="원가(합계)"/>
      <sheetName val="직재"/>
      <sheetName val="ITC 현황"/>
      <sheetName val="특기사항"/>
      <sheetName val="하도내역 (철콘)"/>
      <sheetName val="일위대가목차"/>
      <sheetName val="관리사무소"/>
      <sheetName val="해전배수"/>
      <sheetName val="장비당단가 (1)"/>
      <sheetName val="목동1절주.bh01"/>
      <sheetName val="시행가"/>
      <sheetName val="01노임적용기준"/>
      <sheetName val="인천성심병원"/>
      <sheetName val="원가계산서"/>
      <sheetName val="역T형"/>
      <sheetName val="한강운반비"/>
      <sheetName val="CODE"/>
      <sheetName val="설산1.나"/>
      <sheetName val="본사S"/>
      <sheetName val="약품공급2"/>
      <sheetName val="입출재고현황 (2)"/>
      <sheetName val="DATA2000"/>
      <sheetName val="운반"/>
      <sheetName val="단중"/>
      <sheetName val="품셈표"/>
      <sheetName val="ROOMS"/>
      <sheetName val="A&amp;G"/>
      <sheetName val="OTHER OPERATING INCOME"/>
      <sheetName val="FOOD&amp;BEVERAGE"/>
      <sheetName val="MAINT. &amp; UTILITIES"/>
      <sheetName val="토적1"/>
      <sheetName val="스포회원매출"/>
      <sheetName val="ENE-CAL 1"/>
      <sheetName val="A"/>
      <sheetName val="S003031"/>
      <sheetName val="단가일람"/>
      <sheetName val="단위량당중기"/>
      <sheetName val="도수로집계"/>
      <sheetName val="일위대가(여기까지)"/>
      <sheetName val="2000시행총괄"/>
      <sheetName val="청하배수"/>
      <sheetName val="000000"/>
      <sheetName val="금융비용"/>
      <sheetName val="토목내역"/>
      <sheetName val="설계조건"/>
      <sheetName val="내역서 (2)"/>
      <sheetName val="화전내"/>
      <sheetName val="설계내역"/>
      <sheetName val="교각계산"/>
      <sheetName val="U-TYPE(1)"/>
      <sheetName val="증감내역서"/>
      <sheetName val="제출내역 (2)"/>
      <sheetName val="밸브설치"/>
      <sheetName val="전기"/>
      <sheetName val="WORK"/>
      <sheetName val="노임"/>
      <sheetName val="충주"/>
      <sheetName val="도급"/>
      <sheetName val="실행대비"/>
      <sheetName val="공사개요"/>
      <sheetName val="도급내역"/>
      <sheetName val="세부내역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200"/>
      <sheetName val="토공"/>
      <sheetName val="포장공"/>
      <sheetName val="설 계"/>
      <sheetName val="DATE"/>
      <sheetName val="PRICES"/>
      <sheetName val="jobhist"/>
      <sheetName val="OZ049E"/>
      <sheetName val="eq_data"/>
      <sheetName val="본부별사업계획2차"/>
      <sheetName val="출자한도"/>
      <sheetName val="현장"/>
      <sheetName val="현금"/>
      <sheetName val="1월"/>
      <sheetName val="관계주식"/>
      <sheetName val="남양구조시험동"/>
      <sheetName val="전기내역서"/>
      <sheetName val="설치공사"/>
      <sheetName val="일위대가(당초)"/>
      <sheetName val="2.냉난방설비공사"/>
      <sheetName val="건설실행"/>
      <sheetName val="6PILE  (돌출)"/>
      <sheetName val="준공전망(을)"/>
      <sheetName val="Ⅴ-2.공종별내역"/>
      <sheetName val="변경내역_2차변경"/>
      <sheetName val="총괄표"/>
      <sheetName val="국내"/>
      <sheetName val="공통비총괄표"/>
      <sheetName val=" "/>
      <sheetName val="유림콘도"/>
      <sheetName val="유림골조"/>
      <sheetName val="입력시트"/>
      <sheetName val="을"/>
      <sheetName val="건설어음발행내역"/>
      <sheetName val="초임연봉"/>
      <sheetName val="샘플표지"/>
      <sheetName val="s"/>
      <sheetName val="안산기계장치"/>
      <sheetName val="단위수량"/>
      <sheetName val="청산공사"/>
      <sheetName val="2공구하도급내역서"/>
      <sheetName val="계화총괄"/>
      <sheetName val="계화배수(3대)"/>
      <sheetName val="부대내역"/>
      <sheetName val="준공조서갑지"/>
      <sheetName val="구간별관경"/>
      <sheetName val="포장공사"/>
      <sheetName val="2.도급기성명세서"/>
      <sheetName val="조명시설"/>
      <sheetName val="옹벽일반수량"/>
      <sheetName val="산근"/>
      <sheetName val="식재인부"/>
      <sheetName val="기둥(원형)"/>
      <sheetName val="부하(성남)"/>
      <sheetName val="을지"/>
      <sheetName val="원(토·조) (2)"/>
      <sheetName val="9월큰빛신고"/>
      <sheetName val="12용지"/>
      <sheetName val="기계경비 (2)"/>
      <sheetName val="구천"/>
      <sheetName val="기계경비일람"/>
      <sheetName val="(C)원내역"/>
      <sheetName val="C3"/>
      <sheetName val="철탑재 준공물량"/>
      <sheetName val="영업2"/>
      <sheetName val="P.M 별"/>
      <sheetName val="층별물량산출"/>
      <sheetName val="TRE TABLE"/>
      <sheetName val="참조_세부공종코드"/>
      <sheetName val="직접인건비"/>
      <sheetName val="직접경비"/>
      <sheetName val="우수"/>
      <sheetName val="코드"/>
      <sheetName val="신우"/>
      <sheetName val="BJJIN"/>
      <sheetName val="인사자료총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1,2,3,4,5단위수량"/>
      <sheetName val="결재"/>
      <sheetName val="전정 수량표 (2)"/>
      <sheetName val="N賃率-職"/>
      <sheetName val="설비"/>
      <sheetName val="2.펌프장(사급자재)"/>
      <sheetName val="빗물받이(910-510-410)"/>
      <sheetName val="아파트 "/>
      <sheetName val="발전기계산서"/>
      <sheetName val="집1"/>
      <sheetName val="misc"/>
      <sheetName val="일위"/>
      <sheetName val="제출전체재노경"/>
      <sheetName val="내역 (2)"/>
      <sheetName val="의뢰서"/>
      <sheetName val="LinerWt"/>
      <sheetName val="일위대가표"/>
      <sheetName val="산출내역서"/>
      <sheetName val="BOM"/>
      <sheetName val="수량산출서"/>
      <sheetName val="자재단가"/>
      <sheetName val="L형옹벽측구"/>
      <sheetName val=""/>
      <sheetName val="BOX-1510"/>
      <sheetName val="아울렛박스"/>
      <sheetName val="공통부대비"/>
      <sheetName val="원하도급내역서(당초)"/>
      <sheetName val="EP0618"/>
      <sheetName val="개선권고사항"/>
      <sheetName val="장비손료"/>
      <sheetName val="input"/>
      <sheetName val="5131-9"/>
      <sheetName val="5131-10"/>
      <sheetName val="5131-11"/>
      <sheetName val="5131-12"/>
      <sheetName val="bm(CIcable)"/>
      <sheetName val="터파기및재료"/>
      <sheetName val="36+45-113-18+19+20I"/>
      <sheetName val="중기비"/>
      <sheetName val="Macro(MCC)"/>
      <sheetName val="하수급견적대비"/>
      <sheetName val="손익분석"/>
      <sheetName val="SLAB"/>
      <sheetName val="대운산출"/>
      <sheetName val="TABLE"/>
      <sheetName val="D-RMIL"/>
      <sheetName val="깨기"/>
    </sheetNames>
    <sheetDataSet>
      <sheetData sheetId="0" refreshError="1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1">
        <row r="5">
          <cell r="D5" t="str">
            <v>m3</v>
          </cell>
        </row>
      </sheetData>
      <sheetData sheetId="2">
        <row r="5">
          <cell r="D5" t="str">
            <v>m3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D5" t="str">
            <v>단 위</v>
          </cell>
        </row>
      </sheetData>
      <sheetData sheetId="8">
        <row r="5">
          <cell r="D5" t="str">
            <v>단 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 refreshError="1"/>
      <sheetData sheetId="202" refreshError="1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6PILE  (돌출)"/>
      <sheetName val="R.C RAHMEN 해석"/>
      <sheetName val="중로근거"/>
      <sheetName val="N賃率-職"/>
      <sheetName val="TYPE-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비2"/>
      <sheetName val="대로근거"/>
      <sheetName val="중로근거"/>
      <sheetName val="상부집계표"/>
      <sheetName val="직재"/>
      <sheetName val="Sheet1"/>
      <sheetName val="Sheet2"/>
      <sheetName val="Sheet3"/>
      <sheetName val="3련 BOX"/>
      <sheetName val="공사비예산서(토목분)"/>
      <sheetName val="단위중량"/>
      <sheetName val="내역서"/>
      <sheetName val="토공"/>
      <sheetName val="교각계산"/>
      <sheetName val="2.2.2입적표"/>
      <sheetName val="Sheet17"/>
      <sheetName val="INPUT"/>
      <sheetName val="출력X"/>
      <sheetName val="연결임시"/>
      <sheetName val="철근단면적"/>
      <sheetName val="토목품셈"/>
      <sheetName val="단면 (2)"/>
      <sheetName val="설계조건"/>
      <sheetName val="INPUT(덕도방향-시점)"/>
      <sheetName val="총괄내역서"/>
      <sheetName val="날개벽수량표"/>
      <sheetName val="수량집계표"/>
      <sheetName val="토공총괄표"/>
      <sheetName val="PO-BOQ"/>
      <sheetName val="IW-LIST"/>
      <sheetName val="수량산출"/>
      <sheetName val="TYPE-A"/>
      <sheetName val="6PILE  (돌출)"/>
      <sheetName val="SORCE1"/>
      <sheetName val="차액보증"/>
      <sheetName val="관급"/>
      <sheetName val="일위대가9803"/>
      <sheetName val="설직재-1"/>
      <sheetName val="제직재"/>
      <sheetName val="초기화면"/>
      <sheetName val="이름정의"/>
      <sheetName val="초기화면1"/>
      <sheetName val="대비"/>
      <sheetName val="수안보-MBR1"/>
      <sheetName val="SLAB&quot;1&quot;"/>
      <sheetName val="토목"/>
      <sheetName val="간접비"/>
      <sheetName val="제경집계"/>
      <sheetName val="내역서을지"/>
      <sheetName val="시멘트"/>
      <sheetName val="#REF"/>
      <sheetName val="교각1"/>
      <sheetName val="CODE"/>
      <sheetName val="기둥(원형)"/>
      <sheetName val="COPING"/>
      <sheetName val="흥양2교토공집계표"/>
      <sheetName val="MOTOR"/>
      <sheetName val="3연box"/>
      <sheetName val="금액내역서"/>
      <sheetName val="수량3"/>
      <sheetName val="TEST1"/>
      <sheetName val="자재집계표"/>
      <sheetName val="DATE"/>
      <sheetName val="1.설계조건"/>
      <sheetName val="대포2교접속"/>
      <sheetName val="9509"/>
      <sheetName val="수량집계"/>
      <sheetName val="1호맨홀토공"/>
      <sheetName val="단가산출서"/>
      <sheetName val="(A)내역서"/>
      <sheetName val="1.설계기준"/>
      <sheetName val="I.설계조건"/>
      <sheetName val="설계내역서"/>
      <sheetName val="현장관리비"/>
      <sheetName val="노임단가"/>
      <sheetName val="수종"/>
      <sheetName val="규격"/>
      <sheetName val="갑지(추정)"/>
      <sheetName val="일위대가목차"/>
      <sheetName val="예가표"/>
      <sheetName val="P4-3"/>
      <sheetName val="도급,하도급 예정금액"/>
      <sheetName val="기초일위"/>
      <sheetName val="시설일위"/>
      <sheetName val="조명일위"/>
      <sheetName val="찍기"/>
      <sheetName val="archi(본사)"/>
      <sheetName val="제-노임"/>
      <sheetName val="유별자산배수"/>
      <sheetName val="예정(3)"/>
      <sheetName val="공문"/>
      <sheetName val="기본Data"/>
      <sheetName val="기계공사"/>
      <sheetName val="공사비총"/>
      <sheetName val="포장절단"/>
      <sheetName val="집계"/>
      <sheetName val="직노"/>
      <sheetName val="기본일위"/>
      <sheetName val="내역서2안"/>
      <sheetName val="실행내역"/>
      <sheetName val="N賃率-職"/>
      <sheetName val="패널"/>
      <sheetName val="경산"/>
      <sheetName val="9811"/>
      <sheetName val="일위대가(계측기설치)"/>
      <sheetName val="터파기및재료"/>
      <sheetName val="단가산출2"/>
      <sheetName val="ABUT수량-A1"/>
      <sheetName val="집계표"/>
      <sheetName val="갑지"/>
      <sheetName val="날개벽(시점좌측)"/>
      <sheetName val="주형"/>
      <sheetName val="3.바닥판설계"/>
      <sheetName val="중기사용료산출근거"/>
      <sheetName val="단가 및 재료비"/>
      <sheetName val="공비현2"/>
      <sheetName val="내역"/>
      <sheetName val="6PILE__(돌출)"/>
      <sheetName val="단면_(2)"/>
      <sheetName val="1_설계기준"/>
      <sheetName val="I_설계조건"/>
      <sheetName val="3련_BOX"/>
      <sheetName val="2_2_2입적표"/>
      <sheetName val="도급,하도급_예정금액"/>
      <sheetName val="주식"/>
      <sheetName val="우배수"/>
      <sheetName val="TOTAL_BOQ"/>
      <sheetName val="물가시세"/>
      <sheetName val="guard(mac)"/>
      <sheetName val="품셈TABLE"/>
      <sheetName val="구성비"/>
      <sheetName val="1062-X방향 "/>
      <sheetName val="골조시행"/>
      <sheetName val="도급원가"/>
      <sheetName val="보험료산출"/>
      <sheetName val="J"/>
      <sheetName val="산출내역(4월)"/>
      <sheetName val="산출내역(5월) (2)"/>
      <sheetName val="자재표"/>
      <sheetName val="포장공"/>
      <sheetName val="조건표"/>
      <sheetName val="설산1.나"/>
      <sheetName val="본사S"/>
      <sheetName val="2000년 공정표"/>
      <sheetName val="입찰안"/>
      <sheetName val="노임이"/>
      <sheetName val="암거단위-1련"/>
      <sheetName val="8.PILE  (돌출)"/>
      <sheetName val="데이터"/>
      <sheetName val="슬래브"/>
      <sheetName val="기본1"/>
      <sheetName val="2공구산출내역"/>
      <sheetName val="수정일위대가"/>
      <sheetName val="신규품목일위대가"/>
      <sheetName val="BOX"/>
      <sheetName val="조달일반"/>
      <sheetName val="참고"/>
      <sheetName val="영산"/>
      <sheetName val="참조"/>
      <sheetName val="설계"/>
      <sheetName val="투찰"/>
      <sheetName val="laroux"/>
      <sheetName val="충남종건"/>
      <sheetName val="충남종건 (2)"/>
      <sheetName val="태백시"/>
      <sheetName val="인천공항"/>
      <sheetName val="성남시 (2)"/>
      <sheetName val="성남시"/>
      <sheetName val="서대구인입"/>
      <sheetName val="여암교"/>
      <sheetName val="인쇄"/>
      <sheetName val="변경"/>
      <sheetName val="당초"/>
      <sheetName val="차수별계약"/>
      <sheetName val="차수별계약 (4차2회)"/>
      <sheetName val="4차분1회계약"/>
      <sheetName val="4차분요약"/>
      <sheetName val="4차분2회변경"/>
      <sheetName val="잡비 (4차2회)"/>
      <sheetName val="98신규단가(4차2회)"/>
      <sheetName val="차수별수량 (4차2회)"/>
      <sheetName val="5차분1회변경"/>
      <sheetName val="잡비 (5차1회)"/>
      <sheetName val="신규단가(5차1회)"/>
      <sheetName val="설계서갑지"/>
      <sheetName val="설계서갑지(결제)"/>
      <sheetName val="목차3차"/>
      <sheetName val="주요자재(4차2회)"/>
      <sheetName val="주요자재(전체3회변경)"/>
      <sheetName val="예정공정"/>
      <sheetName val="동원인원"/>
      <sheetName val="공사비증감"/>
      <sheetName val="내역서갑지"/>
      <sheetName val="3회변경내역"/>
      <sheetName val="잡비 (3회4차)"/>
      <sheetName val="98신규단가(3회)"/>
      <sheetName val="차수별수량"/>
      <sheetName val="단가조견 (3회)"/>
      <sheetName val="단가조견"/>
      <sheetName val="각종갑지"/>
      <sheetName val="수량갑지1"/>
      <sheetName val="수량갑지2"/>
      <sheetName val="수량갑지3"/>
      <sheetName val="바인더갑지"/>
      <sheetName val="위치도"/>
      <sheetName val="변경공사개요"/>
      <sheetName val="현황B (3)"/>
      <sheetName val="실정진행현황"/>
      <sheetName val="차수변경요약"/>
      <sheetName val="전체변경요약"/>
      <sheetName val="실정보고"/>
      <sheetName val="변경현황"/>
      <sheetName val="현황(전체3회)"/>
      <sheetName val="현황(전체2회)"/>
      <sheetName val="현황(전체1회)"/>
      <sheetName val="도장수량(하1)"/>
      <sheetName val="지급자재"/>
      <sheetName val="구조물공"/>
      <sheetName val="부대공"/>
      <sheetName val="배수공"/>
      <sheetName val="일위단위"/>
      <sheetName val="70%"/>
      <sheetName val="오수관연장산출서"/>
      <sheetName val="data"/>
      <sheetName val="단가산출1"/>
      <sheetName val="단가산출"/>
      <sheetName val="woo(mac)"/>
      <sheetName val="STEEL BOX 단면설계(SEC.8)"/>
      <sheetName val="안정검토"/>
      <sheetName val="날개벽"/>
      <sheetName val="8. 안정검토"/>
      <sheetName val="4.하중"/>
      <sheetName val="0.9x0.9"/>
      <sheetName val="VXXXXXXX"/>
      <sheetName val="FOOTING단면력"/>
      <sheetName val="L측형구집계"/>
      <sheetName val="Sheet1 (2)"/>
      <sheetName val="tggwan(mac)"/>
      <sheetName val="suk(mac)"/>
      <sheetName val="고양동1"/>
      <sheetName val="0.9토공"/>
      <sheetName val="사용성검토"/>
      <sheetName val="토공(우물통,기타) "/>
      <sheetName val="바닥판(1)"/>
      <sheetName val="일위대가(1)"/>
      <sheetName val="EQT-ESTN"/>
      <sheetName val="기초단가"/>
      <sheetName val="원가계산서"/>
      <sheetName val="말뚝지지력산정"/>
      <sheetName val="수목데이타 "/>
      <sheetName val="공사설계서"/>
      <sheetName val="관로토공산출근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I一般比"/>
      <sheetName val="배수공"/>
      <sheetName val="YES"/>
      <sheetName val="전등수량산출"/>
      <sheetName val="품셈표"/>
      <sheetName val="횡배수관토공수량"/>
      <sheetName val="현대물량"/>
      <sheetName val="9GNG운반"/>
      <sheetName val="토공사"/>
      <sheetName val="부대내역"/>
      <sheetName val="일위대가표"/>
      <sheetName val="일위목차"/>
      <sheetName val="일위대가"/>
      <sheetName val="단가비교표"/>
      <sheetName val="노임단가"/>
      <sheetName val="토목품셈"/>
      <sheetName val="Sheet6"/>
      <sheetName val="일위대가(계측기설치)"/>
      <sheetName val="Sheet1 (2)"/>
      <sheetName val="광통신 견적내역서1"/>
      <sheetName val="갑지"/>
      <sheetName val="총괄-1"/>
      <sheetName val="목차"/>
      <sheetName val="단가조사서"/>
      <sheetName val="노무비(DB)_이후 출력XXXXXX"/>
    </sheetNames>
    <definedNames>
      <definedName name="Macro13"/>
      <definedName name="Macro2"/>
      <definedName name="Macro7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일위대가"/>
      <sheetName val="산출근거(집계)"/>
      <sheetName val="산출근거-1"/>
      <sheetName val="산출근거-2"/>
      <sheetName val="단가비교표"/>
      <sheetName val="단위수량-1"/>
      <sheetName val="노무비 근거"/>
      <sheetName val="Sheet1"/>
      <sheetName val="단가 및 재료비"/>
      <sheetName val="000000"/>
      <sheetName val="작업예정량"/>
      <sheetName val="관.자 제작비"/>
      <sheetName val="단가산출 (2)"/>
      <sheetName val="단가산출기초조사서"/>
      <sheetName val="노무비 "/>
      <sheetName val="총괄내역서(1구역)"/>
      <sheetName val="제경비산출서(1구역)"/>
      <sheetName val="총괄표(1구역)"/>
      <sheetName val="원가계산서(1)"/>
      <sheetName val="설계서(갑)"/>
      <sheetName val="갑지1"/>
      <sheetName val="총괄내역서(2구역)"/>
      <sheetName val="제경비산출서(2구역)"/>
      <sheetName val="총괄표(2구역)"/>
      <sheetName val="원가계산서(2구역)"/>
      <sheetName val="설계서(갑2)"/>
      <sheetName val="갑지2"/>
      <sheetName val="준공조서1구역"/>
      <sheetName val="준공조서2구역"/>
      <sheetName val="1,2공구원가계산서"/>
      <sheetName val="1공구산출내역서"/>
      <sheetName val="화재 탐지 설비"/>
      <sheetName val="산출내역서"/>
      <sheetName val="합정로내역서(토목)"/>
      <sheetName val="전체"/>
      <sheetName val="수량산출서"/>
      <sheetName val="산출서집계"/>
      <sheetName val="인입관수량총괄"/>
      <sheetName val="9GNG운반"/>
      <sheetName val="MOTOR"/>
      <sheetName val="금액결정"/>
      <sheetName val="전차선로 물량표"/>
      <sheetName val="한강운반비"/>
      <sheetName val="#REF"/>
      <sheetName val="자재"/>
      <sheetName val="공통(20-91)"/>
      <sheetName val="자재단가"/>
      <sheetName val="기술부 VENDOR LIST"/>
      <sheetName val="실행철강하도"/>
      <sheetName val="관급"/>
      <sheetName val="DATA"/>
      <sheetName val="데이타"/>
      <sheetName val="2.1  노무비 평균단가산출"/>
      <sheetName val="북방3터널"/>
      <sheetName val="원가계산서"/>
      <sheetName val="간선계산"/>
      <sheetName val="을지"/>
      <sheetName val="12.일위대가"/>
      <sheetName val="노임조서"/>
      <sheetName val="2공구산출내역"/>
      <sheetName val="건설실행"/>
      <sheetName val="인부신상자료"/>
      <sheetName val="I一般比"/>
      <sheetName val="N賃率-職"/>
      <sheetName val="일위대가(동대문운동장별관)"/>
      <sheetName val="기둥(원형)"/>
      <sheetName val="배수내역"/>
      <sheetName val="원형1호맨홀토공수량"/>
      <sheetName val="터널조도"/>
      <sheetName val="유입량"/>
      <sheetName val="ITEM"/>
      <sheetName val="갑지"/>
      <sheetName val="기흥하도용"/>
      <sheetName val="DANGA"/>
      <sheetName val="기초코드"/>
      <sheetName val="DATE"/>
      <sheetName val="코드표"/>
      <sheetName val="L_RPTB02_01"/>
      <sheetName val="노임"/>
      <sheetName val="이형관중량"/>
      <sheetName val="일위대가(목록)"/>
      <sheetName val="산근(목록)"/>
      <sheetName val="재료비"/>
      <sheetName val="토공"/>
      <sheetName val="이월"/>
      <sheetName val="업체별기성내역"/>
      <sheetName val="단가비교"/>
      <sheetName val="옥외외등집계표"/>
      <sheetName val="이월가격"/>
      <sheetName val="내역서"/>
      <sheetName val="NOMUBI"/>
      <sheetName val="단가산출"/>
      <sheetName val="산출"/>
      <sheetName val="단위단가"/>
      <sheetName val="일위(시설)"/>
      <sheetName val="을"/>
      <sheetName val="일위"/>
      <sheetName val="일위대가표"/>
      <sheetName val="인제내역"/>
      <sheetName val="사용자일위"/>
      <sheetName val="IT-BAT"/>
      <sheetName val="사업수지"/>
      <sheetName val="갑(전기)"/>
      <sheetName val="갑(계장)"/>
      <sheetName val="자재단가비교표"/>
      <sheetName val="공사비집계"/>
      <sheetName val="일위대가(1)"/>
      <sheetName val="단가산출서"/>
      <sheetName val="일괄인쇄"/>
      <sheetName val="기자재비"/>
      <sheetName val="현장관리비"/>
      <sheetName val="여과지동"/>
      <sheetName val="기초자료"/>
      <sheetName val="설계내역서"/>
      <sheetName val="Macro2"/>
      <sheetName val="Macro1"/>
      <sheetName val="SG"/>
      <sheetName val="산수배수"/>
      <sheetName val="저"/>
      <sheetName val="본공사"/>
      <sheetName val="수량산출"/>
      <sheetName val="인력터파기품"/>
      <sheetName val="투찰내역"/>
      <sheetName val="b_balju"/>
      <sheetName val="일위대가(계측기설치)"/>
      <sheetName val="맨홀수량산출"/>
      <sheetName val="노임단가"/>
      <sheetName val="Total"/>
      <sheetName val="WORK"/>
      <sheetName val="2"/>
      <sheetName val="가로등기초"/>
      <sheetName val="PAD TR보호대기초"/>
      <sheetName val="산출근거"/>
      <sheetName val="안양동교 1안"/>
      <sheetName val=" HIT-&gt;HMC 견적(3900)"/>
      <sheetName val="부하계산서"/>
      <sheetName val="설계조건"/>
      <sheetName val="단가대비표"/>
      <sheetName val="시화점실행"/>
      <sheetName val="내역"/>
      <sheetName val="Sheet2"/>
      <sheetName val="B1(반포1차)"/>
      <sheetName val="단위수량"/>
      <sheetName val="식재"/>
      <sheetName val="시설물"/>
      <sheetName val="식재출력용"/>
      <sheetName val="유지관리"/>
      <sheetName val="단가"/>
      <sheetName val="터파기및재료"/>
      <sheetName val="원가서"/>
      <sheetName val="기본단가"/>
      <sheetName val="유치원내역"/>
      <sheetName val="기본단가표"/>
      <sheetName val="22인공"/>
      <sheetName val="연습"/>
      <sheetName val="단위중량"/>
      <sheetName val="토공실행"/>
      <sheetName val="설계예시"/>
      <sheetName val="인원"/>
      <sheetName val="원가"/>
      <sheetName val="공사비예산서"/>
      <sheetName val="노무"/>
      <sheetName val="Y-WORK"/>
      <sheetName val="b_balju (2)"/>
      <sheetName val="b_gunmul"/>
      <sheetName val="준검 내역서"/>
      <sheetName val="간접비계산"/>
      <sheetName val="예산총괄"/>
      <sheetName val="노무비"/>
      <sheetName val="BID"/>
      <sheetName val="실행대비"/>
      <sheetName val="CTEMCOST"/>
      <sheetName val="현장관리비 산출내역"/>
      <sheetName val="Sheet3"/>
      <sheetName val="인원계획"/>
      <sheetName val="예산변경사항"/>
      <sheetName val="Baby일위대가"/>
      <sheetName val="하조서"/>
      <sheetName val="XL4Poppy"/>
      <sheetName val="포장공"/>
      <sheetName val="여암교"/>
      <sheetName val="참조"/>
      <sheetName val="가시설수량"/>
      <sheetName val="식음료"/>
      <sheetName val="대차"/>
      <sheetName val="집계표"/>
      <sheetName val="투자효율분석"/>
      <sheetName val="9509"/>
      <sheetName val="ABUT수량-A1"/>
      <sheetName val="BOX(1.5X1.5)"/>
      <sheetName val="자재일람"/>
      <sheetName val="1공구원가계산서"/>
      <sheetName val="토목단가"/>
      <sheetName val="철거산출근거"/>
      <sheetName val="견적"/>
      <sheetName val="총괄내역서"/>
      <sheetName val="개요"/>
      <sheetName val="본선"/>
      <sheetName val="도로포장면적산출(1)"/>
      <sheetName val="급수공사"/>
      <sheetName val="설계카드"/>
      <sheetName val="J"/>
      <sheetName val="일위목록"/>
      <sheetName val="Sheet5"/>
      <sheetName val="토공(1)"/>
      <sheetName val="차수공(1)"/>
      <sheetName val="97년 추정"/>
      <sheetName val="DATA입력"/>
      <sheetName val="단면상수 및 주빔설계"/>
      <sheetName val="3.공통공사대비"/>
      <sheetName val="골조시행"/>
      <sheetName val="5.공량산출서"/>
      <sheetName val="전선 및 전선관"/>
      <sheetName val="3련 BOX"/>
      <sheetName val="인건비"/>
      <sheetName val="4)유동표"/>
      <sheetName val="부하계산"/>
      <sheetName val="토목"/>
      <sheetName val="차액보증"/>
      <sheetName val="재료"/>
      <sheetName val="정부노임단가"/>
      <sheetName val="대림경상68억"/>
      <sheetName val="1유리"/>
      <sheetName val="식재인부"/>
      <sheetName val="2000년1차"/>
      <sheetName val="VXXXXXXX"/>
      <sheetName val="모델명"/>
      <sheetName val="A LINE"/>
      <sheetName val="예가표"/>
      <sheetName val="주소"/>
      <sheetName val="파이프류"/>
      <sheetName val="배관배선 단가조사"/>
      <sheetName val="일위대가집계"/>
      <sheetName val="도근좌표"/>
      <sheetName val="개소별수량산출"/>
      <sheetName val="중량산출"/>
      <sheetName val="조명율표"/>
      <sheetName val="Sheet13"/>
      <sheetName val="간선"/>
      <sheetName val="가로등내역서"/>
      <sheetName val="SP-B1"/>
      <sheetName val="인원DATA"/>
      <sheetName val="우성교간선"/>
      <sheetName val="일위_파일"/>
      <sheetName val="자재테이블"/>
      <sheetName val="정산내역"/>
      <sheetName val="일위대가(가설)"/>
      <sheetName val="단면치수"/>
      <sheetName val="제경비율"/>
      <sheetName val="가스"/>
      <sheetName val="집계"/>
      <sheetName val="목차"/>
      <sheetName val="Tot-sum"/>
      <sheetName val="간접(90)"/>
      <sheetName val="설비"/>
      <sheetName val="COPING"/>
      <sheetName val="표지 (2)"/>
      <sheetName val="목차임시"/>
      <sheetName val="견적대비"/>
      <sheetName val="감시제어"/>
      <sheetName val="J直材4"/>
      <sheetName val="제잡비산출내역"/>
      <sheetName val="공종"/>
      <sheetName val="A-4"/>
      <sheetName val="대치판정"/>
      <sheetName val="단가(자재)"/>
      <sheetName val="단가(노임)"/>
      <sheetName val="기초목록"/>
      <sheetName val="3월집계"/>
      <sheetName val="공사비증감"/>
      <sheetName val="1.수인터널"/>
      <sheetName val="일반공사"/>
      <sheetName val="그림모음"/>
      <sheetName val="조명시설"/>
      <sheetName val="Proposal"/>
      <sheetName val="금리계산"/>
      <sheetName val="PAY2002"/>
      <sheetName val="실행기초"/>
      <sheetName val="산출내역서집계표"/>
      <sheetName val="일위집계(기존)"/>
      <sheetName val="위치조서"/>
      <sheetName val="3BL공동구 수량"/>
      <sheetName val="1.적격점수"/>
      <sheetName val="기본설계기준"/>
      <sheetName val="본사인상전"/>
      <sheetName val="내역서(상세)"/>
      <sheetName val="심의위원명단"/>
      <sheetName val="노무비_근거"/>
      <sheetName val="관_자_제작비"/>
      <sheetName val="단가산출_(2)"/>
      <sheetName val="노무비_"/>
      <sheetName val="2_1__노무비_평균단가산출"/>
      <sheetName val="전차선로_물량표"/>
      <sheetName val="기술부_VENDOR_LIST"/>
      <sheetName val="화재_탐지_설비"/>
      <sheetName val="단가_및_재료비"/>
      <sheetName val="안양동교_1안"/>
      <sheetName val="_HIT-&gt;HMC_견적(3900)"/>
      <sheetName val="실행"/>
      <sheetName val="개거총"/>
      <sheetName val="200"/>
      <sheetName val="추가예산"/>
      <sheetName val="단가조사서"/>
      <sheetName val="기성내역"/>
      <sheetName val="기준"/>
      <sheetName val="단락전류-A"/>
      <sheetName val="중기일위대가"/>
      <sheetName val="인건비(VOICE)"/>
      <sheetName val="첨부1"/>
      <sheetName val="현장별"/>
      <sheetName val="명단"/>
      <sheetName val="공사비총괄표"/>
      <sheetName val="견적서갑지연속"/>
      <sheetName val="문학간접"/>
      <sheetName val="신우"/>
      <sheetName val="포장복구집계"/>
      <sheetName val="수량명세서"/>
      <sheetName val="투찰"/>
      <sheetName val="제진기"/>
      <sheetName val="FB25JN"/>
      <sheetName val="XXXXXX"/>
      <sheetName val="대비"/>
      <sheetName val="2.대외공문"/>
      <sheetName val="실행간접비"/>
      <sheetName val="TEMP1"/>
      <sheetName val="TEMP2"/>
      <sheetName val="BS"/>
      <sheetName val="PL"/>
      <sheetName val="IMP(MAIN)"/>
      <sheetName val="IMP (REACTOR)"/>
      <sheetName val="통신원가"/>
      <sheetName val="6.이토처리시간"/>
      <sheetName val="일위대가(총괄)"/>
      <sheetName val="시운전연료비"/>
      <sheetName val="선로정수"/>
      <sheetName val="일위대가목차"/>
      <sheetName val="단가조사-1"/>
      <sheetName val="단가조사-2"/>
      <sheetName val="우수공,맨홀,집수정"/>
      <sheetName val="주요항목별"/>
      <sheetName val="단가표"/>
      <sheetName val="DATA1"/>
      <sheetName val="비용"/>
      <sheetName val="기"/>
      <sheetName val="전선(총)"/>
      <sheetName val="IMPEADENCE MAP 취수장"/>
      <sheetName val="동력설비"/>
      <sheetName val="주beam"/>
      <sheetName val="1단계"/>
      <sheetName val="전국현황"/>
      <sheetName val="굴착현장"/>
      <sheetName val="½ÄÀçÃâ·Â¿ë"/>
      <sheetName val="½Ã¼³¹°"/>
      <sheetName val="½ÄÀç"/>
      <sheetName val="À¯Áö°ü¸®"/>
      <sheetName val="´Ü°¡"/>
      <sheetName val="전압강하계산"/>
      <sheetName val="부대공"/>
      <sheetName val="방호벽"/>
      <sheetName val="낙석방지책"/>
      <sheetName val="실행간접비용"/>
      <sheetName val="제출내역 (2)"/>
      <sheetName val="부대시설"/>
      <sheetName val="총괄표"/>
      <sheetName val="입찰견적보고서"/>
      <sheetName val="경비"/>
      <sheetName val="환경평가"/>
      <sheetName val="인구"/>
      <sheetName val="2공구하도급내역서"/>
      <sheetName val="2련간지"/>
      <sheetName val="간 지1"/>
      <sheetName val="유림총괄"/>
      <sheetName val="경산"/>
      <sheetName val="단가일람"/>
      <sheetName val="코드"/>
      <sheetName val="을 2"/>
      <sheetName val="을 1"/>
      <sheetName val="내역서(당초변경)"/>
      <sheetName val="조달청적격심사"/>
      <sheetName val="보할공정"/>
      <sheetName val="#2_일위대가목록"/>
      <sheetName val="1월"/>
      <sheetName val="CM 1"/>
      <sheetName val="신고조서"/>
      <sheetName val="원가계산서(변경)"/>
      <sheetName val="설 계"/>
      <sheetName val="인천제철"/>
      <sheetName val="송전재료비"/>
      <sheetName val="일반부표"/>
      <sheetName val="부표(010427)"/>
      <sheetName val="2002하반기노임기준"/>
      <sheetName val="Imp-Data"/>
      <sheetName val="관급자재"/>
      <sheetName val="공내역서"/>
      <sheetName val="조건표"/>
      <sheetName val="백암비스타내역"/>
      <sheetName val="대운반(철재)"/>
      <sheetName val="내   역"/>
      <sheetName val="내역서 "/>
      <sheetName val="통신물량"/>
      <sheetName val="FACTOR"/>
      <sheetName val="기계경비(시간당)"/>
      <sheetName val="5. 현장관리비(new) "/>
      <sheetName val="전기"/>
      <sheetName val="당정동경상이수"/>
      <sheetName val="당정동공통이수"/>
      <sheetName val="공정집계_국별"/>
      <sheetName val="철거 및 신설 노무비 산출내역"/>
      <sheetName val="설계서"/>
      <sheetName val="91"/>
      <sheetName val="71"/>
      <sheetName val="자재총괄"/>
      <sheetName val="전기공사"/>
      <sheetName val="Xunit (단위환산)"/>
      <sheetName val="입찰안"/>
      <sheetName val="1"/>
      <sheetName val="TEL"/>
      <sheetName val="3.2.1 마루높이결정"/>
      <sheetName val="인명부"/>
      <sheetName val="다곡2교"/>
      <sheetName val="수곡내역"/>
      <sheetName val="제경비"/>
      <sheetName val="6PILE  (돌출)"/>
      <sheetName val="96보완계획7.12"/>
      <sheetName val="공내역"/>
      <sheetName val="미장"/>
      <sheetName val="철골"/>
      <sheetName val="MAT"/>
      <sheetName val="대우단가(풍산)"/>
      <sheetName val="6월실적"/>
      <sheetName val="Testing"/>
      <sheetName val="손익분석"/>
      <sheetName val="공통가설"/>
      <sheetName val="TABLE"/>
      <sheetName val="공사비 내역 (가)"/>
      <sheetName val="견적정보"/>
      <sheetName val="사전총괄표"/>
      <sheetName val="CT"/>
      <sheetName val="지급자재"/>
      <sheetName val="하수급견적대비"/>
      <sheetName val="분전함신설"/>
      <sheetName val="접지1종"/>
      <sheetName val="현황정리"/>
      <sheetName val="48단가"/>
      <sheetName val="1.설계조건"/>
      <sheetName val="시점교대"/>
      <sheetName val="갑지(추정)"/>
      <sheetName val="안정계산"/>
      <sheetName val="단면검토"/>
      <sheetName val="BSD (2)"/>
      <sheetName val="기계경비적용기준"/>
      <sheetName val="BJJIN"/>
      <sheetName val="Sheet1 (2)"/>
      <sheetName val="횡배위치"/>
      <sheetName val="인입직관"/>
      <sheetName val="전기설계변경"/>
      <sheetName val="가중치"/>
      <sheetName val="차도조도계산"/>
      <sheetName val="기초단가"/>
      <sheetName val="가시설(TYPE-A)"/>
      <sheetName val="1호맨홀가감수량"/>
      <sheetName val="1-1평균터파기고(1)"/>
      <sheetName val="1호맨홀수량산출"/>
      <sheetName val="산근1"/>
      <sheetName val="일반수량총괄집계"/>
      <sheetName val="자료"/>
      <sheetName val="이설집계(1공구)"/>
      <sheetName val="DB"/>
      <sheetName val="부하표"/>
      <sheetName val="공정량산출내역서 "/>
      <sheetName val="00년재노경"/>
      <sheetName val="실행내역서 "/>
      <sheetName val="공사개요"/>
      <sheetName val="1차 내역서"/>
      <sheetName val="base"/>
      <sheetName val="표준차도부연장집계-ASP"/>
      <sheetName val="AS포장복구 "/>
      <sheetName val="남양내역"/>
      <sheetName val="98NS-N"/>
      <sheetName val="제잡비1"/>
      <sheetName val="NYS"/>
      <sheetName val="단 부"/>
      <sheetName val="MAIN_TABLE"/>
      <sheetName val="wall"/>
      <sheetName val="설계예산서(2_소천우회토목)"/>
      <sheetName val="기계경비"/>
      <sheetName val="특수선일위대가"/>
      <sheetName val="TYPE-A"/>
      <sheetName val="도면자료제출일정"/>
      <sheetName val="SLAB"/>
      <sheetName val="입력"/>
      <sheetName val="중기비"/>
      <sheetName val="12_일위대가"/>
      <sheetName val="ilch"/>
      <sheetName val="갑"/>
      <sheetName val="시약"/>
      <sheetName val="화설내"/>
      <sheetName val="한전분담금"/>
      <sheetName val="배수공"/>
      <sheetName val="영흥TL(UP,DOWN) "/>
      <sheetName val="남양주부대"/>
      <sheetName val="빌딩 안내"/>
      <sheetName val="주공 갑지"/>
      <sheetName val="단가조사"/>
      <sheetName val="의정부문예회관변경내역"/>
      <sheetName val="수정계획3"/>
      <sheetName val="Cash"/>
      <sheetName val="단가비교표_공통1"/>
      <sheetName val="수목데이타"/>
      <sheetName val="당초명세(평)"/>
      <sheetName val="월별수입"/>
      <sheetName val="가중치근거(조경)"/>
      <sheetName val="날개벽수량표"/>
      <sheetName val="맨홀수량산출(A-LINE)"/>
      <sheetName val="당사실시1"/>
      <sheetName val="설직재-1"/>
      <sheetName val="직노"/>
      <sheetName val="기성갑지"/>
      <sheetName val="공종별집계표(창고-52평)"/>
      <sheetName val="벽체면적당일위대가"/>
      <sheetName val="일대"/>
      <sheetName val="s"/>
      <sheetName val="사용자정의"/>
      <sheetName val="제품표준규격"/>
      <sheetName val="비대칭계수"/>
      <sheetName val="전동기 SPEC"/>
      <sheetName val="잔수량(작성)"/>
      <sheetName val="대비2"/>
      <sheetName val="건축공사"/>
      <sheetName val="원하대비"/>
      <sheetName val="원도급"/>
      <sheetName val="하도급"/>
      <sheetName val="bm(CIcable)"/>
      <sheetName val="도수로집계"/>
      <sheetName val="편성절차"/>
      <sheetName val="플랜트 설치"/>
      <sheetName val="건              축"/>
      <sheetName val="각종단가"/>
      <sheetName val="동우-견적서"/>
      <sheetName val="진주방향"/>
      <sheetName val="국내조달(통합-1)"/>
      <sheetName val="직접비"/>
      <sheetName val="전체도급"/>
      <sheetName val="98내역"/>
      <sheetName val="설계"/>
      <sheetName val="적용인원(지우지말것)"/>
      <sheetName val="Sheet4"/>
      <sheetName val="옥외등신설"/>
      <sheetName val="저케CV22신설"/>
      <sheetName val="저케CV38신설"/>
      <sheetName val="저케CV8신설"/>
      <sheetName val="접지3종"/>
      <sheetName val="직재"/>
      <sheetName val="중기사용료산출근거"/>
      <sheetName val="내역서2안"/>
      <sheetName val="단"/>
      <sheetName val="감액총괄표"/>
      <sheetName val="요율"/>
      <sheetName val="SW개발대상목록(기능점수)"/>
      <sheetName val="심사물량"/>
      <sheetName val="소야공정계획표"/>
      <sheetName val="자동제어"/>
      <sheetName val="2.펌프장(사급자재)"/>
      <sheetName val="배수관공"/>
      <sheetName val="총공사내역서"/>
      <sheetName val="증감내역서"/>
      <sheetName val="노무,재료"/>
      <sheetName val="sw1"/>
      <sheetName val="을지  (2)"/>
      <sheetName val="제잡비"/>
      <sheetName val="s.v"/>
      <sheetName val="옹벽"/>
      <sheetName val="약품공급2"/>
      <sheetName val="현장조사"/>
      <sheetName val="3층"/>
      <sheetName val="1층"/>
      <sheetName val="건축공사실행"/>
      <sheetName val="건축원가"/>
      <sheetName val="16-1"/>
      <sheetName val="G.R300경비"/>
      <sheetName val="교량"/>
      <sheetName val="일위집계표"/>
      <sheetName val="표지"/>
      <sheetName val="기준액"/>
      <sheetName val="내역서 (평창)"/>
      <sheetName val="(A)내역서"/>
      <sheetName val="소요자재"/>
      <sheetName val="세부내역서"/>
      <sheetName val="기초"/>
      <sheetName val="6호기"/>
      <sheetName val="수토공단위당"/>
      <sheetName val="견적내역"/>
      <sheetName val="건축내역서"/>
      <sheetName val="노무비(DB)"/>
      <sheetName val="산출및내역"/>
      <sheetName val="토사(PE)"/>
      <sheetName val="총괄"/>
      <sheetName val="국산화"/>
      <sheetName val="목록"/>
      <sheetName val="MCC제원"/>
      <sheetName val="허용전류-IEC DATA"/>
      <sheetName val="습지도저"/>
      <sheetName val="기타기기"/>
      <sheetName val="시설물일위"/>
      <sheetName val="가설공사"/>
      <sheetName val="단가결정"/>
      <sheetName val="내역아"/>
      <sheetName val="울타리"/>
      <sheetName val="토목을"/>
      <sheetName val="노임적용"/>
      <sheetName val="실행내역_원본"/>
      <sheetName val="대가표(품셈)"/>
      <sheetName val="설계명세서"/>
      <sheetName val="선급금신청서"/>
      <sheetName val="기계내역"/>
      <sheetName val="할증 "/>
      <sheetName val="신대방33(적용)"/>
      <sheetName val="보안등"/>
      <sheetName val="테이블"/>
      <sheetName val="5_공량산출서"/>
      <sheetName val="PAD_TR보호대기초"/>
      <sheetName val="준검_내역서"/>
      <sheetName val="현장관리비_산출내역"/>
      <sheetName val="97년_추정"/>
      <sheetName val="b_balju_(2)"/>
      <sheetName val="계약내역서"/>
      <sheetName val="100"/>
      <sheetName val="명일작업계획 (3)"/>
      <sheetName val="환산"/>
      <sheetName val="구분자"/>
      <sheetName val="익산-"/>
      <sheetName val="VOR설치(총괄)"/>
      <sheetName val="옥외인입"/>
      <sheetName val="동원(3)"/>
      <sheetName val="원가산출서"/>
      <sheetName val="AS복구"/>
      <sheetName val="중기터파기"/>
      <sheetName val="변수값"/>
      <sheetName val="중기상차"/>
      <sheetName val="버스운행안내"/>
      <sheetName val="자재대"/>
      <sheetName val="측량요율"/>
      <sheetName val="(포장)BOQ-실적공사"/>
      <sheetName val="설비단가표"/>
      <sheetName val="중기조종사 단위단가"/>
      <sheetName val="98수문일위"/>
      <sheetName val="교대(A1)"/>
      <sheetName val="sh1"/>
      <sheetName val="20관리비율"/>
      <sheetName val="02자재"/>
      <sheetName val="설치자재"/>
      <sheetName val="C.배수관공"/>
      <sheetName val="표층포설및다짐"/>
      <sheetName val="교통대책내역"/>
      <sheetName val="일위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조건"/>
      <sheetName val="열관류율"/>
      <sheetName val="First"/>
      <sheetName val="부하계산서"/>
      <sheetName val="Front"/>
      <sheetName val="wall"/>
      <sheetName val="히팅펌프"/>
      <sheetName val="에어콘선정"/>
      <sheetName val="팬"/>
      <sheetName val="form"/>
      <sheetName val="ZONE"/>
      <sheetName val="DATA"/>
      <sheetName val="총부하"/>
      <sheetName val="F.C.U ZONE집계"/>
      <sheetName val="냉온수기"/>
      <sheetName val="PAC 집계"/>
      <sheetName val="보일러&amp;응축수탱크"/>
      <sheetName val="폐열회수기"/>
      <sheetName val="급탕탱크"/>
      <sheetName val="저수조"/>
      <sheetName val="펌프"/>
      <sheetName val="FAN"/>
      <sheetName val="스프링클러(아파트)"/>
      <sheetName val="스프링클러마찰손실(아파트)"/>
      <sheetName val="옥내소화전(아파트)"/>
      <sheetName val="옥내소화전마찰손실(아파트)"/>
      <sheetName val="ZONE대화"/>
      <sheetName val="출력대화"/>
      <sheetName val="기초자료"/>
      <sheetName val="목차"/>
      <sheetName val="설계개요"/>
      <sheetName val="ZONE모듈"/>
      <sheetName val="Module4"/>
      <sheetName val="장비선정"/>
      <sheetName val="장비선정 (PAC)"/>
      <sheetName val="팬선정"/>
      <sheetName val="팬대화"/>
      <sheetName val="팬모듈"/>
      <sheetName val="공조기"/>
      <sheetName val="부하집계"/>
      <sheetName val="부하계산"/>
      <sheetName val="열관류대화"/>
      <sheetName val="관류_MACRO_1"/>
      <sheetName val="장비대화"/>
      <sheetName val="장비모듈"/>
      <sheetName val="Module1"/>
      <sheetName val="Module2"/>
      <sheetName val="Module3"/>
      <sheetName val="공조기대화(1)"/>
      <sheetName val="공조기대화(2)"/>
      <sheetName val="공조기대화(3)"/>
      <sheetName val="공조기모듈"/>
      <sheetName val="Dialog1"/>
      <sheetName val="Dialog2"/>
      <sheetName val="Dialog3"/>
      <sheetName val="Dialog4"/>
      <sheetName val="목차 "/>
      <sheetName val="온수보일러"/>
      <sheetName val="온수순환펌프"/>
      <sheetName val="급수펌프"/>
      <sheetName val="급탕탱크 "/>
      <sheetName val="급탕순환펌프"/>
      <sheetName val="급탕재순환펌프"/>
      <sheetName val="배수펌프1"/>
      <sheetName val="환기설비"/>
      <sheetName val="환기장비선정"/>
      <sheetName val="덕트"/>
      <sheetName val="송풍기"/>
      <sheetName val="덕트규격"/>
      <sheetName val="환기량"/>
      <sheetName val="TITLE"/>
      <sheetName val="차례"/>
      <sheetName val="급수입상"/>
      <sheetName val="급수횡주"/>
      <sheetName val="기계실배기팬"/>
      <sheetName val="옥외급수간선"/>
      <sheetName val="급수가압펌프"/>
      <sheetName val="급수감압밸브(미완성)"/>
      <sheetName val="옥내세대_감압변"/>
      <sheetName val="배수입상"/>
      <sheetName val="배수횡주"/>
      <sheetName val="소화배관"/>
      <sheetName val="소화양정"/>
      <sheetName val="1m당손실"/>
      <sheetName val="감압양정"/>
      <sheetName val="자동제어"/>
      <sheetName val="급수용 케미컬피더"/>
      <sheetName val="배기팬"/>
      <sheetName val="덕트크기"/>
      <sheetName val="참조영역"/>
      <sheetName val="(복지관)관류율"/>
      <sheetName val="면적계산"/>
      <sheetName val="난방부하계산서"/>
      <sheetName val="부하집계표"/>
      <sheetName val="난방관경"/>
      <sheetName val="보일러선정"/>
      <sheetName val="주민복지관상가위생 (2)"/>
      <sheetName val="3.위생부하 및 관경 (3)"/>
      <sheetName val="주민복지관(환기)"/>
      <sheetName val="상가위생"/>
      <sheetName val="공동구 규격"/>
      <sheetName val="공동구관로"/>
      <sheetName val="펌프실가대규격(미완성)"/>
      <sheetName val="배관두께"/>
      <sheetName val="장비용량 (1)"/>
      <sheetName val="장비용량(2)"/>
      <sheetName val="장비용량(3)"/>
      <sheetName val="장비용량 (4)"/>
      <sheetName val="장비용량 (5)"/>
      <sheetName val="장비용량 (6)"/>
      <sheetName val="장비사양"/>
      <sheetName val="설계사양"/>
      <sheetName val="서울,경기"/>
      <sheetName val="대구"/>
      <sheetName val="빙장비사양"/>
      <sheetName val="흡장비사양"/>
      <sheetName val="빙운전방식"/>
      <sheetName val="빙운전비"/>
      <sheetName val="흡운전방식"/>
      <sheetName val="흡운전비"/>
      <sheetName val="단순비교"/>
      <sheetName val="고정투자대조표"/>
      <sheetName val="지원내용"/>
      <sheetName val="database"/>
      <sheetName val="갑"/>
      <sheetName val="가격(장비)"/>
      <sheetName val="가격(축열조)"/>
      <sheetName val="가격(제어)"/>
      <sheetName val="노무(장비)"/>
      <sheetName val="견적(AFT갑지)"/>
      <sheetName val="내역서(AFT)"/>
      <sheetName val="원가+내역서"/>
      <sheetName val="멀티듀티원가 (2)"/>
      <sheetName val="전기집진기원가1"/>
      <sheetName val="전기집진기원가2"/>
      <sheetName val="C.E.R"/>
      <sheetName val="노무(배관)"/>
      <sheetName val="노무(제어)"/>
      <sheetName val="배관수량"/>
      <sheetName val="제어수량"/>
      <sheetName val="가격(배관)"/>
      <sheetName val="갑2"/>
      <sheetName val="건축개요"/>
      <sheetName val="AHU집계"/>
      <sheetName val="AHU-1"/>
      <sheetName val="AHU-2"/>
      <sheetName val="냉온수유니트"/>
      <sheetName val="냉각탑"/>
      <sheetName val="냉온수펌프"/>
      <sheetName val="냉각수펌프"/>
      <sheetName val="경유탱크"/>
      <sheetName val="PAC선정"/>
      <sheetName val="PAC-1"/>
      <sheetName val="PAC정압계산"/>
      <sheetName val="FCU선정"/>
      <sheetName val="고가수조"/>
      <sheetName val="FAN정압계산-1"/>
      <sheetName val="조건표"/>
      <sheetName val="보일러"/>
      <sheetName val="보일러보급수펌프"/>
      <sheetName val="펌프(급탕)"/>
      <sheetName val="환기(최종)"/>
      <sheetName val="풍량"/>
      <sheetName val="냉온수기용"/>
      <sheetName val="수형군"/>
      <sheetName val="계산서"/>
      <sheetName val="수목표준대가"/>
      <sheetName val="금호"/>
      <sheetName val="데이타"/>
      <sheetName val="난방설비"/>
      <sheetName val="PUMP"/>
      <sheetName val="개요"/>
      <sheetName val="조건"/>
      <sheetName val="실별부하집계"/>
      <sheetName val="방열기"/>
      <sheetName val="시스템에어컨"/>
      <sheetName val="팽창탱크"/>
      <sheetName val="HWG"/>
      <sheetName val="급탕"/>
      <sheetName val="환기"/>
      <sheetName val="전열교환기"/>
      <sheetName val="부하계산서(1층)"/>
      <sheetName val="부하계산서(2층)"/>
      <sheetName val="표지 (2)"/>
      <sheetName val="표지 (3)"/>
      <sheetName val="표지 (4)"/>
      <sheetName val="급탕부하"/>
      <sheetName val="1.급수설비"/>
      <sheetName val="4)급수펌프"/>
      <sheetName val="Sheet1"/>
      <sheetName val="3.배수펌프"/>
      <sheetName val="2.환기설비"/>
      <sheetName val="3).정압계산"/>
      <sheetName val="3)장비선정"/>
      <sheetName val="Sheet3"/>
      <sheetName val="Sheet4"/>
      <sheetName val="Sheet4 (2)"/>
      <sheetName val="AHU-3"/>
      <sheetName val="ATU-1"/>
      <sheetName val="HVU계산"/>
      <sheetName val="HVU-1"/>
      <sheetName val="개요및설계기준"/>
      <sheetName val="열원설비"/>
      <sheetName val="우수및배수"/>
      <sheetName val="위생설비"/>
      <sheetName val="주차장"/>
      <sheetName val="참고자료(AD)"/>
      <sheetName val="1.설계조건"/>
      <sheetName val="2.부하집계"/>
      <sheetName val="3.열원설비"/>
      <sheetName val="4.위생"/>
      <sheetName val="5.펌프선정"/>
      <sheetName val="6.환기"/>
      <sheetName val="7.AHU"/>
      <sheetName val="8.항온항습기"/>
      <sheetName val="laroux"/>
      <sheetName val="계산표지"/>
      <sheetName val="기준자료"/>
      <sheetName val="TR"/>
      <sheetName val="GEN"/>
      <sheetName val="SS수배전"/>
      <sheetName val="단위세대"/>
      <sheetName val="동공용"/>
      <sheetName val="부대복리"/>
      <sheetName val="비상.동력"/>
      <sheetName val="상가"/>
      <sheetName val="세로내간선"/>
      <sheetName val="세로외간선"/>
      <sheetName val="비상일반"/>
      <sheetName val="세동별비상"/>
      <sheetName val="LX"/>
      <sheetName val="전력사다리"/>
      <sheetName val="전화사다리"/>
      <sheetName val="Tel"/>
      <sheetName val="PA"/>
      <sheetName val="Sheet15"/>
      <sheetName val="Sheet16"/>
      <sheetName val="케이블적용자료"/>
      <sheetName val="장비"/>
      <sheetName val="휀코일사양"/>
      <sheetName val="공조기용휀"/>
      <sheetName val="실별 부하"/>
      <sheetName val="1설계"/>
      <sheetName val="2장비"/>
      <sheetName val="공조용펌프"/>
      <sheetName val="급수 유량"/>
      <sheetName val="배수설비"/>
      <sheetName val="1변압기용량"/>
      <sheetName val="2부하집계"/>
      <sheetName val="2부하LIST"/>
      <sheetName val="4MCC용량"/>
      <sheetName val="5직류전원"/>
      <sheetName val="6콘덴서용량"/>
      <sheetName val="7간선케이블"/>
      <sheetName val="7분기케이블"/>
      <sheetName val="8조도계산서"/>
      <sheetName val="PRINTER"/>
      <sheetName val="4차단기선정"/>
      <sheetName val="9정보통신"/>
      <sheetName val="L-LIST"/>
      <sheetName val="CableSchedule"/>
      <sheetName val="CABLE개요"/>
      <sheetName val="9정보통신 (2)"/>
      <sheetName val="sdata"/>
      <sheetName val="Cable Size(설명)"/>
      <sheetName val="콘덴서"/>
      <sheetName val="DATA1"/>
      <sheetName val="CABdata"/>
      <sheetName val="Imp-Data"/>
      <sheetName val="COPING"/>
      <sheetName val="부표총괄"/>
      <sheetName val="설계명세서"/>
      <sheetName val="첨부파일"/>
      <sheetName val="지열"/>
      <sheetName val="내역서"/>
      <sheetName val="일위대가"/>
      <sheetName val="VXXXXXX"/>
      <sheetName val="설계조건1"/>
      <sheetName val="설계조건2"/>
      <sheetName val="부하계산(1)"/>
      <sheetName val="부하계산(2)"/>
      <sheetName val="부하계산(3)"/>
      <sheetName val="부하계산(4)"/>
      <sheetName val="급수설비 (2)"/>
      <sheetName val="급수기구"/>
      <sheetName val="급탕설비 (2)"/>
      <sheetName val="보일러 (2)"/>
      <sheetName val="배기휀-1"/>
      <sheetName val="지하주차장"/>
      <sheetName val="AHU"/>
      <sheetName val="가스냉온풍기"/>
      <sheetName val="온풍기"/>
      <sheetName val="전기온풍기+방열기"/>
      <sheetName val="응축수탱크"/>
      <sheetName val="4.환기설비"/>
      <sheetName val="2).정압계산"/>
      <sheetName val="4)주차장환기"/>
      <sheetName val="SIL98"/>
      <sheetName val="변압기용량"/>
      <sheetName val="전압조건"/>
      <sheetName val="전압강하계산서"/>
      <sheetName val="부하조건"/>
      <sheetName val="부하계산서(전등,전열)"/>
      <sheetName val="부하계산서(동력)"/>
      <sheetName val="조도계산서"/>
      <sheetName val="발전기부하"/>
      <sheetName val="발전기"/>
      <sheetName val="붙임#3-1"/>
      <sheetName val="부하계산서(59A)"/>
      <sheetName val="펌프배점"/>
      <sheetName val="급배기팬"/>
      <sheetName val="환기량-1(지하2)"/>
      <sheetName val=" 송풍기-1(지하2)"/>
      <sheetName val="환기량-1 (지하1)"/>
      <sheetName val=" 송풍기-1 (지하1)"/>
      <sheetName val="가중평균"/>
      <sheetName val="주7)"/>
      <sheetName val="배수펌프"/>
      <sheetName val="주차장환기-1"/>
      <sheetName val="주차장환기-2"/>
      <sheetName val="송풍기-1 "/>
      <sheetName val="송풍기-2"/>
      <sheetName val="전기붙임#8 "/>
      <sheetName val="고효율 전동기 적용여부"/>
      <sheetName val="입찰안"/>
      <sheetName val="Sheet5"/>
      <sheetName val="변경내역"/>
      <sheetName val="설계서(본관)"/>
      <sheetName val="VXXXXX"/>
      <sheetName val="세대별부하계산표"/>
      <sheetName val="단위세대부하계산"/>
      <sheetName val="오.배수탱크"/>
      <sheetName val="저수조 (2)"/>
      <sheetName val="펌프 (2)"/>
      <sheetName val="송풍기 (2)"/>
      <sheetName val="제1장 환기설비"/>
      <sheetName val="1.풍량선정"/>
      <sheetName val="2.휀선정"/>
      <sheetName val="제2장 위생설비"/>
      <sheetName val="1-1 급수량 선정"/>
      <sheetName val="1-2 급수펌프 용량 선정"/>
      <sheetName val="2.PUMP"/>
      <sheetName val="단지개요"/>
      <sheetName val="건설규모"/>
      <sheetName val="열량집계"/>
      <sheetName val="열량집계(3-가)-2"/>
      <sheetName val="연결열부하"/>
      <sheetName val="연결열부하(3-나)-2"/>
      <sheetName val="기계실장비"/>
      <sheetName val="기계실장비(3-다)-2"/>
      <sheetName val="설계기준 (4)"/>
      <sheetName val="난열교환기(5-가)"/>
      <sheetName val="급열교환기(5-나)"/>
      <sheetName val="케미컬피더(6-가)"/>
      <sheetName val="케미컬피더(급수)"/>
      <sheetName val="탈기장치(6-나)"/>
      <sheetName val="신축접수(7)"/>
      <sheetName val="1차압자동(8-가-1)"/>
      <sheetName val="온도조절V(8-다)"/>
      <sheetName val="1중온수(9-가)"/>
      <sheetName val="난방 2차측(9-나)"/>
      <sheetName val="급탕환탕관경(9-다)"/>
      <sheetName val="급탕보급(9-라)"/>
      <sheetName val="급수배관경(9-마)"/>
      <sheetName val="소화배관(9-바)"/>
      <sheetName val="형별발주관경(9-사)"/>
      <sheetName val="펌프선정(10-가)"/>
      <sheetName val="난방펌프(10-나)"/>
      <sheetName val="급탕펌프(10-다)"/>
      <sheetName val="급수펌프(10-라)"/>
      <sheetName val="급수감압밸브(3-가-5)"/>
      <sheetName val="구간별저항검토(급수1F기준)"/>
      <sheetName val="잔류압력검토(급수공동구구간)"/>
      <sheetName val="잔류압력검토(급수PITF기준)"/>
      <sheetName val="잔류압력검토(급수1F기준)"/>
      <sheetName val="배기팬(11)"/>
      <sheetName val="덕트 및 배기그릴선정"/>
      <sheetName val="자동제어관제점(12)"/>
      <sheetName val="지하주차장 가대규격(13)"/>
      <sheetName val="펌프,기계실가대규격"/>
      <sheetName val="공동구규격"/>
      <sheetName val="붙임-난방관수기계"/>
      <sheetName val="붙임-난방관수량"/>
      <sheetName val="붙임-난방양정1"/>
      <sheetName val="붙임-난방양정2"/>
      <sheetName val="붙임-난방양정(저층)3"/>
      <sheetName val="붙임-난방양정(고층)3"/>
      <sheetName val="붙임-급탕양정"/>
      <sheetName val="붙임-옥내급탕양정"/>
      <sheetName val="유량DATA(참고)"/>
      <sheetName val="배관별두께"/>
      <sheetName val="난방data"/>
      <sheetName val="위생data"/>
      <sheetName val="4.2.열관류율"/>
      <sheetName val="4.3비난방온도"/>
      <sheetName val="4-4.평형별 면적계산"/>
      <sheetName val="4.6방열기"/>
      <sheetName val="1설계조건2설계기준"/>
      <sheetName val="3.난방부하집계,4.연결열부하부하"/>
      <sheetName val="5장비선정"/>
      <sheetName val="2)온수순환펌프"/>
      <sheetName val="6.1차압자동"/>
      <sheetName val="1차측 PDCV"/>
      <sheetName val="2차차압밸브"/>
      <sheetName val="온도조절V"/>
      <sheetName val="2차측 PDCV"/>
      <sheetName val="7.팽창기체분리기"/>
      <sheetName val="101,104,106,107동(저),경로당난방용"/>
      <sheetName val="101,104,106,107동(중)난방용"/>
      <sheetName val="101,104,106,107동(고)난방용"/>
      <sheetName val="102,103,105,108,동(저),보육시설난방용"/>
      <sheetName val="102,103,105,108,동(중)난방용"/>
      <sheetName val="102,103,105,108,동(고)난방용"/>
      <sheetName val="장비표기법"/>
      <sheetName val="3.급탕부하집계"/>
      <sheetName val="2.급탕설비"/>
      <sheetName val="3)급탕순환펌프"/>
      <sheetName val="지하주차장 환기량"/>
      <sheetName val="Ⅳ.가스설비"/>
      <sheetName val="동시사용율표"/>
      <sheetName val="공식"/>
      <sheetName val="관경표"/>
      <sheetName val="2.급수펌프"/>
      <sheetName val="3.급탕부하 "/>
      <sheetName val="4.배수펌프"/>
      <sheetName val="장비선정(급기) "/>
      <sheetName val="장비선정(배기)"/>
      <sheetName val="A zone"/>
      <sheetName val="B zone"/>
      <sheetName val="5.가스"/>
      <sheetName val="동별유량 "/>
      <sheetName val="6.부하계산"/>
      <sheetName val="base"/>
      <sheetName val="빙설"/>
      <sheetName val="상업시설 냉방용"/>
      <sheetName val="영화관 냉, 난방용"/>
      <sheetName val="빙축열 냉방용"/>
      <sheetName val="흡장비炬┪"/>
      <sheetName val="표 지"/>
      <sheetName val="일반부하"/>
      <sheetName val="동력,MCC"/>
      <sheetName val="간 선"/>
      <sheetName val="변압기"/>
      <sheetName val="발전기(갑)"/>
      <sheetName val="발전기(을)"/>
      <sheetName val="조 도"/>
      <sheetName val="전화회선"/>
      <sheetName val="방송 AMP"/>
      <sheetName val="TV전계강도"/>
      <sheetName val="Macro(차단기)"/>
      <sheetName val="Macro(전선)"/>
      <sheetName val="Macro(전동기)"/>
      <sheetName val="laroux1"/>
      <sheetName val="열교환기"/>
      <sheetName val="가열코일"/>
      <sheetName val="펌프류"/>
      <sheetName val="팬류"/>
      <sheetName val="아파트_저수조"/>
      <sheetName val="일반_저수조"/>
      <sheetName val="순간온수기"/>
      <sheetName val="주방 개별보일러"/>
      <sheetName val="냉난방부하집계"/>
      <sheetName val="시스템에어콘선정"/>
      <sheetName val="가스탱크"/>
      <sheetName val="000000"/>
      <sheetName val="XXXXXX"/>
      <sheetName val="Recovered_Sheet1"/>
      <sheetName val="시방서표지"/>
      <sheetName val="전체표지 "/>
      <sheetName val="1.건축개요"/>
      <sheetName val="2.설계조건-1"/>
      <sheetName val="설계조건-2"/>
      <sheetName val="3.부하집계 "/>
      <sheetName val="관류보일러"/>
      <sheetName val="난방열교환기(스팀)"/>
      <sheetName val="4.위생설비"/>
      <sheetName val="펌프류 "/>
      <sheetName val="5.1환기설비"/>
      <sheetName val="휀류"/>
      <sheetName val="6.가스설비"/>
      <sheetName val="관경선정_2"/>
      <sheetName val="관경선정_3"/>
      <sheetName val="주차장환기"/>
      <sheetName val="7.관경선정_1"/>
      <sheetName val="시방서"/>
      <sheetName val="FU"/>
      <sheetName val="DATA_K"/>
      <sheetName val="사양"/>
      <sheetName val="e_0512"/>
      <sheetName val="Sizing"/>
      <sheetName val="PAC"/>
      <sheetName val="급수사용량"/>
      <sheetName val="급,배기팬"/>
      <sheetName val="변압기(동력)"/>
      <sheetName val="발전기(갑지)"/>
      <sheetName val="발전기(을지)"/>
      <sheetName val="세대부하"/>
      <sheetName val="동력(기계실)"/>
      <sheetName val="전압강하(주간선)"/>
      <sheetName val="원가계산서(남측)"/>
      <sheetName val="하조서"/>
      <sheetName val="OHU"/>
      <sheetName val="설비개요"/>
      <sheetName val="냉동기"/>
      <sheetName val="냉각탑1"/>
      <sheetName val="냉수펌프"/>
      <sheetName val="FCU선정 (2)"/>
      <sheetName val="보일러(증기)"/>
      <sheetName val="온수펌프"/>
      <sheetName val="유량"/>
      <sheetName val="일반실"/>
      <sheetName val="화장실"/>
      <sheetName val="판매시설"/>
      <sheetName val="노무단가"/>
      <sheetName val="6.1 급수설비"/>
      <sheetName val="빙100장비사양"/>
      <sheetName val="토목주소"/>
      <sheetName val="#REF"/>
      <sheetName val="식재인부"/>
      <sheetName val="조건입력"/>
      <sheetName val="조건입력(2)"/>
      <sheetName val="가-1지역(집계)"/>
      <sheetName val="가-2"/>
      <sheetName val="나-1,2"/>
      <sheetName val="영외숙소"/>
      <sheetName val="A-시설"/>
      <sheetName val="B-시설"/>
      <sheetName val="병영생활관"/>
      <sheetName val="복지시설"/>
      <sheetName val="D-시설"/>
      <sheetName val="DROP"/>
      <sheetName val="LN-M"/>
      <sheetName val="LN-2"/>
      <sheetName val="LN-2A"/>
      <sheetName val="LN-K"/>
      <sheetName val="MCP-F"/>
      <sheetName val="MCCDATA"/>
      <sheetName val="CURRENT"/>
      <sheetName val="첨부1-1"/>
      <sheetName val="내역"/>
      <sheetName val="포장복구집계"/>
      <sheetName val="납부서"/>
      <sheetName val="대비"/>
      <sheetName val="9811"/>
      <sheetName val="준검 내역서"/>
      <sheetName val="기초단가"/>
      <sheetName val="정부노임단가"/>
      <sheetName val="설계"/>
      <sheetName val="을지"/>
      <sheetName val="프랜트면허"/>
      <sheetName val="7.경제성결과"/>
      <sheetName val="일위대가표"/>
      <sheetName val="패널"/>
      <sheetName val="밸브설치"/>
      <sheetName val="단가조사"/>
      <sheetName val="관음목장(제출용)자105인97.5"/>
      <sheetName val="수목데이타 "/>
      <sheetName val="98지급계획"/>
      <sheetName val="품셈TABLE"/>
      <sheetName val="ABUT수량-A1"/>
      <sheetName val="실행철강하도"/>
      <sheetName val="소일위대가코드표"/>
      <sheetName val="기초일위"/>
      <sheetName val="시설일위"/>
      <sheetName val="조명일위"/>
      <sheetName val="시화점실행"/>
      <sheetName val="자재단가비교표"/>
      <sheetName val="남대문빌딩"/>
      <sheetName val="견적서"/>
      <sheetName val="전기공사"/>
      <sheetName val="자재단가"/>
      <sheetName val="경비"/>
      <sheetName val="원가"/>
      <sheetName val="냉난방(실별부하)"/>
      <sheetName val="난방(실별부하)"/>
      <sheetName val="냉온수기집계 및 선정"/>
      <sheetName val="보일러집계 및 선정"/>
      <sheetName val="냉난방용펌프선정"/>
      <sheetName val="급수설비"/>
      <sheetName val="급수펌프선정"/>
      <sheetName val="급탕설비"/>
      <sheetName val="배수펌프선정(집수정,우수)"/>
      <sheetName val="VXXXXXXXXXXXXXX"/>
      <sheetName val="★표지"/>
      <sheetName val="조건 "/>
      <sheetName val="집계-new"/>
      <sheetName val="집계"/>
      <sheetName val="아파트-new"/>
      <sheetName val="보일러-new"/>
      <sheetName val="아파트"/>
      <sheetName val="급수"/>
      <sheetName val="4.2.3동지하횡주관경-실시때작업"/>
      <sheetName val="4.2.4 옥외횡주관경-실시때작업"/>
      <sheetName val="배수-NEW"/>
      <sheetName val="환기 "/>
      <sheetName val="자료"/>
      <sheetName val="설계기준"/>
      <sheetName val="환기조화기"/>
      <sheetName val="냉온수기관련"/>
      <sheetName val="보일러관련"/>
      <sheetName val="변압기 및 발전기 용량"/>
      <sheetName val="Ⅰ.도면리스트"/>
      <sheetName val="Ⅱ.설계기준"/>
      <sheetName val="Ⅲ.체크리스트"/>
      <sheetName val="4.시스템냉난방용량"/>
      <sheetName val="전등-전열"/>
      <sheetName val="동 력"/>
      <sheetName val="MCC"/>
      <sheetName val="Sheet1 (2)"/>
      <sheetName val="Sheet2"/>
      <sheetName val="조명율표"/>
      <sheetName val="11.자재단가"/>
      <sheetName val="Load-Sum(클럽)"/>
      <sheetName val="AH-1 "/>
      <sheetName val="순환펌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2">
          <cell r="C2" t="str">
            <v>방위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30">
          <cell r="A30">
            <v>0</v>
          </cell>
          <cell r="B30">
            <v>30</v>
          </cell>
          <cell r="C30">
            <v>100</v>
          </cell>
          <cell r="D30">
            <v>400</v>
          </cell>
          <cell r="E30" t="str">
            <v>100AF/30AT</v>
          </cell>
          <cell r="H30">
            <v>5</v>
          </cell>
        </row>
        <row r="31">
          <cell r="A31">
            <v>30.1</v>
          </cell>
          <cell r="B31">
            <v>30</v>
          </cell>
          <cell r="C31">
            <v>100</v>
          </cell>
          <cell r="D31">
            <v>400</v>
          </cell>
          <cell r="E31" t="str">
            <v>100AF/30AT</v>
          </cell>
          <cell r="H31">
            <v>10</v>
          </cell>
        </row>
        <row r="32">
          <cell r="A32">
            <v>40.1</v>
          </cell>
          <cell r="B32">
            <v>40</v>
          </cell>
          <cell r="C32">
            <v>100</v>
          </cell>
          <cell r="D32">
            <v>400</v>
          </cell>
          <cell r="E32" t="str">
            <v>100AF/40AT</v>
          </cell>
          <cell r="H32">
            <v>0</v>
          </cell>
          <cell r="I32">
            <v>15</v>
          </cell>
        </row>
        <row r="33">
          <cell r="A33">
            <v>50.1</v>
          </cell>
          <cell r="B33">
            <v>50</v>
          </cell>
          <cell r="C33">
            <v>100</v>
          </cell>
          <cell r="D33">
            <v>400</v>
          </cell>
          <cell r="E33" t="str">
            <v>100AF/50AT</v>
          </cell>
          <cell r="H33">
            <v>15.1</v>
          </cell>
          <cell r="I33">
            <v>20</v>
          </cell>
        </row>
        <row r="34">
          <cell r="A34">
            <v>60.1</v>
          </cell>
          <cell r="B34">
            <v>60</v>
          </cell>
          <cell r="C34">
            <v>100</v>
          </cell>
          <cell r="D34">
            <v>400</v>
          </cell>
          <cell r="E34" t="str">
            <v>100AF/60AT</v>
          </cell>
          <cell r="H34">
            <v>20.100000000000001</v>
          </cell>
          <cell r="I34">
            <v>25</v>
          </cell>
        </row>
        <row r="35">
          <cell r="A35">
            <v>75.099999999999994</v>
          </cell>
          <cell r="B35">
            <v>75</v>
          </cell>
          <cell r="C35">
            <v>100</v>
          </cell>
          <cell r="D35">
            <v>400</v>
          </cell>
          <cell r="E35" t="str">
            <v>100AF/75AT</v>
          </cell>
          <cell r="H35">
            <v>25.1</v>
          </cell>
          <cell r="I35">
            <v>30</v>
          </cell>
        </row>
        <row r="36">
          <cell r="A36">
            <v>100.1</v>
          </cell>
          <cell r="B36">
            <v>100</v>
          </cell>
          <cell r="C36">
            <v>100</v>
          </cell>
          <cell r="D36">
            <v>400</v>
          </cell>
          <cell r="E36" t="str">
            <v>100AF/100AT</v>
          </cell>
          <cell r="H36">
            <v>30.1</v>
          </cell>
          <cell r="I36">
            <v>40</v>
          </cell>
        </row>
        <row r="37">
          <cell r="A37">
            <v>125.1</v>
          </cell>
          <cell r="B37">
            <v>125</v>
          </cell>
          <cell r="C37">
            <v>225</v>
          </cell>
          <cell r="D37">
            <v>400</v>
          </cell>
          <cell r="E37" t="str">
            <v>225AF/125AT</v>
          </cell>
          <cell r="H37">
            <v>40.1</v>
          </cell>
          <cell r="I37">
            <v>50</v>
          </cell>
        </row>
        <row r="38">
          <cell r="A38">
            <v>150.1</v>
          </cell>
          <cell r="B38">
            <v>150</v>
          </cell>
          <cell r="C38">
            <v>225</v>
          </cell>
          <cell r="D38">
            <v>400</v>
          </cell>
          <cell r="E38" t="str">
            <v>225AF/150AT</v>
          </cell>
          <cell r="H38">
            <v>50.1</v>
          </cell>
          <cell r="I38">
            <v>60</v>
          </cell>
        </row>
        <row r="39">
          <cell r="A39">
            <v>175.1</v>
          </cell>
          <cell r="B39">
            <v>175</v>
          </cell>
          <cell r="C39">
            <v>225</v>
          </cell>
          <cell r="D39">
            <v>400</v>
          </cell>
          <cell r="E39" t="str">
            <v>225AF/175AT</v>
          </cell>
          <cell r="H39">
            <v>60.1</v>
          </cell>
          <cell r="I39">
            <v>75</v>
          </cell>
        </row>
        <row r="40">
          <cell r="A40">
            <v>200.1</v>
          </cell>
          <cell r="B40">
            <v>200</v>
          </cell>
          <cell r="C40">
            <v>225</v>
          </cell>
          <cell r="D40">
            <v>400</v>
          </cell>
          <cell r="E40" t="str">
            <v>225AF/200AT</v>
          </cell>
          <cell r="H40">
            <v>75.099999999999994</v>
          </cell>
          <cell r="I40">
            <v>80</v>
          </cell>
        </row>
        <row r="41">
          <cell r="A41">
            <v>225.1</v>
          </cell>
          <cell r="B41">
            <v>225</v>
          </cell>
          <cell r="C41">
            <v>225</v>
          </cell>
          <cell r="D41">
            <v>600</v>
          </cell>
          <cell r="E41" t="str">
            <v>225AF/225AT</v>
          </cell>
          <cell r="H41">
            <v>80.099999999999994</v>
          </cell>
          <cell r="I41">
            <v>100</v>
          </cell>
        </row>
        <row r="42">
          <cell r="A42">
            <v>250.1</v>
          </cell>
          <cell r="B42">
            <v>250</v>
          </cell>
          <cell r="C42">
            <v>400</v>
          </cell>
          <cell r="D42">
            <v>600</v>
          </cell>
          <cell r="E42" t="str">
            <v>400AF/250AT</v>
          </cell>
          <cell r="H42">
            <v>100.1</v>
          </cell>
          <cell r="I42">
            <v>120</v>
          </cell>
        </row>
        <row r="43">
          <cell r="A43">
            <v>300.10000000000002</v>
          </cell>
          <cell r="B43">
            <v>300</v>
          </cell>
          <cell r="C43">
            <v>400</v>
          </cell>
          <cell r="D43">
            <v>600</v>
          </cell>
          <cell r="E43" t="str">
            <v>400AF/300AT</v>
          </cell>
          <cell r="H43">
            <v>120.1</v>
          </cell>
          <cell r="I43">
            <v>150</v>
          </cell>
        </row>
        <row r="44">
          <cell r="A44">
            <v>350.1</v>
          </cell>
          <cell r="B44">
            <v>350</v>
          </cell>
          <cell r="C44">
            <v>400</v>
          </cell>
          <cell r="D44">
            <v>600</v>
          </cell>
          <cell r="E44" t="str">
            <v>400AF/350AT</v>
          </cell>
          <cell r="H44">
            <v>150.1</v>
          </cell>
          <cell r="I44">
            <v>200</v>
          </cell>
        </row>
        <row r="45">
          <cell r="A45">
            <v>400.1</v>
          </cell>
          <cell r="B45">
            <v>400</v>
          </cell>
          <cell r="C45">
            <v>400</v>
          </cell>
          <cell r="D45">
            <v>800</v>
          </cell>
          <cell r="E45" t="str">
            <v>400AF/400AT</v>
          </cell>
          <cell r="H45">
            <v>200.1</v>
          </cell>
          <cell r="I45">
            <v>250</v>
          </cell>
        </row>
        <row r="46">
          <cell r="A46">
            <v>450.1</v>
          </cell>
          <cell r="B46">
            <v>450</v>
          </cell>
          <cell r="C46">
            <v>600</v>
          </cell>
          <cell r="D46">
            <v>800</v>
          </cell>
          <cell r="E46" t="str">
            <v>600AF/450AT</v>
          </cell>
          <cell r="H46">
            <v>250.1</v>
          </cell>
          <cell r="I46">
            <v>300</v>
          </cell>
        </row>
        <row r="47">
          <cell r="A47">
            <v>500.1</v>
          </cell>
          <cell r="B47">
            <v>500</v>
          </cell>
          <cell r="C47">
            <v>600</v>
          </cell>
          <cell r="D47">
            <v>800</v>
          </cell>
          <cell r="E47" t="str">
            <v>600AF/500AT</v>
          </cell>
          <cell r="H47">
            <v>300.10000000000002</v>
          </cell>
          <cell r="I47">
            <v>400</v>
          </cell>
        </row>
        <row r="48">
          <cell r="A48">
            <v>600.1</v>
          </cell>
          <cell r="B48">
            <v>600</v>
          </cell>
          <cell r="C48">
            <v>600</v>
          </cell>
          <cell r="D48">
            <v>1000</v>
          </cell>
          <cell r="E48" t="str">
            <v>600AF/600AT</v>
          </cell>
          <cell r="H48">
            <v>400.1</v>
          </cell>
          <cell r="I48">
            <v>500</v>
          </cell>
        </row>
        <row r="49">
          <cell r="A49">
            <v>700.1</v>
          </cell>
          <cell r="B49">
            <v>700</v>
          </cell>
          <cell r="C49">
            <v>800</v>
          </cell>
          <cell r="D49">
            <v>1000</v>
          </cell>
          <cell r="E49" t="str">
            <v>800AF/700AT</v>
          </cell>
          <cell r="H49">
            <v>500.1</v>
          </cell>
          <cell r="I49">
            <v>600</v>
          </cell>
        </row>
        <row r="50">
          <cell r="A50">
            <v>800.1</v>
          </cell>
          <cell r="B50">
            <v>800</v>
          </cell>
          <cell r="C50">
            <v>800</v>
          </cell>
          <cell r="D50">
            <v>1200</v>
          </cell>
          <cell r="E50" t="str">
            <v>800AF/800AT</v>
          </cell>
          <cell r="H50">
            <v>600.1</v>
          </cell>
          <cell r="I50">
            <v>750</v>
          </cell>
        </row>
        <row r="51">
          <cell r="A51">
            <v>1000.1</v>
          </cell>
          <cell r="B51">
            <v>1000</v>
          </cell>
          <cell r="C51">
            <v>1000</v>
          </cell>
          <cell r="D51">
            <v>1200</v>
          </cell>
          <cell r="E51" t="str">
            <v>1000AF/1000AT</v>
          </cell>
          <cell r="H51">
            <v>750.1</v>
          </cell>
          <cell r="I51">
            <v>800</v>
          </cell>
        </row>
        <row r="52">
          <cell r="A52">
            <v>1200.0999999999999</v>
          </cell>
          <cell r="B52">
            <v>1200</v>
          </cell>
          <cell r="C52">
            <v>1200</v>
          </cell>
          <cell r="E52" t="str">
            <v>1200AF/1200AT</v>
          </cell>
          <cell r="H52">
            <v>800.1</v>
          </cell>
          <cell r="I52">
            <v>1000</v>
          </cell>
        </row>
        <row r="53">
          <cell r="H53">
            <v>1000.1</v>
          </cell>
          <cell r="I53">
            <v>1200</v>
          </cell>
        </row>
        <row r="54">
          <cell r="H54">
            <v>1200.0999999999999</v>
          </cell>
          <cell r="I54">
            <v>1500</v>
          </cell>
        </row>
        <row r="55">
          <cell r="H55">
            <v>1500.1</v>
          </cell>
          <cell r="I55">
            <v>2000</v>
          </cell>
        </row>
        <row r="56">
          <cell r="H56">
            <v>2000.1</v>
          </cell>
          <cell r="I56">
            <v>2500</v>
          </cell>
        </row>
        <row r="57">
          <cell r="H57">
            <v>2500.1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 refreshError="1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AGE"/>
      <sheetName val="Y-WORK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소비자가"/>
    </sheetNames>
    <sheetDataSet>
      <sheetData sheetId="0" refreshError="1"/>
      <sheetData sheetId="1" refreshError="1">
        <row r="46">
          <cell r="I46" t="str">
            <v>내용</v>
          </cell>
          <cell r="J46" t="str">
            <v>단가</v>
          </cell>
        </row>
        <row r="47">
          <cell r="I47" t="str">
            <v>ED008</v>
          </cell>
          <cell r="J47">
            <v>141800</v>
          </cell>
        </row>
        <row r="48">
          <cell r="I48" t="str">
            <v>ED012</v>
          </cell>
          <cell r="J48">
            <v>173300</v>
          </cell>
        </row>
        <row r="49">
          <cell r="I49" t="str">
            <v>ED014</v>
          </cell>
          <cell r="J49">
            <v>216300</v>
          </cell>
        </row>
        <row r="50">
          <cell r="I50" t="str">
            <v>ED016</v>
          </cell>
          <cell r="J50">
            <v>231000</v>
          </cell>
        </row>
        <row r="51">
          <cell r="I51" t="str">
            <v>ED018</v>
          </cell>
          <cell r="J51">
            <v>243600</v>
          </cell>
        </row>
        <row r="52">
          <cell r="I52" t="str">
            <v>ED018X</v>
          </cell>
          <cell r="J52">
            <v>268800</v>
          </cell>
        </row>
        <row r="53">
          <cell r="I53" t="str">
            <v>ED0108</v>
          </cell>
          <cell r="J53">
            <v>105000</v>
          </cell>
        </row>
        <row r="54">
          <cell r="I54" t="str">
            <v>ED0112</v>
          </cell>
          <cell r="J54">
            <v>132300</v>
          </cell>
        </row>
        <row r="55">
          <cell r="I55" t="str">
            <v>ED0114</v>
          </cell>
          <cell r="J55">
            <v>162800</v>
          </cell>
        </row>
        <row r="56">
          <cell r="I56" t="str">
            <v>ED0116</v>
          </cell>
          <cell r="J56">
            <v>177500</v>
          </cell>
        </row>
        <row r="57">
          <cell r="I57" t="str">
            <v>EP0202</v>
          </cell>
          <cell r="J57">
            <v>131300</v>
          </cell>
        </row>
        <row r="58">
          <cell r="I58" t="str">
            <v>EP0203</v>
          </cell>
          <cell r="J58">
            <v>131300</v>
          </cell>
        </row>
        <row r="59">
          <cell r="I59" t="str">
            <v>EP0302</v>
          </cell>
          <cell r="J59">
            <v>168000</v>
          </cell>
        </row>
        <row r="60">
          <cell r="I60" t="str">
            <v>EP0303</v>
          </cell>
          <cell r="J60">
            <v>168000</v>
          </cell>
        </row>
        <row r="61">
          <cell r="I61" t="str">
            <v>ED401</v>
          </cell>
          <cell r="J61">
            <v>128100</v>
          </cell>
        </row>
        <row r="62">
          <cell r="I62" t="str">
            <v>ED410R</v>
          </cell>
          <cell r="J62">
            <v>160700</v>
          </cell>
        </row>
        <row r="63">
          <cell r="I63" t="str">
            <v>ED410L</v>
          </cell>
          <cell r="J63">
            <v>160700</v>
          </cell>
        </row>
        <row r="64">
          <cell r="I64" t="str">
            <v>ED412</v>
          </cell>
          <cell r="J64">
            <v>160700</v>
          </cell>
        </row>
        <row r="65">
          <cell r="I65" t="str">
            <v>ED950</v>
          </cell>
          <cell r="J65">
            <v>264600</v>
          </cell>
        </row>
        <row r="66">
          <cell r="I66" t="str">
            <v>ED5086R</v>
          </cell>
          <cell r="J66">
            <v>105000</v>
          </cell>
        </row>
        <row r="67">
          <cell r="I67" t="str">
            <v>ED5086L</v>
          </cell>
          <cell r="J67">
            <v>105000</v>
          </cell>
        </row>
        <row r="68">
          <cell r="I68" t="str">
            <v>ED5466</v>
          </cell>
          <cell r="J68">
            <v>33600</v>
          </cell>
        </row>
        <row r="69">
          <cell r="I69" t="str">
            <v>ED5966</v>
          </cell>
          <cell r="J69">
            <v>56700</v>
          </cell>
        </row>
        <row r="70">
          <cell r="I70" t="str">
            <v>ED912</v>
          </cell>
          <cell r="J70">
            <v>203700</v>
          </cell>
        </row>
        <row r="71">
          <cell r="I71" t="str">
            <v>ED916</v>
          </cell>
          <cell r="J71">
            <v>249900</v>
          </cell>
        </row>
        <row r="72">
          <cell r="I72" t="str">
            <v>ED516</v>
          </cell>
          <cell r="J72">
            <v>63000</v>
          </cell>
        </row>
        <row r="73">
          <cell r="I73" t="str">
            <v>ED517R</v>
          </cell>
          <cell r="J73">
            <v>74600</v>
          </cell>
        </row>
        <row r="74">
          <cell r="I74" t="str">
            <v>ED517L</v>
          </cell>
          <cell r="J74">
            <v>74600</v>
          </cell>
        </row>
        <row r="75">
          <cell r="I75" t="str">
            <v>ED5488</v>
          </cell>
          <cell r="J75">
            <v>39900</v>
          </cell>
        </row>
        <row r="76">
          <cell r="I76" t="str">
            <v>ED5988</v>
          </cell>
          <cell r="J76">
            <v>65100</v>
          </cell>
        </row>
        <row r="77">
          <cell r="I77" t="str">
            <v>ED0608</v>
          </cell>
          <cell r="J77">
            <v>54600</v>
          </cell>
        </row>
        <row r="78">
          <cell r="I78" t="str">
            <v>ED0612</v>
          </cell>
          <cell r="J78">
            <v>65100</v>
          </cell>
        </row>
        <row r="81">
          <cell r="I81" t="str">
            <v>ED0616</v>
          </cell>
          <cell r="J81">
            <v>92400</v>
          </cell>
        </row>
        <row r="82">
          <cell r="I82" t="str">
            <v>ED0706</v>
          </cell>
          <cell r="J82">
            <v>105000</v>
          </cell>
        </row>
        <row r="83">
          <cell r="I83" t="str">
            <v>ED0708</v>
          </cell>
          <cell r="J83">
            <v>141800</v>
          </cell>
        </row>
        <row r="84">
          <cell r="I84" t="str">
            <v>ED0806</v>
          </cell>
          <cell r="J84">
            <v>122900</v>
          </cell>
        </row>
        <row r="85">
          <cell r="I85" t="str">
            <v>ED0808</v>
          </cell>
          <cell r="J85">
            <v>164900</v>
          </cell>
        </row>
        <row r="86">
          <cell r="I86" t="str">
            <v>EZ016</v>
          </cell>
          <cell r="J86">
            <v>371700</v>
          </cell>
        </row>
        <row r="87">
          <cell r="I87" t="str">
            <v>EZ018</v>
          </cell>
          <cell r="J87">
            <v>400100</v>
          </cell>
        </row>
        <row r="88">
          <cell r="I88" t="str">
            <v>TD008</v>
          </cell>
          <cell r="J88">
            <v>155400</v>
          </cell>
        </row>
        <row r="89">
          <cell r="I89" t="str">
            <v>TD010</v>
          </cell>
          <cell r="J89">
            <v>173300</v>
          </cell>
        </row>
        <row r="90">
          <cell r="I90" t="str">
            <v>TD012</v>
          </cell>
          <cell r="J90">
            <v>191100</v>
          </cell>
        </row>
        <row r="91">
          <cell r="I91" t="str">
            <v>TD014</v>
          </cell>
          <cell r="J91">
            <v>236300</v>
          </cell>
        </row>
        <row r="92">
          <cell r="I92" t="str">
            <v>TD016</v>
          </cell>
          <cell r="J92">
            <v>254100</v>
          </cell>
        </row>
        <row r="93">
          <cell r="I93" t="str">
            <v>TD018</v>
          </cell>
          <cell r="J93">
            <v>272000</v>
          </cell>
        </row>
        <row r="94">
          <cell r="I94" t="str">
            <v>TD108</v>
          </cell>
          <cell r="J94">
            <v>115500</v>
          </cell>
        </row>
        <row r="112">
          <cell r="I112" t="str">
            <v>TD110</v>
          </cell>
          <cell r="J112">
            <v>130200</v>
          </cell>
        </row>
        <row r="113">
          <cell r="I113" t="str">
            <v>TD112</v>
          </cell>
          <cell r="J113">
            <v>147000</v>
          </cell>
        </row>
        <row r="114">
          <cell r="I114" t="str">
            <v>TD114</v>
          </cell>
          <cell r="J114">
            <v>178500</v>
          </cell>
        </row>
        <row r="115">
          <cell r="I115" t="str">
            <v>TD116</v>
          </cell>
          <cell r="J115">
            <v>196400</v>
          </cell>
        </row>
        <row r="116">
          <cell r="I116" t="str">
            <v>TD118</v>
          </cell>
          <cell r="J116">
            <v>222600</v>
          </cell>
        </row>
        <row r="117">
          <cell r="I117" t="str">
            <v>TP0302</v>
          </cell>
          <cell r="J117">
            <v>198500</v>
          </cell>
        </row>
        <row r="118">
          <cell r="I118" t="str">
            <v>TP0303</v>
          </cell>
          <cell r="J118">
            <v>206900</v>
          </cell>
        </row>
        <row r="119">
          <cell r="I119" t="str">
            <v>TP0312</v>
          </cell>
          <cell r="J119">
            <v>156500</v>
          </cell>
        </row>
        <row r="120">
          <cell r="I120" t="str">
            <v>TP0313</v>
          </cell>
          <cell r="J120">
            <v>162800</v>
          </cell>
        </row>
        <row r="121">
          <cell r="I121" t="str">
            <v>TP0502</v>
          </cell>
          <cell r="J121">
            <v>149100</v>
          </cell>
        </row>
        <row r="122">
          <cell r="I122" t="str">
            <v>TP0503</v>
          </cell>
          <cell r="J122">
            <v>152300</v>
          </cell>
        </row>
        <row r="123">
          <cell r="I123" t="str">
            <v>TD410</v>
          </cell>
          <cell r="J123">
            <v>163800</v>
          </cell>
        </row>
        <row r="124">
          <cell r="I124" t="str">
            <v>TD412</v>
          </cell>
          <cell r="J124">
            <v>173300</v>
          </cell>
        </row>
        <row r="125">
          <cell r="I125" t="str">
            <v>TD546</v>
          </cell>
          <cell r="J125">
            <v>46200</v>
          </cell>
        </row>
        <row r="126">
          <cell r="I126" t="str">
            <v>TD596</v>
          </cell>
          <cell r="J126">
            <v>68300</v>
          </cell>
        </row>
        <row r="127">
          <cell r="I127" t="str">
            <v>TD516</v>
          </cell>
          <cell r="J127">
            <v>83000</v>
          </cell>
        </row>
        <row r="128">
          <cell r="I128" t="str">
            <v>TD517R</v>
          </cell>
          <cell r="J128">
            <v>97700</v>
          </cell>
        </row>
        <row r="129">
          <cell r="I129" t="str">
            <v>TD517L</v>
          </cell>
          <cell r="J129">
            <v>97700</v>
          </cell>
        </row>
        <row r="130">
          <cell r="I130" t="str">
            <v>TD518</v>
          </cell>
          <cell r="J130">
            <v>108200</v>
          </cell>
        </row>
        <row r="131">
          <cell r="I131" t="str">
            <v>TD546</v>
          </cell>
          <cell r="J131">
            <v>46200</v>
          </cell>
        </row>
        <row r="132">
          <cell r="I132" t="str">
            <v>TD548</v>
          </cell>
          <cell r="J132">
            <v>66200</v>
          </cell>
        </row>
        <row r="133">
          <cell r="I133" t="str">
            <v>TD506</v>
          </cell>
          <cell r="J133">
            <v>159600</v>
          </cell>
        </row>
        <row r="134">
          <cell r="I134" t="str">
            <v>TD507R</v>
          </cell>
          <cell r="J134">
            <v>171200</v>
          </cell>
        </row>
        <row r="135">
          <cell r="I135" t="str">
            <v>TD507L</v>
          </cell>
          <cell r="J135">
            <v>171200</v>
          </cell>
        </row>
        <row r="136">
          <cell r="I136" t="str">
            <v>TD508</v>
          </cell>
          <cell r="J136">
            <v>183800</v>
          </cell>
        </row>
        <row r="137">
          <cell r="I137" t="str">
            <v>TD598</v>
          </cell>
          <cell r="J137">
            <v>95600</v>
          </cell>
        </row>
        <row r="138">
          <cell r="I138" t="str">
            <v>TD597R</v>
          </cell>
          <cell r="J138">
            <v>86100</v>
          </cell>
        </row>
        <row r="139">
          <cell r="I139" t="str">
            <v>TD597L</v>
          </cell>
          <cell r="J139">
            <v>86100</v>
          </cell>
        </row>
        <row r="140">
          <cell r="I140" t="str">
            <v>TD0608</v>
          </cell>
          <cell r="J140">
            <v>56700</v>
          </cell>
        </row>
        <row r="141">
          <cell r="I141" t="str">
            <v>TD0612</v>
          </cell>
          <cell r="J141">
            <v>68300</v>
          </cell>
        </row>
        <row r="142">
          <cell r="I142" t="str">
            <v>TD0614</v>
          </cell>
          <cell r="J142">
            <v>86100</v>
          </cell>
        </row>
        <row r="143">
          <cell r="I143" t="str">
            <v>TD0616</v>
          </cell>
          <cell r="J143">
            <v>96600</v>
          </cell>
        </row>
        <row r="144">
          <cell r="I144" t="str">
            <v>TD712</v>
          </cell>
          <cell r="J144">
            <v>212100</v>
          </cell>
        </row>
        <row r="145">
          <cell r="I145" t="str">
            <v>TD808</v>
          </cell>
          <cell r="J145">
            <v>180600</v>
          </cell>
        </row>
        <row r="146">
          <cell r="I146" t="str">
            <v>TD990</v>
          </cell>
          <cell r="J146">
            <v>159600</v>
          </cell>
        </row>
        <row r="147">
          <cell r="I147" t="str">
            <v>TD912</v>
          </cell>
          <cell r="J147">
            <v>129200</v>
          </cell>
        </row>
        <row r="148">
          <cell r="I148" t="str">
            <v>TD916</v>
          </cell>
          <cell r="J148">
            <v>171200</v>
          </cell>
        </row>
        <row r="149">
          <cell r="I149" t="str">
            <v>TD966</v>
          </cell>
          <cell r="J149">
            <v>96600</v>
          </cell>
        </row>
        <row r="150">
          <cell r="I150" t="str">
            <v>TD988</v>
          </cell>
          <cell r="J150">
            <v>155400</v>
          </cell>
        </row>
        <row r="151">
          <cell r="I151" t="str">
            <v>TF008</v>
          </cell>
          <cell r="J151">
            <v>51500</v>
          </cell>
        </row>
        <row r="152">
          <cell r="I152" t="str">
            <v>TF010</v>
          </cell>
          <cell r="J152">
            <v>61700</v>
          </cell>
        </row>
        <row r="153">
          <cell r="I153" t="str">
            <v>TF012</v>
          </cell>
          <cell r="J153">
            <v>69300</v>
          </cell>
        </row>
        <row r="154">
          <cell r="I154" t="str">
            <v>TF014</v>
          </cell>
          <cell r="J154">
            <v>85100</v>
          </cell>
        </row>
        <row r="155">
          <cell r="I155" t="str">
            <v>TF016</v>
          </cell>
          <cell r="J155">
            <v>92400</v>
          </cell>
        </row>
        <row r="156">
          <cell r="I156" t="str">
            <v>TF018</v>
          </cell>
          <cell r="J156">
            <v>103800</v>
          </cell>
        </row>
        <row r="157">
          <cell r="I157" t="str">
            <v>YD018</v>
          </cell>
          <cell r="J157">
            <v>351800</v>
          </cell>
        </row>
        <row r="158">
          <cell r="I158" t="str">
            <v>YP0302</v>
          </cell>
          <cell r="J158">
            <v>233100</v>
          </cell>
        </row>
        <row r="159">
          <cell r="I159" t="str">
            <v>YP0303</v>
          </cell>
          <cell r="J159">
            <v>233100</v>
          </cell>
        </row>
        <row r="160">
          <cell r="I160" t="str">
            <v>YD412</v>
          </cell>
          <cell r="J160">
            <v>194300</v>
          </cell>
        </row>
        <row r="161">
          <cell r="I161" t="str">
            <v>YC055L</v>
          </cell>
          <cell r="J161">
            <v>290900</v>
          </cell>
        </row>
        <row r="162">
          <cell r="I162" t="str">
            <v>YC555R</v>
          </cell>
          <cell r="J162">
            <v>290900</v>
          </cell>
        </row>
        <row r="163">
          <cell r="I163" t="str">
            <v>YC085</v>
          </cell>
          <cell r="J163">
            <v>396900</v>
          </cell>
        </row>
        <row r="164">
          <cell r="I164" t="str">
            <v>YC2082</v>
          </cell>
          <cell r="J164">
            <v>411600</v>
          </cell>
        </row>
        <row r="165">
          <cell r="I165" t="str">
            <v>YC182</v>
          </cell>
          <cell r="J165">
            <v>226800</v>
          </cell>
        </row>
        <row r="166">
          <cell r="I166" t="str">
            <v>YD990</v>
          </cell>
          <cell r="J166">
            <v>202700</v>
          </cell>
        </row>
        <row r="167">
          <cell r="I167" t="str">
            <v>PD018</v>
          </cell>
          <cell r="J167">
            <v>584900</v>
          </cell>
        </row>
        <row r="168">
          <cell r="I168" t="str">
            <v>PD021</v>
          </cell>
          <cell r="J168">
            <v>621600</v>
          </cell>
        </row>
        <row r="169">
          <cell r="I169" t="str">
            <v>PP0202</v>
          </cell>
          <cell r="J169">
            <v>246800</v>
          </cell>
        </row>
        <row r="170">
          <cell r="I170" t="str">
            <v>PP0203</v>
          </cell>
          <cell r="J170">
            <v>246800</v>
          </cell>
        </row>
        <row r="171">
          <cell r="I171" t="str">
            <v>PP0302</v>
          </cell>
          <cell r="J171">
            <v>246800</v>
          </cell>
        </row>
        <row r="172">
          <cell r="I172" t="str">
            <v>PP0303</v>
          </cell>
          <cell r="J172">
            <v>246800</v>
          </cell>
        </row>
        <row r="173">
          <cell r="I173" t="str">
            <v>PD414</v>
          </cell>
          <cell r="J173">
            <v>484100</v>
          </cell>
        </row>
        <row r="174">
          <cell r="I174" t="str">
            <v>PZ021</v>
          </cell>
          <cell r="J174">
            <v>696200</v>
          </cell>
        </row>
        <row r="175">
          <cell r="I175" t="str">
            <v>PC055L</v>
          </cell>
          <cell r="J175">
            <v>347600</v>
          </cell>
        </row>
        <row r="176">
          <cell r="I176" t="str">
            <v>PC355L</v>
          </cell>
          <cell r="J176">
            <v>487200</v>
          </cell>
        </row>
        <row r="177">
          <cell r="I177" t="str">
            <v>PC5055R</v>
          </cell>
          <cell r="J177">
            <v>353900</v>
          </cell>
        </row>
        <row r="178">
          <cell r="I178" t="str">
            <v>PC085</v>
          </cell>
          <cell r="J178">
            <v>513500</v>
          </cell>
        </row>
        <row r="179">
          <cell r="I179" t="str">
            <v>LD021</v>
          </cell>
          <cell r="J179">
            <v>2876000</v>
          </cell>
        </row>
        <row r="180">
          <cell r="I180" t="str">
            <v>LD018</v>
          </cell>
          <cell r="J180">
            <v>2595600</v>
          </cell>
        </row>
        <row r="181">
          <cell r="I181" t="str">
            <v>LD712R</v>
          </cell>
          <cell r="J181">
            <v>781200</v>
          </cell>
        </row>
        <row r="182">
          <cell r="I182" t="str">
            <v>LD712L</v>
          </cell>
          <cell r="J182">
            <v>781200</v>
          </cell>
        </row>
        <row r="183">
          <cell r="I183" t="str">
            <v>LC01</v>
          </cell>
          <cell r="J183">
            <v>5120900</v>
          </cell>
        </row>
        <row r="184">
          <cell r="I184" t="str">
            <v>LC02</v>
          </cell>
          <cell r="J184">
            <v>4102400</v>
          </cell>
        </row>
        <row r="185">
          <cell r="I185" t="str">
            <v>LC03</v>
          </cell>
          <cell r="J185">
            <v>3716000</v>
          </cell>
        </row>
        <row r="186">
          <cell r="I186" t="str">
            <v>LC04</v>
          </cell>
          <cell r="J186">
            <v>5292000</v>
          </cell>
        </row>
        <row r="187">
          <cell r="I187" t="str">
            <v>LC05</v>
          </cell>
          <cell r="J187">
            <v>4273500</v>
          </cell>
        </row>
        <row r="188">
          <cell r="I188" t="str">
            <v>LC11</v>
          </cell>
          <cell r="J188">
            <v>4237800</v>
          </cell>
        </row>
        <row r="189">
          <cell r="I189" t="str">
            <v>LC12</v>
          </cell>
          <cell r="J189">
            <v>3182600</v>
          </cell>
        </row>
        <row r="190">
          <cell r="I190" t="str">
            <v>LC06</v>
          </cell>
          <cell r="J190">
            <v>3887100</v>
          </cell>
        </row>
        <row r="191">
          <cell r="I191" t="str">
            <v>LC21</v>
          </cell>
          <cell r="J191">
            <v>3257100</v>
          </cell>
        </row>
        <row r="192">
          <cell r="I192" t="str">
            <v>LC22</v>
          </cell>
          <cell r="J192">
            <v>2519000</v>
          </cell>
        </row>
        <row r="193">
          <cell r="I193" t="str">
            <v>LC23</v>
          </cell>
          <cell r="J193">
            <v>3782100</v>
          </cell>
        </row>
        <row r="194">
          <cell r="I194" t="str">
            <v>LC24</v>
          </cell>
          <cell r="J194">
            <v>3044000</v>
          </cell>
        </row>
        <row r="195">
          <cell r="I195" t="str">
            <v>LC565R</v>
          </cell>
          <cell r="J195">
            <v>750800</v>
          </cell>
        </row>
        <row r="196">
          <cell r="I196" t="str">
            <v>LC065L</v>
          </cell>
          <cell r="J196">
            <v>729800</v>
          </cell>
        </row>
        <row r="197">
          <cell r="I197" t="str">
            <v>LC162R</v>
          </cell>
          <cell r="J197">
            <v>343400</v>
          </cell>
        </row>
        <row r="198">
          <cell r="I198" t="str">
            <v>LC162L</v>
          </cell>
          <cell r="J198">
            <v>343400</v>
          </cell>
        </row>
        <row r="199">
          <cell r="I199" t="str">
            <v>LC6122</v>
          </cell>
          <cell r="J199">
            <v>515600</v>
          </cell>
        </row>
        <row r="200">
          <cell r="I200" t="str">
            <v>LC7064</v>
          </cell>
          <cell r="J200">
            <v>605900</v>
          </cell>
        </row>
        <row r="201">
          <cell r="I201" t="str">
            <v>LC1063S</v>
          </cell>
          <cell r="J201">
            <v>89300</v>
          </cell>
        </row>
        <row r="202">
          <cell r="I202" t="str">
            <v>LB1063G</v>
          </cell>
          <cell r="J202">
            <v>190100</v>
          </cell>
        </row>
        <row r="203">
          <cell r="I203" t="str">
            <v>LC9112</v>
          </cell>
          <cell r="J203">
            <v>179600</v>
          </cell>
        </row>
        <row r="204">
          <cell r="I204" t="str">
            <v>LC9118</v>
          </cell>
          <cell r="J204">
            <v>237300</v>
          </cell>
        </row>
        <row r="205">
          <cell r="I205" t="str">
            <v>LC9124</v>
          </cell>
          <cell r="J205">
            <v>336000</v>
          </cell>
        </row>
        <row r="206">
          <cell r="I206" t="str">
            <v>LC9106T</v>
          </cell>
          <cell r="J206">
            <v>86100</v>
          </cell>
        </row>
        <row r="207">
          <cell r="I207" t="str">
            <v>LC9112T</v>
          </cell>
          <cell r="J207">
            <v>179600</v>
          </cell>
        </row>
        <row r="208">
          <cell r="I208" t="str">
            <v>LC9118T</v>
          </cell>
          <cell r="J208">
            <v>217400</v>
          </cell>
        </row>
        <row r="209">
          <cell r="I209" t="str">
            <v>LC9124T</v>
          </cell>
          <cell r="J209">
            <v>287700</v>
          </cell>
        </row>
        <row r="210">
          <cell r="I210" t="str">
            <v>LC9124N</v>
          </cell>
          <cell r="J210">
            <v>336000</v>
          </cell>
        </row>
        <row r="211">
          <cell r="I211" t="str">
            <v>LZ01</v>
          </cell>
          <cell r="J211">
            <v>2063300</v>
          </cell>
        </row>
        <row r="212">
          <cell r="I212" t="str">
            <v>LZ02</v>
          </cell>
          <cell r="J212">
            <v>2234400</v>
          </cell>
        </row>
        <row r="213">
          <cell r="I213" t="str">
            <v>LZ11</v>
          </cell>
          <cell r="J213">
            <v>1529900</v>
          </cell>
        </row>
        <row r="214">
          <cell r="I214" t="str">
            <v>LR024</v>
          </cell>
          <cell r="J214">
            <v>1932000</v>
          </cell>
        </row>
        <row r="215">
          <cell r="I215" t="str">
            <v>LR012</v>
          </cell>
          <cell r="J215">
            <v>1430100</v>
          </cell>
        </row>
        <row r="216">
          <cell r="I216" t="str">
            <v>LS7001C</v>
          </cell>
          <cell r="J216">
            <v>1045800</v>
          </cell>
        </row>
        <row r="217">
          <cell r="I217" t="str">
            <v>LS7001W</v>
          </cell>
          <cell r="J217">
            <v>1045800</v>
          </cell>
        </row>
        <row r="218">
          <cell r="I218" t="str">
            <v>LS7003C</v>
          </cell>
          <cell r="J218">
            <v>1708400</v>
          </cell>
        </row>
        <row r="219">
          <cell r="I219" t="str">
            <v>LS7003W</v>
          </cell>
          <cell r="J219">
            <v>1708400</v>
          </cell>
        </row>
        <row r="220">
          <cell r="I220" t="str">
            <v>LL016</v>
          </cell>
          <cell r="J220">
            <v>1146600</v>
          </cell>
        </row>
        <row r="221">
          <cell r="I221" t="str">
            <v>LL008</v>
          </cell>
          <cell r="J221">
            <v>1019600</v>
          </cell>
        </row>
        <row r="222">
          <cell r="I222" t="str">
            <v>LL0007</v>
          </cell>
          <cell r="J222">
            <v>393800</v>
          </cell>
        </row>
        <row r="223">
          <cell r="I223" t="str">
            <v>CA0302</v>
          </cell>
          <cell r="J223">
            <v>60900</v>
          </cell>
        </row>
        <row r="224">
          <cell r="I224" t="str">
            <v>CA0301</v>
          </cell>
          <cell r="J224">
            <v>10500</v>
          </cell>
        </row>
        <row r="225">
          <cell r="I225" t="str">
            <v>CA1101</v>
          </cell>
          <cell r="J225">
            <v>10500</v>
          </cell>
        </row>
        <row r="226">
          <cell r="I226" t="str">
            <v>CC1082</v>
          </cell>
          <cell r="J226">
            <v>107100</v>
          </cell>
        </row>
        <row r="227">
          <cell r="I227" t="str">
            <v>CC1083</v>
          </cell>
          <cell r="J227">
            <v>147000</v>
          </cell>
        </row>
        <row r="228">
          <cell r="I228" t="str">
            <v>CC0054</v>
          </cell>
          <cell r="J228">
            <v>108200</v>
          </cell>
        </row>
        <row r="229">
          <cell r="I229" t="str">
            <v>CC0055</v>
          </cell>
          <cell r="J229">
            <v>129200</v>
          </cell>
        </row>
        <row r="230">
          <cell r="I230" t="str">
            <v>CC0084</v>
          </cell>
          <cell r="J230">
            <v>147000</v>
          </cell>
        </row>
        <row r="231">
          <cell r="I231" t="str">
            <v>CC0085</v>
          </cell>
          <cell r="J231">
            <v>164900</v>
          </cell>
        </row>
        <row r="232">
          <cell r="I232" t="str">
            <v>CC0084N</v>
          </cell>
          <cell r="J232">
            <v>113400</v>
          </cell>
        </row>
        <row r="233">
          <cell r="I233" t="str">
            <v>CC0085N</v>
          </cell>
          <cell r="J233">
            <v>129200</v>
          </cell>
        </row>
        <row r="234">
          <cell r="I234" t="str">
            <v>CC5054</v>
          </cell>
          <cell r="J234">
            <v>101900</v>
          </cell>
        </row>
        <row r="235">
          <cell r="I235" t="str">
            <v>CC5055</v>
          </cell>
          <cell r="J235">
            <v>117600</v>
          </cell>
        </row>
        <row r="236">
          <cell r="I236" t="str">
            <v>TB1082</v>
          </cell>
          <cell r="J236">
            <v>69300</v>
          </cell>
        </row>
        <row r="237">
          <cell r="I237" t="str">
            <v>TB1083</v>
          </cell>
          <cell r="J237">
            <v>90300</v>
          </cell>
        </row>
        <row r="238">
          <cell r="I238" t="str">
            <v>TB0082</v>
          </cell>
          <cell r="J238">
            <v>69300</v>
          </cell>
        </row>
        <row r="239">
          <cell r="I239" t="str">
            <v>TB084</v>
          </cell>
          <cell r="J239">
            <v>127100</v>
          </cell>
        </row>
        <row r="240">
          <cell r="I240" t="str">
            <v>TB085</v>
          </cell>
          <cell r="J240">
            <v>152300</v>
          </cell>
        </row>
        <row r="241">
          <cell r="I241" t="str">
            <v>TB0052R</v>
          </cell>
          <cell r="J241">
            <v>50400</v>
          </cell>
        </row>
        <row r="242">
          <cell r="I242" t="str">
            <v>TB0052L</v>
          </cell>
          <cell r="J242">
            <v>50400</v>
          </cell>
        </row>
        <row r="243">
          <cell r="I243" t="str">
            <v>TB0054R</v>
          </cell>
          <cell r="J243">
            <v>90300</v>
          </cell>
        </row>
        <row r="244">
          <cell r="I244" t="str">
            <v>TB0054L</v>
          </cell>
          <cell r="J244">
            <v>90300</v>
          </cell>
        </row>
        <row r="245">
          <cell r="I245" t="str">
            <v>TB0055R</v>
          </cell>
          <cell r="J245">
            <v>102900</v>
          </cell>
        </row>
        <row r="246">
          <cell r="I246" t="str">
            <v>TB0055L</v>
          </cell>
          <cell r="J246">
            <v>102900</v>
          </cell>
        </row>
        <row r="247">
          <cell r="I247" t="str">
            <v>TB0083G</v>
          </cell>
          <cell r="J247">
            <v>76700</v>
          </cell>
        </row>
        <row r="248">
          <cell r="I248" t="str">
            <v>EB1083G</v>
          </cell>
          <cell r="J248">
            <v>72500</v>
          </cell>
        </row>
        <row r="249">
          <cell r="I249" t="str">
            <v>EB1082</v>
          </cell>
          <cell r="J249">
            <v>54600</v>
          </cell>
        </row>
        <row r="250">
          <cell r="I250" t="str">
            <v>EB1083</v>
          </cell>
          <cell r="J250">
            <v>72500</v>
          </cell>
        </row>
        <row r="251">
          <cell r="I251" t="str">
            <v>EB0082</v>
          </cell>
          <cell r="J251">
            <v>54600</v>
          </cell>
        </row>
        <row r="252">
          <cell r="I252" t="str">
            <v>EB084</v>
          </cell>
          <cell r="J252">
            <v>101900</v>
          </cell>
        </row>
        <row r="253">
          <cell r="I253" t="str">
            <v>EB085</v>
          </cell>
          <cell r="J253">
            <v>120800</v>
          </cell>
        </row>
        <row r="254">
          <cell r="I254" t="str">
            <v>EB0052R</v>
          </cell>
          <cell r="J254">
            <v>42000</v>
          </cell>
        </row>
        <row r="255">
          <cell r="I255" t="str">
            <v>EB0052L</v>
          </cell>
          <cell r="J255">
            <v>42000</v>
          </cell>
        </row>
        <row r="256">
          <cell r="I256" t="str">
            <v>EB0054R</v>
          </cell>
          <cell r="J256">
            <v>74600</v>
          </cell>
        </row>
        <row r="257">
          <cell r="I257" t="str">
            <v>EB0054L</v>
          </cell>
          <cell r="J257">
            <v>74600</v>
          </cell>
        </row>
        <row r="258">
          <cell r="I258" t="str">
            <v>EB0055R</v>
          </cell>
          <cell r="J258">
            <v>86100</v>
          </cell>
        </row>
        <row r="259">
          <cell r="I259" t="str">
            <v>EB0055L</v>
          </cell>
          <cell r="J259">
            <v>86100</v>
          </cell>
        </row>
        <row r="260">
          <cell r="I260" t="str">
            <v>EC2052</v>
          </cell>
          <cell r="J260">
            <v>201600</v>
          </cell>
        </row>
        <row r="261">
          <cell r="I261" t="str">
            <v>EC2053</v>
          </cell>
          <cell r="J261">
            <v>269900</v>
          </cell>
        </row>
        <row r="262">
          <cell r="I262" t="str">
            <v>EC2050</v>
          </cell>
          <cell r="J262">
            <v>38900</v>
          </cell>
        </row>
        <row r="263">
          <cell r="I263" t="str">
            <v>TC2042</v>
          </cell>
          <cell r="J263">
            <v>242600</v>
          </cell>
        </row>
        <row r="264">
          <cell r="I264" t="str">
            <v>TC2043</v>
          </cell>
          <cell r="J264">
            <v>327600</v>
          </cell>
        </row>
        <row r="265">
          <cell r="I265" t="str">
            <v>TC2082</v>
          </cell>
          <cell r="J265">
            <v>371700</v>
          </cell>
        </row>
        <row r="266">
          <cell r="I266" t="str">
            <v>TC2083</v>
          </cell>
          <cell r="J266">
            <v>492500</v>
          </cell>
        </row>
        <row r="267">
          <cell r="I267" t="str">
            <v>TC242S</v>
          </cell>
          <cell r="J267">
            <v>253100</v>
          </cell>
        </row>
        <row r="268">
          <cell r="I268" t="str">
            <v>TC242N</v>
          </cell>
          <cell r="J268">
            <v>246800</v>
          </cell>
        </row>
        <row r="269">
          <cell r="I269" t="str">
            <v>CB9054</v>
          </cell>
          <cell r="J269">
            <v>27300</v>
          </cell>
        </row>
        <row r="270">
          <cell r="I270" t="str">
            <v>CB955</v>
          </cell>
          <cell r="J270">
            <v>35700</v>
          </cell>
        </row>
        <row r="271">
          <cell r="I271" t="str">
            <v>CB9084</v>
          </cell>
          <cell r="J271">
            <v>42000</v>
          </cell>
        </row>
        <row r="272">
          <cell r="I272" t="str">
            <v>CB985</v>
          </cell>
          <cell r="J272">
            <v>54600</v>
          </cell>
        </row>
        <row r="273">
          <cell r="I273" t="str">
            <v>XX100</v>
          </cell>
          <cell r="J273">
            <v>459900</v>
          </cell>
        </row>
        <row r="274">
          <cell r="I274" t="str">
            <v>XC100</v>
          </cell>
          <cell r="J274">
            <v>430500</v>
          </cell>
        </row>
        <row r="275">
          <cell r="I275" t="str">
            <v>XC150R</v>
          </cell>
          <cell r="J275">
            <v>279300</v>
          </cell>
        </row>
        <row r="276">
          <cell r="I276" t="str">
            <v>XC150L</v>
          </cell>
          <cell r="J276">
            <v>279300</v>
          </cell>
        </row>
        <row r="277">
          <cell r="I277" t="str">
            <v>CR1007</v>
          </cell>
          <cell r="J277">
            <v>132300</v>
          </cell>
        </row>
        <row r="278">
          <cell r="I278" t="str">
            <v>CR1015</v>
          </cell>
          <cell r="J278">
            <v>183800</v>
          </cell>
        </row>
        <row r="279">
          <cell r="I279" t="str">
            <v>CR1066</v>
          </cell>
          <cell r="J279">
            <v>201600</v>
          </cell>
        </row>
        <row r="280">
          <cell r="I280" t="str">
            <v>CR1107</v>
          </cell>
          <cell r="J280">
            <v>114500</v>
          </cell>
        </row>
        <row r="281">
          <cell r="I281" t="str">
            <v>CR1115</v>
          </cell>
          <cell r="J281">
            <v>150200</v>
          </cell>
        </row>
        <row r="282">
          <cell r="I282" t="str">
            <v>CR1166</v>
          </cell>
          <cell r="J282">
            <v>158600</v>
          </cell>
        </row>
        <row r="283">
          <cell r="I283" t="str">
            <v>CR1206</v>
          </cell>
          <cell r="J283">
            <v>30500</v>
          </cell>
        </row>
        <row r="284">
          <cell r="I284" t="str">
            <v>CR1207</v>
          </cell>
          <cell r="J284">
            <v>33600</v>
          </cell>
        </row>
        <row r="285">
          <cell r="I285" t="str">
            <v>CR1307</v>
          </cell>
          <cell r="J285">
            <v>17900</v>
          </cell>
        </row>
        <row r="286">
          <cell r="I286" t="str">
            <v>CR1315</v>
          </cell>
          <cell r="J286">
            <v>33600</v>
          </cell>
        </row>
        <row r="287">
          <cell r="I287" t="str">
            <v>CR1360</v>
          </cell>
          <cell r="J287">
            <v>17900</v>
          </cell>
        </row>
        <row r="288">
          <cell r="I288" t="str">
            <v>CR1361</v>
          </cell>
          <cell r="J288">
            <v>17900</v>
          </cell>
        </row>
        <row r="289">
          <cell r="I289" t="str">
            <v>CR2008N</v>
          </cell>
          <cell r="J289">
            <v>150200</v>
          </cell>
        </row>
        <row r="290">
          <cell r="I290" t="str">
            <v>CR2016N</v>
          </cell>
          <cell r="J290">
            <v>246800</v>
          </cell>
        </row>
        <row r="291">
          <cell r="I291" t="str">
            <v>CR2590N</v>
          </cell>
          <cell r="J291">
            <v>135500</v>
          </cell>
        </row>
        <row r="292">
          <cell r="I292" t="str">
            <v>CR2000</v>
          </cell>
          <cell r="J292">
            <v>48300</v>
          </cell>
        </row>
        <row r="293">
          <cell r="I293" t="str">
            <v>CR2000S</v>
          </cell>
          <cell r="J293">
            <v>26300</v>
          </cell>
        </row>
        <row r="294">
          <cell r="I294" t="str">
            <v>CR2000E</v>
          </cell>
          <cell r="J294">
            <v>48300</v>
          </cell>
        </row>
        <row r="295">
          <cell r="I295" t="str">
            <v>CR018</v>
          </cell>
          <cell r="J295">
            <v>278300</v>
          </cell>
        </row>
        <row r="296">
          <cell r="I296" t="str">
            <v>CR024</v>
          </cell>
          <cell r="J296">
            <v>354900</v>
          </cell>
        </row>
        <row r="297">
          <cell r="I297" t="str">
            <v>CR3118</v>
          </cell>
          <cell r="J297">
            <v>285600</v>
          </cell>
        </row>
        <row r="298">
          <cell r="I298" t="str">
            <v>CR3218</v>
          </cell>
          <cell r="J298">
            <v>249900</v>
          </cell>
        </row>
        <row r="299">
          <cell r="I299" t="str">
            <v>CR3114N</v>
          </cell>
          <cell r="J299">
            <v>225800</v>
          </cell>
        </row>
        <row r="300">
          <cell r="I300" t="str">
            <v>CR3214N</v>
          </cell>
          <cell r="J300">
            <v>206900</v>
          </cell>
        </row>
        <row r="301">
          <cell r="I301" t="str">
            <v>CR4110</v>
          </cell>
          <cell r="J301">
            <v>107100</v>
          </cell>
        </row>
        <row r="302">
          <cell r="I302" t="str">
            <v>SR009</v>
          </cell>
          <cell r="J302">
            <v>225800</v>
          </cell>
        </row>
        <row r="303">
          <cell r="I303" t="str">
            <v>SR012</v>
          </cell>
          <cell r="J303">
            <v>241500</v>
          </cell>
        </row>
        <row r="304">
          <cell r="I304" t="str">
            <v>SR018</v>
          </cell>
          <cell r="J304">
            <v>303500</v>
          </cell>
        </row>
        <row r="305">
          <cell r="I305" t="str">
            <v>SR024S</v>
          </cell>
          <cell r="J305">
            <v>375900</v>
          </cell>
        </row>
        <row r="306">
          <cell r="I306" t="str">
            <v>SR024</v>
          </cell>
          <cell r="J306">
            <v>375900</v>
          </cell>
        </row>
        <row r="307">
          <cell r="I307" t="str">
            <v>SR032</v>
          </cell>
          <cell r="J307">
            <v>483000</v>
          </cell>
        </row>
        <row r="308">
          <cell r="I308" t="str">
            <v>CR413</v>
          </cell>
          <cell r="J308">
            <v>129200</v>
          </cell>
        </row>
        <row r="309">
          <cell r="I309" t="str">
            <v>CA9900</v>
          </cell>
          <cell r="J309">
            <v>5300</v>
          </cell>
        </row>
        <row r="310">
          <cell r="I310" t="str">
            <v>CA9901</v>
          </cell>
          <cell r="J310">
            <v>4200</v>
          </cell>
        </row>
        <row r="311">
          <cell r="I311" t="str">
            <v>CA0100</v>
          </cell>
          <cell r="J311">
            <v>26300</v>
          </cell>
        </row>
        <row r="312">
          <cell r="I312" t="str">
            <v>CA0401</v>
          </cell>
          <cell r="J312">
            <v>175400</v>
          </cell>
        </row>
        <row r="313">
          <cell r="I313" t="str">
            <v>CA0402</v>
          </cell>
          <cell r="J313">
            <v>194300</v>
          </cell>
        </row>
        <row r="314">
          <cell r="I314" t="str">
            <v>CA0501</v>
          </cell>
          <cell r="J314">
            <v>161700</v>
          </cell>
        </row>
        <row r="315">
          <cell r="I315" t="str">
            <v>CA0601</v>
          </cell>
          <cell r="J315">
            <v>99800</v>
          </cell>
        </row>
        <row r="316">
          <cell r="I316" t="str">
            <v>CA0702</v>
          </cell>
          <cell r="J316">
            <v>24200</v>
          </cell>
        </row>
        <row r="317">
          <cell r="I317" t="str">
            <v>CA0703</v>
          </cell>
          <cell r="J317">
            <v>18900</v>
          </cell>
        </row>
        <row r="318">
          <cell r="I318" t="str">
            <v>CA0801</v>
          </cell>
          <cell r="J318">
            <v>15800</v>
          </cell>
        </row>
        <row r="319">
          <cell r="I319" t="str">
            <v>CA0802</v>
          </cell>
          <cell r="J319">
            <v>142800</v>
          </cell>
        </row>
        <row r="320">
          <cell r="I320" t="str">
            <v>CA0803</v>
          </cell>
          <cell r="J320">
            <v>66200</v>
          </cell>
        </row>
        <row r="321">
          <cell r="I321" t="str">
            <v>CA0901</v>
          </cell>
          <cell r="J321">
            <v>48300</v>
          </cell>
        </row>
        <row r="322">
          <cell r="I322" t="str">
            <v>CA0001</v>
          </cell>
          <cell r="J322">
            <v>62000</v>
          </cell>
        </row>
        <row r="323">
          <cell r="I323" t="str">
            <v>CA0002</v>
          </cell>
          <cell r="J323">
            <v>172200</v>
          </cell>
        </row>
        <row r="324">
          <cell r="I324" t="str">
            <v>CA0110</v>
          </cell>
          <cell r="J324">
            <v>105000</v>
          </cell>
        </row>
        <row r="325">
          <cell r="I325" t="str">
            <v>CA1003</v>
          </cell>
          <cell r="J325">
            <v>44100</v>
          </cell>
        </row>
        <row r="326">
          <cell r="I326" t="str">
            <v>CA1004</v>
          </cell>
          <cell r="J326">
            <v>44100</v>
          </cell>
        </row>
        <row r="327">
          <cell r="I327" t="str">
            <v>CA1005</v>
          </cell>
          <cell r="J327">
            <v>44000</v>
          </cell>
        </row>
        <row r="328">
          <cell r="I328" t="str">
            <v>CA120</v>
          </cell>
          <cell r="J328">
            <v>123900</v>
          </cell>
        </row>
        <row r="329">
          <cell r="I329" t="str">
            <v>CA0120</v>
          </cell>
          <cell r="J329">
            <v>62000</v>
          </cell>
        </row>
        <row r="330">
          <cell r="I330" t="str">
            <v>NF0060</v>
          </cell>
          <cell r="J330">
            <v>110300</v>
          </cell>
        </row>
        <row r="331">
          <cell r="I331" t="str">
            <v>NF0080</v>
          </cell>
          <cell r="J331">
            <v>122900</v>
          </cell>
        </row>
        <row r="332">
          <cell r="I332" t="str">
            <v>NF0100</v>
          </cell>
          <cell r="J332">
            <v>134400</v>
          </cell>
        </row>
        <row r="333">
          <cell r="I333" t="str">
            <v>NF0120</v>
          </cell>
          <cell r="J333">
            <v>144900</v>
          </cell>
        </row>
        <row r="334">
          <cell r="I334" t="str">
            <v>NF0062</v>
          </cell>
          <cell r="J334">
            <v>123900</v>
          </cell>
        </row>
        <row r="335">
          <cell r="I335" t="str">
            <v>NF0082</v>
          </cell>
          <cell r="J335">
            <v>135500</v>
          </cell>
        </row>
        <row r="336">
          <cell r="I336" t="str">
            <v>NF0102</v>
          </cell>
          <cell r="J336">
            <v>147000</v>
          </cell>
        </row>
        <row r="337">
          <cell r="I337" t="str">
            <v>NF0122</v>
          </cell>
          <cell r="J337">
            <v>159600</v>
          </cell>
        </row>
        <row r="338">
          <cell r="I338" t="str">
            <v>NF0065</v>
          </cell>
          <cell r="J338">
            <v>143900</v>
          </cell>
        </row>
        <row r="339">
          <cell r="I339" t="str">
            <v>NF0085</v>
          </cell>
          <cell r="J339">
            <v>161700</v>
          </cell>
        </row>
        <row r="340">
          <cell r="I340" t="str">
            <v>NF0105</v>
          </cell>
          <cell r="J340">
            <v>177500</v>
          </cell>
        </row>
        <row r="341">
          <cell r="I341" t="str">
            <v>NF0125</v>
          </cell>
          <cell r="J341">
            <v>195300</v>
          </cell>
        </row>
        <row r="342">
          <cell r="I342" t="str">
            <v>NF0068</v>
          </cell>
          <cell r="J342">
            <v>170100</v>
          </cell>
        </row>
        <row r="343">
          <cell r="I343" t="str">
            <v>NF0088</v>
          </cell>
          <cell r="J343">
            <v>195300</v>
          </cell>
        </row>
        <row r="344">
          <cell r="I344" t="str">
            <v>NF0108</v>
          </cell>
          <cell r="J344">
            <v>221600</v>
          </cell>
        </row>
        <row r="345">
          <cell r="I345" t="str">
            <v>NF0128</v>
          </cell>
          <cell r="J345">
            <v>245700</v>
          </cell>
        </row>
        <row r="346">
          <cell r="I346" t="str">
            <v>NF1082</v>
          </cell>
          <cell r="J346">
            <v>204800</v>
          </cell>
        </row>
        <row r="347">
          <cell r="I347" t="str">
            <v>NF1102</v>
          </cell>
          <cell r="J347">
            <v>231000</v>
          </cell>
        </row>
        <row r="348">
          <cell r="I348" t="str">
            <v>NF1085</v>
          </cell>
          <cell r="J348">
            <v>234200</v>
          </cell>
        </row>
        <row r="349">
          <cell r="I349" t="str">
            <v>NF1105</v>
          </cell>
          <cell r="J349">
            <v>273000</v>
          </cell>
        </row>
        <row r="350">
          <cell r="I350" t="str">
            <v>NF1088</v>
          </cell>
          <cell r="J350">
            <v>273000</v>
          </cell>
        </row>
        <row r="351">
          <cell r="I351" t="str">
            <v>NF1108</v>
          </cell>
          <cell r="J351">
            <v>321300</v>
          </cell>
        </row>
        <row r="352">
          <cell r="I352" t="str">
            <v>NF2085</v>
          </cell>
          <cell r="J352">
            <v>242600</v>
          </cell>
        </row>
        <row r="353">
          <cell r="I353" t="str">
            <v>NF2105</v>
          </cell>
          <cell r="J353">
            <v>281400</v>
          </cell>
        </row>
        <row r="354">
          <cell r="I354" t="str">
            <v>NF2088</v>
          </cell>
          <cell r="J354">
            <v>281400</v>
          </cell>
        </row>
        <row r="355">
          <cell r="I355" t="str">
            <v>NF2108</v>
          </cell>
          <cell r="J355">
            <v>329700</v>
          </cell>
        </row>
        <row r="356">
          <cell r="I356" t="str">
            <v>NF0060X</v>
          </cell>
          <cell r="J356">
            <v>114500</v>
          </cell>
        </row>
        <row r="357">
          <cell r="I357" t="str">
            <v>NF0080X</v>
          </cell>
          <cell r="J357">
            <v>128100</v>
          </cell>
        </row>
        <row r="358">
          <cell r="I358" t="str">
            <v>NF0100X</v>
          </cell>
          <cell r="J358">
            <v>138600</v>
          </cell>
        </row>
        <row r="359">
          <cell r="I359" t="str">
            <v>NF0120X</v>
          </cell>
          <cell r="J359">
            <v>150200</v>
          </cell>
        </row>
        <row r="360">
          <cell r="I360" t="str">
            <v>NA0001</v>
          </cell>
          <cell r="J360">
            <v>1600</v>
          </cell>
        </row>
        <row r="361">
          <cell r="I361" t="str">
            <v>NA0006</v>
          </cell>
          <cell r="J361">
            <v>11300</v>
          </cell>
        </row>
        <row r="362">
          <cell r="I362" t="str">
            <v>NA0008</v>
          </cell>
          <cell r="J362">
            <v>14500</v>
          </cell>
        </row>
        <row r="363">
          <cell r="I363" t="str">
            <v>NA0010</v>
          </cell>
          <cell r="J363">
            <v>17700</v>
          </cell>
        </row>
        <row r="364">
          <cell r="I364" t="str">
            <v>NA0012</v>
          </cell>
          <cell r="J364">
            <v>21000</v>
          </cell>
        </row>
        <row r="365">
          <cell r="I365" t="str">
            <v>NA0014</v>
          </cell>
          <cell r="J365">
            <v>24300</v>
          </cell>
        </row>
        <row r="366">
          <cell r="I366" t="str">
            <v>NA0016</v>
          </cell>
          <cell r="J366">
            <v>27500</v>
          </cell>
        </row>
        <row r="367">
          <cell r="I367" t="str">
            <v>NA0101</v>
          </cell>
          <cell r="J367">
            <v>14500</v>
          </cell>
        </row>
        <row r="368">
          <cell r="I368" t="str">
            <v>NA0102</v>
          </cell>
          <cell r="J368">
            <v>27500</v>
          </cell>
        </row>
        <row r="369">
          <cell r="I369" t="str">
            <v>NA0103</v>
          </cell>
          <cell r="J369">
            <v>16200</v>
          </cell>
        </row>
        <row r="370">
          <cell r="I370" t="str">
            <v>NA0104</v>
          </cell>
          <cell r="J370">
            <v>50100</v>
          </cell>
        </row>
        <row r="371">
          <cell r="I371" t="str">
            <v>NA0105</v>
          </cell>
          <cell r="J371">
            <v>14500</v>
          </cell>
        </row>
        <row r="372">
          <cell r="I372" t="str">
            <v>NA0106</v>
          </cell>
          <cell r="J372">
            <v>11300</v>
          </cell>
        </row>
        <row r="373">
          <cell r="I373" t="str">
            <v>NA0107</v>
          </cell>
          <cell r="J373">
            <v>11300</v>
          </cell>
        </row>
        <row r="374">
          <cell r="I374" t="str">
            <v>NF8001</v>
          </cell>
          <cell r="J374">
            <v>25700</v>
          </cell>
        </row>
        <row r="375">
          <cell r="I375" t="str">
            <v>NF8002</v>
          </cell>
          <cell r="J375">
            <v>3300</v>
          </cell>
        </row>
        <row r="376">
          <cell r="I376" t="str">
            <v>NF5109</v>
          </cell>
          <cell r="J376">
            <v>14700</v>
          </cell>
        </row>
        <row r="377">
          <cell r="I377" t="str">
            <v>NF5110</v>
          </cell>
          <cell r="J377">
            <v>16300</v>
          </cell>
        </row>
        <row r="378">
          <cell r="I378" t="str">
            <v>NF5112</v>
          </cell>
          <cell r="J378">
            <v>16300</v>
          </cell>
        </row>
        <row r="379">
          <cell r="I379" t="str">
            <v>NF5115</v>
          </cell>
          <cell r="J379">
            <v>21000</v>
          </cell>
        </row>
        <row r="380">
          <cell r="I380" t="str">
            <v>NF5118</v>
          </cell>
          <cell r="J380">
            <v>24200</v>
          </cell>
        </row>
        <row r="381">
          <cell r="I381" t="str">
            <v>NF5209</v>
          </cell>
          <cell r="J381">
            <v>17900</v>
          </cell>
        </row>
        <row r="382">
          <cell r="I382" t="str">
            <v>NF5210</v>
          </cell>
          <cell r="J382">
            <v>21000</v>
          </cell>
        </row>
        <row r="383">
          <cell r="I383" t="str">
            <v>NF5212</v>
          </cell>
          <cell r="J383">
            <v>21000</v>
          </cell>
        </row>
        <row r="384">
          <cell r="I384" t="str">
            <v>NF5215</v>
          </cell>
          <cell r="J384">
            <v>24200</v>
          </cell>
        </row>
        <row r="385">
          <cell r="I385" t="str">
            <v>NF5218</v>
          </cell>
          <cell r="J385">
            <v>27300</v>
          </cell>
        </row>
        <row r="386">
          <cell r="I386" t="str">
            <v>NF5309</v>
          </cell>
          <cell r="J386">
            <v>14700</v>
          </cell>
        </row>
        <row r="387">
          <cell r="I387" t="str">
            <v>NF5310</v>
          </cell>
          <cell r="J387">
            <v>16300</v>
          </cell>
        </row>
        <row r="388">
          <cell r="I388" t="str">
            <v>NF5312</v>
          </cell>
          <cell r="J388">
            <v>16300</v>
          </cell>
        </row>
        <row r="389">
          <cell r="I389" t="str">
            <v>NF5315</v>
          </cell>
          <cell r="J389">
            <v>21000</v>
          </cell>
        </row>
        <row r="390">
          <cell r="I390" t="str">
            <v>NF5318</v>
          </cell>
          <cell r="J390">
            <v>24200</v>
          </cell>
        </row>
        <row r="391">
          <cell r="I391" t="str">
            <v>NF5409</v>
          </cell>
          <cell r="J391">
            <v>14700</v>
          </cell>
        </row>
        <row r="392">
          <cell r="I392" t="str">
            <v>NF5410</v>
          </cell>
          <cell r="J392">
            <v>16300</v>
          </cell>
        </row>
        <row r="393">
          <cell r="I393" t="str">
            <v>NF5412</v>
          </cell>
          <cell r="J393">
            <v>16300</v>
          </cell>
        </row>
        <row r="394">
          <cell r="I394" t="str">
            <v>NF5415</v>
          </cell>
          <cell r="J394">
            <v>21000</v>
          </cell>
        </row>
        <row r="395">
          <cell r="I395" t="str">
            <v>NF5418</v>
          </cell>
          <cell r="J395">
            <v>24200</v>
          </cell>
        </row>
        <row r="396">
          <cell r="I396" t="str">
            <v>NF5500</v>
          </cell>
          <cell r="J396">
            <v>11600</v>
          </cell>
        </row>
        <row r="397">
          <cell r="I397" t="str">
            <v>NF5600</v>
          </cell>
          <cell r="J397">
            <v>11600</v>
          </cell>
        </row>
        <row r="398">
          <cell r="I398" t="str">
            <v>NF6009</v>
          </cell>
          <cell r="J398">
            <v>3200</v>
          </cell>
        </row>
        <row r="399">
          <cell r="I399" t="str">
            <v>NF6010</v>
          </cell>
          <cell r="J399">
            <v>3200</v>
          </cell>
        </row>
        <row r="400">
          <cell r="I400" t="str">
            <v>NF6012</v>
          </cell>
          <cell r="J400">
            <v>3200</v>
          </cell>
        </row>
        <row r="401">
          <cell r="I401" t="str">
            <v>NF6015</v>
          </cell>
          <cell r="J401">
            <v>4700</v>
          </cell>
        </row>
        <row r="402">
          <cell r="I402" t="str">
            <v>NF6018</v>
          </cell>
          <cell r="J402">
            <v>4700</v>
          </cell>
        </row>
        <row r="403">
          <cell r="I403" t="str">
            <v>NF6103</v>
          </cell>
          <cell r="J403">
            <v>1600</v>
          </cell>
        </row>
        <row r="404">
          <cell r="I404" t="str">
            <v>NF6106</v>
          </cell>
          <cell r="J404">
            <v>1600</v>
          </cell>
        </row>
        <row r="405">
          <cell r="I405" t="str">
            <v>NF6109</v>
          </cell>
          <cell r="J405">
            <v>3200</v>
          </cell>
        </row>
        <row r="406">
          <cell r="I406" t="str">
            <v>NF6303</v>
          </cell>
          <cell r="J406">
            <v>9500</v>
          </cell>
        </row>
        <row r="407">
          <cell r="I407" t="str">
            <v>NF6306</v>
          </cell>
          <cell r="J407">
            <v>11600</v>
          </cell>
        </row>
        <row r="408">
          <cell r="I408" t="str">
            <v>NF6309</v>
          </cell>
          <cell r="J408">
            <v>13100</v>
          </cell>
        </row>
        <row r="409">
          <cell r="I409" t="str">
            <v>NF6403</v>
          </cell>
          <cell r="J409">
            <v>9500</v>
          </cell>
        </row>
        <row r="410">
          <cell r="I410" t="str">
            <v>NF6406</v>
          </cell>
          <cell r="J410">
            <v>11600</v>
          </cell>
        </row>
        <row r="411">
          <cell r="I411" t="str">
            <v>NF6409</v>
          </cell>
          <cell r="J411">
            <v>12600</v>
          </cell>
        </row>
        <row r="412">
          <cell r="I412" t="str">
            <v>NT8001</v>
          </cell>
          <cell r="J412">
            <v>17900</v>
          </cell>
        </row>
        <row r="413">
          <cell r="I413" t="str">
            <v>NT0006</v>
          </cell>
          <cell r="J413">
            <v>66200</v>
          </cell>
        </row>
        <row r="414">
          <cell r="I414" t="str">
            <v>NT0008</v>
          </cell>
          <cell r="J414">
            <v>74600</v>
          </cell>
        </row>
        <row r="415">
          <cell r="I415" t="str">
            <v>NT0010</v>
          </cell>
          <cell r="J415">
            <v>87200</v>
          </cell>
        </row>
        <row r="416">
          <cell r="I416" t="str">
            <v>NT0012</v>
          </cell>
          <cell r="J416">
            <v>92400</v>
          </cell>
        </row>
        <row r="417">
          <cell r="I417" t="str">
            <v>NT0016</v>
          </cell>
          <cell r="J417">
            <v>123900</v>
          </cell>
        </row>
        <row r="418">
          <cell r="I418" t="str">
            <v>NT0018</v>
          </cell>
          <cell r="J418">
            <v>140700</v>
          </cell>
        </row>
        <row r="419">
          <cell r="I419" t="str">
            <v>NT0106</v>
          </cell>
          <cell r="J419">
            <v>54600</v>
          </cell>
        </row>
        <row r="420">
          <cell r="I420" t="str">
            <v>NT0108</v>
          </cell>
          <cell r="J420">
            <v>63000</v>
          </cell>
        </row>
        <row r="421">
          <cell r="I421" t="str">
            <v>NT0110</v>
          </cell>
          <cell r="J421">
            <v>72500</v>
          </cell>
        </row>
        <row r="422">
          <cell r="I422" t="str">
            <v>NT0112</v>
          </cell>
          <cell r="J422">
            <v>75600</v>
          </cell>
        </row>
        <row r="423">
          <cell r="I423" t="str">
            <v>NT0116</v>
          </cell>
          <cell r="J423">
            <v>102900</v>
          </cell>
        </row>
        <row r="424">
          <cell r="I424" t="str">
            <v>NT0118</v>
          </cell>
          <cell r="J424">
            <v>116600</v>
          </cell>
        </row>
        <row r="425">
          <cell r="I425" t="str">
            <v>NT0100</v>
          </cell>
          <cell r="J425">
            <v>63000</v>
          </cell>
        </row>
        <row r="426">
          <cell r="I426" t="str">
            <v>NT0000</v>
          </cell>
          <cell r="J426">
            <v>72500</v>
          </cell>
        </row>
        <row r="427">
          <cell r="I427" t="str">
            <v>NT2004</v>
          </cell>
          <cell r="J427">
            <v>39900</v>
          </cell>
        </row>
        <row r="428">
          <cell r="I428" t="str">
            <v>NT2006</v>
          </cell>
          <cell r="J428">
            <v>45200</v>
          </cell>
        </row>
        <row r="429">
          <cell r="I429" t="str">
            <v>NT2008</v>
          </cell>
          <cell r="J429">
            <v>53600</v>
          </cell>
        </row>
        <row r="430">
          <cell r="I430" t="str">
            <v>NT2010</v>
          </cell>
          <cell r="J430">
            <v>63000</v>
          </cell>
        </row>
        <row r="431">
          <cell r="I431" t="str">
            <v>NT2012</v>
          </cell>
          <cell r="J431">
            <v>66200</v>
          </cell>
        </row>
        <row r="432">
          <cell r="I432" t="str">
            <v>NT2014</v>
          </cell>
          <cell r="J432">
            <v>81900</v>
          </cell>
        </row>
        <row r="433">
          <cell r="I433" t="str">
            <v>NT2016</v>
          </cell>
          <cell r="J433">
            <v>92400</v>
          </cell>
        </row>
        <row r="434">
          <cell r="I434" t="str">
            <v>NT2018</v>
          </cell>
          <cell r="J434">
            <v>95600</v>
          </cell>
        </row>
        <row r="435">
          <cell r="I435" t="str">
            <v>NT2122</v>
          </cell>
          <cell r="J435">
            <v>26300</v>
          </cell>
        </row>
        <row r="436">
          <cell r="I436" t="str">
            <v>NT2206</v>
          </cell>
          <cell r="J436">
            <v>53600</v>
          </cell>
        </row>
        <row r="437">
          <cell r="I437" t="str">
            <v>NT2208</v>
          </cell>
          <cell r="J437">
            <v>59900</v>
          </cell>
        </row>
        <row r="438">
          <cell r="I438" t="str">
            <v>NT2210</v>
          </cell>
          <cell r="J438">
            <v>66200</v>
          </cell>
        </row>
        <row r="439">
          <cell r="I439" t="str">
            <v>NT2212</v>
          </cell>
          <cell r="J439">
            <v>75600</v>
          </cell>
        </row>
        <row r="440">
          <cell r="I440" t="str">
            <v>NT2308</v>
          </cell>
          <cell r="J440">
            <v>45200</v>
          </cell>
        </row>
        <row r="441">
          <cell r="I441" t="str">
            <v>NT912</v>
          </cell>
          <cell r="J441">
            <v>84000</v>
          </cell>
        </row>
        <row r="442">
          <cell r="I442" t="str">
            <v>NT916</v>
          </cell>
          <cell r="J442">
            <v>129200</v>
          </cell>
        </row>
        <row r="443">
          <cell r="I443" t="str">
            <v>NT918</v>
          </cell>
          <cell r="J443">
            <v>153300</v>
          </cell>
        </row>
        <row r="444">
          <cell r="I444" t="str">
            <v>NT966</v>
          </cell>
          <cell r="J444">
            <v>112400</v>
          </cell>
        </row>
        <row r="445">
          <cell r="I445" t="str">
            <v>NT988</v>
          </cell>
          <cell r="J445">
            <v>143900</v>
          </cell>
        </row>
        <row r="446">
          <cell r="I446" t="str">
            <v>NT5566</v>
          </cell>
          <cell r="J446">
            <v>119700</v>
          </cell>
        </row>
        <row r="447">
          <cell r="I447" t="str">
            <v>NT5586R</v>
          </cell>
          <cell r="J447">
            <v>137600</v>
          </cell>
        </row>
        <row r="448">
          <cell r="I448" t="str">
            <v>NT5586L</v>
          </cell>
          <cell r="J448">
            <v>137600</v>
          </cell>
        </row>
        <row r="449">
          <cell r="I449" t="str">
            <v>NT5588</v>
          </cell>
          <cell r="J449">
            <v>144900</v>
          </cell>
        </row>
        <row r="450">
          <cell r="I450" t="str">
            <v>NT5806R</v>
          </cell>
          <cell r="J450">
            <v>80900</v>
          </cell>
        </row>
        <row r="451">
          <cell r="I451" t="str">
            <v>NT5806L</v>
          </cell>
          <cell r="J451">
            <v>80900</v>
          </cell>
        </row>
        <row r="452">
          <cell r="I452" t="str">
            <v>NT5266</v>
          </cell>
          <cell r="J452">
            <v>150200</v>
          </cell>
        </row>
        <row r="453">
          <cell r="I453" t="str">
            <v>NT5288</v>
          </cell>
          <cell r="J453">
            <v>155400</v>
          </cell>
        </row>
        <row r="454">
          <cell r="I454" t="str">
            <v>NT3006</v>
          </cell>
          <cell r="J454">
            <v>30500</v>
          </cell>
        </row>
        <row r="455">
          <cell r="I455" t="str">
            <v>NT3008</v>
          </cell>
          <cell r="J455">
            <v>35700</v>
          </cell>
        </row>
        <row r="456">
          <cell r="I456" t="str">
            <v>NT3010</v>
          </cell>
          <cell r="J456">
            <v>39900</v>
          </cell>
        </row>
        <row r="457">
          <cell r="I457" t="str">
            <v>NT3012</v>
          </cell>
          <cell r="J457">
            <v>45200</v>
          </cell>
        </row>
        <row r="458">
          <cell r="I458" t="str">
            <v>NT3306</v>
          </cell>
          <cell r="J458">
            <v>90300</v>
          </cell>
        </row>
        <row r="459">
          <cell r="I459" t="str">
            <v>NT3308</v>
          </cell>
          <cell r="J459">
            <v>99800</v>
          </cell>
        </row>
        <row r="460">
          <cell r="I460" t="str">
            <v>NT3310</v>
          </cell>
          <cell r="J460">
            <v>119700</v>
          </cell>
        </row>
        <row r="461">
          <cell r="I461" t="str">
            <v>NT3312</v>
          </cell>
          <cell r="J461">
            <v>161700</v>
          </cell>
        </row>
        <row r="462">
          <cell r="I462" t="str">
            <v>NA0206</v>
          </cell>
          <cell r="J462">
            <v>6500</v>
          </cell>
        </row>
        <row r="463">
          <cell r="I463" t="str">
            <v>NA0208</v>
          </cell>
          <cell r="J463">
            <v>6500</v>
          </cell>
        </row>
        <row r="464">
          <cell r="I464" t="str">
            <v>NA0210</v>
          </cell>
          <cell r="J464">
            <v>8100</v>
          </cell>
        </row>
        <row r="465">
          <cell r="I465" t="str">
            <v>NA0212</v>
          </cell>
          <cell r="J465">
            <v>8100</v>
          </cell>
        </row>
        <row r="466">
          <cell r="I466" t="str">
            <v>NA0300</v>
          </cell>
          <cell r="J466">
            <v>4800</v>
          </cell>
        </row>
        <row r="467">
          <cell r="I467" t="str">
            <v>NA0400</v>
          </cell>
          <cell r="J467">
            <v>1300</v>
          </cell>
        </row>
        <row r="468">
          <cell r="I468" t="str">
            <v>CH0001</v>
          </cell>
          <cell r="J468">
            <v>39900</v>
          </cell>
        </row>
        <row r="469">
          <cell r="I469" t="str">
            <v>CH0002</v>
          </cell>
          <cell r="J469">
            <v>75600</v>
          </cell>
        </row>
        <row r="470">
          <cell r="I470" t="str">
            <v>CH0003</v>
          </cell>
          <cell r="J470">
            <v>65100</v>
          </cell>
        </row>
        <row r="471">
          <cell r="I471" t="str">
            <v>CH0004</v>
          </cell>
          <cell r="J471">
            <v>80900</v>
          </cell>
        </row>
        <row r="472">
          <cell r="I472" t="str">
            <v>CH0005</v>
          </cell>
          <cell r="J472">
            <v>158600</v>
          </cell>
        </row>
        <row r="473">
          <cell r="I473" t="str">
            <v>CH0005R</v>
          </cell>
          <cell r="J473">
            <v>13700</v>
          </cell>
        </row>
        <row r="474">
          <cell r="I474" t="str">
            <v>CH0005T</v>
          </cell>
          <cell r="J474">
            <v>34700</v>
          </cell>
        </row>
        <row r="475">
          <cell r="I475" t="str">
            <v>CH0007</v>
          </cell>
          <cell r="J475">
            <v>94500</v>
          </cell>
        </row>
        <row r="476">
          <cell r="I476" t="str">
            <v>CH0007천</v>
          </cell>
          <cell r="J476">
            <v>113400</v>
          </cell>
        </row>
        <row r="477">
          <cell r="I477" t="str">
            <v>CH0007B</v>
          </cell>
          <cell r="J477">
            <v>55700</v>
          </cell>
        </row>
        <row r="478">
          <cell r="I478" t="str">
            <v>CH0007B천</v>
          </cell>
          <cell r="J478">
            <v>75600</v>
          </cell>
        </row>
        <row r="479">
          <cell r="I479" t="str">
            <v>CH0007T</v>
          </cell>
          <cell r="J479">
            <v>27300</v>
          </cell>
        </row>
        <row r="480">
          <cell r="I480" t="str">
            <v>CH0007A</v>
          </cell>
          <cell r="J480">
            <v>10700</v>
          </cell>
        </row>
        <row r="481">
          <cell r="I481" t="str">
            <v>CH0007S</v>
          </cell>
          <cell r="J481">
            <v>27300</v>
          </cell>
        </row>
        <row r="482">
          <cell r="I482" t="str">
            <v>CH0007C</v>
          </cell>
          <cell r="J482">
            <v>26800</v>
          </cell>
        </row>
        <row r="483">
          <cell r="I483" t="str">
            <v>CH0007N</v>
          </cell>
          <cell r="J483">
            <v>500</v>
          </cell>
        </row>
        <row r="484">
          <cell r="I484" t="str">
            <v>CH0100</v>
          </cell>
          <cell r="J484">
            <v>602700</v>
          </cell>
        </row>
        <row r="485">
          <cell r="I485" t="str">
            <v>CH0101</v>
          </cell>
          <cell r="J485">
            <v>383300</v>
          </cell>
        </row>
        <row r="486">
          <cell r="I486" t="str">
            <v>CH0111</v>
          </cell>
          <cell r="J486">
            <v>254100</v>
          </cell>
        </row>
        <row r="487">
          <cell r="I487" t="str">
            <v>CH0200</v>
          </cell>
          <cell r="J487">
            <v>326600</v>
          </cell>
        </row>
        <row r="488">
          <cell r="I488" t="str">
            <v>CH0201</v>
          </cell>
          <cell r="J488">
            <v>302400</v>
          </cell>
        </row>
        <row r="489">
          <cell r="I489" t="str">
            <v>CH0211</v>
          </cell>
          <cell r="J489">
            <v>246800</v>
          </cell>
        </row>
        <row r="490">
          <cell r="I490" t="str">
            <v>CH0300</v>
          </cell>
          <cell r="J490">
            <v>153300</v>
          </cell>
        </row>
        <row r="491">
          <cell r="I491" t="str">
            <v>CH0303</v>
          </cell>
          <cell r="J491">
            <v>152300</v>
          </cell>
        </row>
        <row r="492">
          <cell r="I492" t="str">
            <v>CH0301</v>
          </cell>
          <cell r="J492">
            <v>135500</v>
          </cell>
        </row>
        <row r="493">
          <cell r="I493" t="str">
            <v>CH0302</v>
          </cell>
          <cell r="J493">
            <v>117600</v>
          </cell>
        </row>
        <row r="494">
          <cell r="I494" t="str">
            <v>CH0311</v>
          </cell>
          <cell r="J494">
            <v>98700</v>
          </cell>
        </row>
        <row r="495">
          <cell r="I495" t="str">
            <v>CH0300B</v>
          </cell>
          <cell r="J495">
            <v>170100</v>
          </cell>
        </row>
        <row r="496">
          <cell r="I496" t="str">
            <v>CH0301B</v>
          </cell>
          <cell r="J496">
            <v>143900</v>
          </cell>
        </row>
        <row r="497">
          <cell r="I497" t="str">
            <v>CH0311B</v>
          </cell>
          <cell r="J497">
            <v>119700</v>
          </cell>
        </row>
        <row r="498">
          <cell r="I498" t="str">
            <v>CH0332</v>
          </cell>
          <cell r="J498">
            <v>185900</v>
          </cell>
        </row>
        <row r="499">
          <cell r="I499" t="str">
            <v>CH0333</v>
          </cell>
          <cell r="J499">
            <v>257300</v>
          </cell>
        </row>
        <row r="500">
          <cell r="I500" t="str">
            <v>CH0332S</v>
          </cell>
          <cell r="J500">
            <v>210000</v>
          </cell>
        </row>
        <row r="501">
          <cell r="I501" t="str">
            <v>CH0032</v>
          </cell>
          <cell r="J501">
            <v>98100</v>
          </cell>
        </row>
        <row r="502">
          <cell r="I502" t="str">
            <v>CH0033</v>
          </cell>
          <cell r="J502">
            <v>126000</v>
          </cell>
        </row>
        <row r="503">
          <cell r="I503" t="str">
            <v>CH0032S</v>
          </cell>
          <cell r="J503">
            <v>120800</v>
          </cell>
        </row>
        <row r="504">
          <cell r="I504" t="str">
            <v>CH0342</v>
          </cell>
          <cell r="J504">
            <v>120800</v>
          </cell>
        </row>
        <row r="505">
          <cell r="I505" t="str">
            <v>CH0342S</v>
          </cell>
          <cell r="J505">
            <v>147000</v>
          </cell>
        </row>
        <row r="506">
          <cell r="I506" t="str">
            <v>CH0343</v>
          </cell>
          <cell r="J506">
            <v>159600</v>
          </cell>
        </row>
        <row r="507">
          <cell r="I507" t="str">
            <v>CH0401</v>
          </cell>
          <cell r="J507">
            <v>219500</v>
          </cell>
        </row>
        <row r="508">
          <cell r="I508" t="str">
            <v>CH0402</v>
          </cell>
          <cell r="J508">
            <v>189000</v>
          </cell>
        </row>
        <row r="509">
          <cell r="I509" t="str">
            <v>CH0411</v>
          </cell>
          <cell r="J509">
            <v>135500</v>
          </cell>
        </row>
        <row r="510">
          <cell r="I510" t="str">
            <v>CH0491</v>
          </cell>
          <cell r="J510">
            <v>23100</v>
          </cell>
        </row>
        <row r="511">
          <cell r="I511" t="str">
            <v>CH0500</v>
          </cell>
          <cell r="J511">
            <v>170100</v>
          </cell>
        </row>
        <row r="512">
          <cell r="I512" t="str">
            <v>CH0501</v>
          </cell>
          <cell r="J512">
            <v>159600</v>
          </cell>
        </row>
        <row r="513">
          <cell r="I513" t="str">
            <v>CH0502</v>
          </cell>
          <cell r="J513">
            <v>150200</v>
          </cell>
        </row>
        <row r="514">
          <cell r="I514" t="str">
            <v>CH0511</v>
          </cell>
          <cell r="J514">
            <v>107100</v>
          </cell>
        </row>
        <row r="515">
          <cell r="I515" t="str">
            <v>CH0600</v>
          </cell>
          <cell r="J515">
            <v>221600</v>
          </cell>
        </row>
        <row r="516">
          <cell r="I516" t="str">
            <v>CH0601</v>
          </cell>
          <cell r="J516">
            <v>201600</v>
          </cell>
        </row>
        <row r="517">
          <cell r="I517" t="str">
            <v>CH0602</v>
          </cell>
          <cell r="J517">
            <v>177500</v>
          </cell>
        </row>
        <row r="518">
          <cell r="I518" t="str">
            <v>CH0611</v>
          </cell>
          <cell r="J518">
            <v>159600</v>
          </cell>
        </row>
        <row r="519">
          <cell r="I519" t="str">
            <v>CH0701</v>
          </cell>
          <cell r="J519">
            <v>120800</v>
          </cell>
        </row>
        <row r="520">
          <cell r="I520" t="str">
            <v>CH0702</v>
          </cell>
          <cell r="J520">
            <v>102900</v>
          </cell>
        </row>
        <row r="521">
          <cell r="I521" t="str">
            <v>CH0712</v>
          </cell>
          <cell r="J521">
            <v>78800</v>
          </cell>
        </row>
        <row r="522">
          <cell r="I522" t="str">
            <v>CH0801</v>
          </cell>
          <cell r="J522">
            <v>108200</v>
          </cell>
        </row>
        <row r="523">
          <cell r="I523" t="str">
            <v>CH0802</v>
          </cell>
          <cell r="J523">
            <v>90300</v>
          </cell>
        </row>
        <row r="524">
          <cell r="I524" t="str">
            <v>CH0812</v>
          </cell>
          <cell r="J524">
            <v>66200</v>
          </cell>
        </row>
        <row r="525">
          <cell r="I525" t="str">
            <v>CH0900</v>
          </cell>
          <cell r="J525">
            <v>798000</v>
          </cell>
        </row>
        <row r="526">
          <cell r="I526" t="str">
            <v>CH0901</v>
          </cell>
          <cell r="J526">
            <v>707700</v>
          </cell>
        </row>
        <row r="527">
          <cell r="I527" t="str">
            <v>CH0911</v>
          </cell>
          <cell r="J527">
            <v>614300</v>
          </cell>
        </row>
        <row r="528">
          <cell r="I528" t="str">
            <v>CH1000</v>
          </cell>
          <cell r="J528">
            <v>882000</v>
          </cell>
        </row>
        <row r="529">
          <cell r="I529" t="str">
            <v>CH1001</v>
          </cell>
          <cell r="J529">
            <v>764400</v>
          </cell>
        </row>
        <row r="530">
          <cell r="I530" t="str">
            <v>CH9000</v>
          </cell>
          <cell r="J530">
            <v>3011400</v>
          </cell>
        </row>
        <row r="531">
          <cell r="I531" t="str">
            <v>CH9901</v>
          </cell>
          <cell r="J531">
            <v>45200</v>
          </cell>
        </row>
        <row r="532">
          <cell r="I532" t="str">
            <v>CH9903</v>
          </cell>
          <cell r="J532">
            <v>45200</v>
          </cell>
        </row>
        <row r="533">
          <cell r="I533" t="str">
            <v>CH9905</v>
          </cell>
          <cell r="J533">
            <v>66200</v>
          </cell>
        </row>
        <row r="534">
          <cell r="I534" t="str">
            <v>CH0907</v>
          </cell>
          <cell r="J534">
            <v>102900</v>
          </cell>
        </row>
        <row r="535">
          <cell r="I535" t="str">
            <v>CH9917</v>
          </cell>
          <cell r="J535">
            <v>210000</v>
          </cell>
        </row>
        <row r="536">
          <cell r="I536" t="str">
            <v>CS0101</v>
          </cell>
          <cell r="J536">
            <v>219500</v>
          </cell>
        </row>
        <row r="537">
          <cell r="I537" t="str">
            <v>CS0103</v>
          </cell>
          <cell r="J537">
            <v>392700</v>
          </cell>
        </row>
        <row r="538">
          <cell r="I538" t="str">
            <v>CS0301</v>
          </cell>
          <cell r="J538">
            <v>258300</v>
          </cell>
        </row>
        <row r="539">
          <cell r="I539" t="str">
            <v>CS0303</v>
          </cell>
          <cell r="J539">
            <v>449400</v>
          </cell>
        </row>
        <row r="540">
          <cell r="I540" t="str">
            <v>CS401천연</v>
          </cell>
          <cell r="J540">
            <v>407400</v>
          </cell>
        </row>
        <row r="541">
          <cell r="I541" t="str">
            <v>CS401인조</v>
          </cell>
          <cell r="J541">
            <v>300300</v>
          </cell>
        </row>
        <row r="542">
          <cell r="I542" t="str">
            <v>CS0501</v>
          </cell>
          <cell r="J542">
            <v>197400</v>
          </cell>
        </row>
        <row r="543">
          <cell r="I543" t="str">
            <v>CS0503</v>
          </cell>
          <cell r="J543">
            <v>329700</v>
          </cell>
        </row>
        <row r="544">
          <cell r="I544" t="str">
            <v>CS0601</v>
          </cell>
          <cell r="J544">
            <v>246800</v>
          </cell>
        </row>
        <row r="545">
          <cell r="I545" t="str">
            <v>CS0603</v>
          </cell>
          <cell r="J545">
            <v>411600</v>
          </cell>
        </row>
        <row r="546">
          <cell r="I546" t="str">
            <v>CS0701</v>
          </cell>
          <cell r="J546">
            <v>305600</v>
          </cell>
        </row>
        <row r="547">
          <cell r="I547" t="str">
            <v>CS0703</v>
          </cell>
          <cell r="J547">
            <v>483000</v>
          </cell>
        </row>
        <row r="548">
          <cell r="I548" t="str">
            <v>CS0801천연</v>
          </cell>
          <cell r="J548">
            <v>909300</v>
          </cell>
        </row>
        <row r="549">
          <cell r="I549" t="str">
            <v>CS0803천연</v>
          </cell>
          <cell r="J549">
            <v>357000</v>
          </cell>
        </row>
        <row r="550">
          <cell r="I550" t="str">
            <v>CS0801인조</v>
          </cell>
          <cell r="J550">
            <v>1494200</v>
          </cell>
        </row>
        <row r="551">
          <cell r="I551" t="str">
            <v>CS0803인조</v>
          </cell>
          <cell r="J551">
            <v>576500</v>
          </cell>
        </row>
        <row r="552">
          <cell r="I552" t="str">
            <v>CS0901</v>
          </cell>
          <cell r="J552">
            <v>906200</v>
          </cell>
        </row>
        <row r="553">
          <cell r="I553" t="str">
            <v>CS0902</v>
          </cell>
          <cell r="J553">
            <v>1107800</v>
          </cell>
        </row>
        <row r="554">
          <cell r="I554" t="str">
            <v>CS0903</v>
          </cell>
          <cell r="J554">
            <v>1434300</v>
          </cell>
        </row>
        <row r="555">
          <cell r="I555" t="str">
            <v>CS1001</v>
          </cell>
          <cell r="J555">
            <v>945000</v>
          </cell>
        </row>
        <row r="556">
          <cell r="I556" t="str">
            <v>CS1002</v>
          </cell>
          <cell r="J556">
            <v>1211700</v>
          </cell>
        </row>
        <row r="557">
          <cell r="I557" t="str">
            <v>CS1003</v>
          </cell>
          <cell r="J557">
            <v>1530900</v>
          </cell>
        </row>
        <row r="558">
          <cell r="I558" t="str">
            <v>EL0104</v>
          </cell>
          <cell r="J558">
            <v>68300</v>
          </cell>
        </row>
        <row r="559">
          <cell r="I559" t="str">
            <v>EL0112</v>
          </cell>
          <cell r="J559">
            <v>98700</v>
          </cell>
        </row>
        <row r="560">
          <cell r="I560" t="str">
            <v>CL0204</v>
          </cell>
          <cell r="J560">
            <v>90300</v>
          </cell>
        </row>
        <row r="561">
          <cell r="I561" t="str">
            <v>CL0207</v>
          </cell>
          <cell r="J561">
            <v>86100</v>
          </cell>
        </row>
        <row r="562">
          <cell r="I562" t="str">
            <v>CL0212</v>
          </cell>
          <cell r="J562">
            <v>107100</v>
          </cell>
        </row>
        <row r="563">
          <cell r="I563" t="str">
            <v>CL034</v>
          </cell>
          <cell r="J563">
            <v>153300</v>
          </cell>
        </row>
        <row r="564">
          <cell r="I564" t="str">
            <v>CL031</v>
          </cell>
          <cell r="J564">
            <v>183800</v>
          </cell>
        </row>
        <row r="565">
          <cell r="I565" t="str">
            <v>CL046</v>
          </cell>
          <cell r="J565">
            <v>174300</v>
          </cell>
        </row>
        <row r="566">
          <cell r="I566" t="str">
            <v>CL044</v>
          </cell>
          <cell r="J566">
            <v>185900</v>
          </cell>
        </row>
        <row r="567">
          <cell r="I567" t="str">
            <v>CL041</v>
          </cell>
          <cell r="J567">
            <v>243600</v>
          </cell>
        </row>
        <row r="568">
          <cell r="I568" t="str">
            <v>CL056</v>
          </cell>
          <cell r="J568">
            <v>117600</v>
          </cell>
        </row>
        <row r="569">
          <cell r="I569" t="str">
            <v>CL054</v>
          </cell>
          <cell r="J569">
            <v>129200</v>
          </cell>
        </row>
        <row r="570">
          <cell r="I570" t="str">
            <v>CL051</v>
          </cell>
          <cell r="J570">
            <v>185900</v>
          </cell>
        </row>
        <row r="571">
          <cell r="I571" t="str">
            <v>PL0904</v>
          </cell>
          <cell r="J571">
            <v>245700</v>
          </cell>
        </row>
        <row r="572">
          <cell r="I572" t="str">
            <v>PL0908</v>
          </cell>
          <cell r="J572">
            <v>227900</v>
          </cell>
        </row>
        <row r="573">
          <cell r="I573" t="str">
            <v>PL0912</v>
          </cell>
          <cell r="J573">
            <v>261500</v>
          </cell>
        </row>
        <row r="574">
          <cell r="I574" t="str">
            <v>PL0914</v>
          </cell>
          <cell r="J574">
            <v>297200</v>
          </cell>
        </row>
        <row r="575">
          <cell r="I575" t="str">
            <v>AT0106</v>
          </cell>
          <cell r="J575">
            <v>54600</v>
          </cell>
        </row>
        <row r="576">
          <cell r="I576" t="str">
            <v>AT0108</v>
          </cell>
          <cell r="J576">
            <v>63000</v>
          </cell>
        </row>
        <row r="577">
          <cell r="I577" t="str">
            <v>AT0110</v>
          </cell>
          <cell r="J577">
            <v>72500</v>
          </cell>
        </row>
        <row r="578">
          <cell r="I578" t="str">
            <v>AT0112</v>
          </cell>
          <cell r="J578">
            <v>75600</v>
          </cell>
        </row>
        <row r="579">
          <cell r="I579" t="str">
            <v>AT0114</v>
          </cell>
          <cell r="J579">
            <v>87200</v>
          </cell>
        </row>
        <row r="580">
          <cell r="I580" t="str">
            <v>AT0116</v>
          </cell>
          <cell r="J580">
            <v>102900</v>
          </cell>
        </row>
        <row r="581">
          <cell r="I581" t="str">
            <v>AT0118</v>
          </cell>
          <cell r="J581">
            <v>116600</v>
          </cell>
        </row>
        <row r="582">
          <cell r="I582" t="str">
            <v>AT0006</v>
          </cell>
          <cell r="J582">
            <v>66200</v>
          </cell>
        </row>
        <row r="583">
          <cell r="I583" t="str">
            <v>AT0008</v>
          </cell>
          <cell r="J583">
            <v>74600</v>
          </cell>
        </row>
        <row r="584">
          <cell r="I584" t="str">
            <v>AT0010</v>
          </cell>
          <cell r="J584">
            <v>87200</v>
          </cell>
        </row>
        <row r="585">
          <cell r="I585" t="str">
            <v>AT0012</v>
          </cell>
          <cell r="J585">
            <v>92400</v>
          </cell>
        </row>
        <row r="586">
          <cell r="I586" t="str">
            <v>AT0014</v>
          </cell>
          <cell r="J586">
            <v>110300</v>
          </cell>
        </row>
        <row r="587">
          <cell r="I587" t="str">
            <v>AT0016</v>
          </cell>
          <cell r="J587">
            <v>123900</v>
          </cell>
        </row>
        <row r="588">
          <cell r="I588" t="str">
            <v>AT0018</v>
          </cell>
          <cell r="J588">
            <v>140700</v>
          </cell>
        </row>
        <row r="589">
          <cell r="I589" t="str">
            <v>AT0000R</v>
          </cell>
          <cell r="J589">
            <v>56700</v>
          </cell>
        </row>
        <row r="590">
          <cell r="I590" t="str">
            <v>AT0000L</v>
          </cell>
          <cell r="J590">
            <v>56700</v>
          </cell>
        </row>
        <row r="591">
          <cell r="I591" t="str">
            <v>AT0100R</v>
          </cell>
          <cell r="J591">
            <v>45200</v>
          </cell>
        </row>
        <row r="592">
          <cell r="I592" t="str">
            <v>AT0100L</v>
          </cell>
          <cell r="J592">
            <v>45200</v>
          </cell>
        </row>
        <row r="593">
          <cell r="I593" t="str">
            <v>AT5066</v>
          </cell>
          <cell r="J593">
            <v>128100</v>
          </cell>
        </row>
        <row r="594">
          <cell r="I594" t="str">
            <v>AT5086R</v>
          </cell>
          <cell r="J594">
            <v>144900</v>
          </cell>
        </row>
        <row r="595">
          <cell r="I595" t="str">
            <v>AT5086L</v>
          </cell>
          <cell r="J595">
            <v>144900</v>
          </cell>
        </row>
        <row r="596">
          <cell r="I596" t="str">
            <v>AT5088</v>
          </cell>
          <cell r="J596">
            <v>155400</v>
          </cell>
        </row>
        <row r="597">
          <cell r="I597" t="str">
            <v>AT5806R</v>
          </cell>
          <cell r="J597">
            <v>90300</v>
          </cell>
        </row>
        <row r="598">
          <cell r="I598" t="str">
            <v>AT5806L</v>
          </cell>
          <cell r="J598">
            <v>90300</v>
          </cell>
        </row>
        <row r="599">
          <cell r="I599" t="str">
            <v>AT5166</v>
          </cell>
          <cell r="J599">
            <v>110300</v>
          </cell>
        </row>
        <row r="600">
          <cell r="I600" t="str">
            <v>AT5186R</v>
          </cell>
          <cell r="J600">
            <v>128100</v>
          </cell>
        </row>
        <row r="601">
          <cell r="I601" t="str">
            <v>AT5186L</v>
          </cell>
          <cell r="J601">
            <v>128100</v>
          </cell>
        </row>
        <row r="602">
          <cell r="I602" t="str">
            <v>AT5188</v>
          </cell>
          <cell r="J602">
            <v>137600</v>
          </cell>
        </row>
        <row r="603">
          <cell r="I603" t="str">
            <v>AT5266</v>
          </cell>
          <cell r="J603">
            <v>161700</v>
          </cell>
        </row>
        <row r="604">
          <cell r="I604" t="str">
            <v>AT5288</v>
          </cell>
          <cell r="J604">
            <v>164900</v>
          </cell>
        </row>
        <row r="605">
          <cell r="I605" t="str">
            <v>AT912</v>
          </cell>
          <cell r="J605">
            <v>122900</v>
          </cell>
        </row>
        <row r="606">
          <cell r="I606" t="str">
            <v>AT914</v>
          </cell>
          <cell r="J606">
            <v>156500</v>
          </cell>
        </row>
        <row r="607">
          <cell r="I607" t="str">
            <v>AT916</v>
          </cell>
          <cell r="J607">
            <v>162800</v>
          </cell>
        </row>
        <row r="608">
          <cell r="I608" t="str">
            <v>AT918</v>
          </cell>
          <cell r="J608">
            <v>185900</v>
          </cell>
        </row>
        <row r="609">
          <cell r="I609" t="str">
            <v>AT988A</v>
          </cell>
          <cell r="J609">
            <v>176400</v>
          </cell>
        </row>
        <row r="610">
          <cell r="I610" t="str">
            <v>AT966A</v>
          </cell>
          <cell r="J610">
            <v>144900</v>
          </cell>
        </row>
        <row r="611">
          <cell r="I611" t="str">
            <v>AT988B</v>
          </cell>
          <cell r="J611">
            <v>198500</v>
          </cell>
        </row>
        <row r="612">
          <cell r="I612" t="str">
            <v>AT966B</v>
          </cell>
          <cell r="J612">
            <v>186900</v>
          </cell>
        </row>
        <row r="613">
          <cell r="I613" t="str">
            <v>AT914CR</v>
          </cell>
          <cell r="J613">
            <v>183800</v>
          </cell>
        </row>
        <row r="614">
          <cell r="I614" t="str">
            <v>AT914CL</v>
          </cell>
          <cell r="J614">
            <v>183800</v>
          </cell>
        </row>
        <row r="615">
          <cell r="I615" t="str">
            <v>AT916CR</v>
          </cell>
          <cell r="J615">
            <v>195300</v>
          </cell>
        </row>
        <row r="616">
          <cell r="I616" t="str">
            <v>AT916CL</v>
          </cell>
          <cell r="J616">
            <v>195300</v>
          </cell>
        </row>
        <row r="617">
          <cell r="I617" t="str">
            <v>AT966D</v>
          </cell>
          <cell r="J617">
            <v>203700</v>
          </cell>
        </row>
        <row r="618">
          <cell r="I618" t="str">
            <v>AT2004</v>
          </cell>
          <cell r="J618">
            <v>39900</v>
          </cell>
        </row>
        <row r="619">
          <cell r="I619" t="str">
            <v>AT2006</v>
          </cell>
          <cell r="J619">
            <v>45200</v>
          </cell>
        </row>
        <row r="620">
          <cell r="I620" t="str">
            <v>AT2008</v>
          </cell>
          <cell r="J620">
            <v>53600</v>
          </cell>
        </row>
        <row r="621">
          <cell r="I621" t="str">
            <v>AT2010</v>
          </cell>
          <cell r="J621">
            <v>63000</v>
          </cell>
        </row>
        <row r="622">
          <cell r="I622" t="str">
            <v>AT2012</v>
          </cell>
          <cell r="J622">
            <v>66200</v>
          </cell>
        </row>
        <row r="623">
          <cell r="I623" t="str">
            <v>AT2014</v>
          </cell>
          <cell r="J623">
            <v>81900</v>
          </cell>
        </row>
        <row r="624">
          <cell r="I624" t="str">
            <v>AT2016</v>
          </cell>
          <cell r="J624">
            <v>92400</v>
          </cell>
        </row>
        <row r="625">
          <cell r="I625" t="str">
            <v>AT2018</v>
          </cell>
          <cell r="J625">
            <v>95600</v>
          </cell>
        </row>
        <row r="626">
          <cell r="I626" t="str">
            <v>AT2122</v>
          </cell>
          <cell r="J626">
            <v>26300</v>
          </cell>
        </row>
        <row r="627">
          <cell r="I627" t="str">
            <v>AT2206</v>
          </cell>
          <cell r="J627">
            <v>53600</v>
          </cell>
        </row>
        <row r="628">
          <cell r="I628" t="str">
            <v>AT2208</v>
          </cell>
          <cell r="J628">
            <v>59900</v>
          </cell>
        </row>
        <row r="629">
          <cell r="I629" t="str">
            <v>AT2210</v>
          </cell>
          <cell r="J629">
            <v>66200</v>
          </cell>
        </row>
        <row r="630">
          <cell r="I630" t="str">
            <v>AT2212</v>
          </cell>
          <cell r="J630">
            <v>75600</v>
          </cell>
        </row>
        <row r="631">
          <cell r="I631" t="str">
            <v>AT2308</v>
          </cell>
          <cell r="J631">
            <v>45200</v>
          </cell>
        </row>
        <row r="632">
          <cell r="I632" t="str">
            <v>AA0006</v>
          </cell>
          <cell r="J632">
            <v>12600</v>
          </cell>
        </row>
        <row r="633">
          <cell r="I633" t="str">
            <v>AA0007</v>
          </cell>
          <cell r="J633">
            <v>14700</v>
          </cell>
        </row>
        <row r="634">
          <cell r="I634" t="str">
            <v>AA0008</v>
          </cell>
          <cell r="J634">
            <v>16200</v>
          </cell>
        </row>
        <row r="635">
          <cell r="I635" t="str">
            <v>AA0010</v>
          </cell>
          <cell r="J635">
            <v>20000</v>
          </cell>
        </row>
        <row r="636">
          <cell r="I636" t="str">
            <v>AA0012</v>
          </cell>
          <cell r="J636">
            <v>23400</v>
          </cell>
        </row>
        <row r="637">
          <cell r="I637" t="str">
            <v>AA0101</v>
          </cell>
          <cell r="J637">
            <v>5400</v>
          </cell>
        </row>
        <row r="638">
          <cell r="I638" t="str">
            <v>AA0102</v>
          </cell>
          <cell r="J638">
            <v>7600</v>
          </cell>
        </row>
        <row r="639">
          <cell r="I639" t="str">
            <v>AA0103</v>
          </cell>
          <cell r="J639">
            <v>9500</v>
          </cell>
        </row>
        <row r="640">
          <cell r="I640" t="str">
            <v>AA0104</v>
          </cell>
          <cell r="J640">
            <v>4200</v>
          </cell>
        </row>
        <row r="641">
          <cell r="I641" t="str">
            <v>AA0105</v>
          </cell>
          <cell r="J641">
            <v>6600</v>
          </cell>
        </row>
        <row r="642">
          <cell r="I642" t="str">
            <v>AA0106</v>
          </cell>
          <cell r="J642">
            <v>3400</v>
          </cell>
        </row>
        <row r="643">
          <cell r="I643" t="str">
            <v>AA1006</v>
          </cell>
          <cell r="J643">
            <v>9700</v>
          </cell>
        </row>
        <row r="644">
          <cell r="I644" t="str">
            <v>AA1007</v>
          </cell>
          <cell r="J644">
            <v>10800</v>
          </cell>
        </row>
        <row r="645">
          <cell r="I645" t="str">
            <v>AA1008</v>
          </cell>
          <cell r="J645">
            <v>12000</v>
          </cell>
        </row>
        <row r="646">
          <cell r="I646" t="str">
            <v>AA1010</v>
          </cell>
          <cell r="J646">
            <v>14400</v>
          </cell>
        </row>
        <row r="647">
          <cell r="I647" t="str">
            <v>AA1012</v>
          </cell>
          <cell r="J647">
            <v>16800</v>
          </cell>
        </row>
        <row r="648">
          <cell r="I648" t="str">
            <v>AA0901B</v>
          </cell>
          <cell r="J648">
            <v>82200</v>
          </cell>
        </row>
        <row r="649">
          <cell r="I649" t="str">
            <v>AA9901</v>
          </cell>
          <cell r="J649">
            <v>6000</v>
          </cell>
        </row>
        <row r="650">
          <cell r="I650" t="str">
            <v>AA0200</v>
          </cell>
          <cell r="J650">
            <v>1300</v>
          </cell>
        </row>
        <row r="651">
          <cell r="I651" t="str">
            <v>AF060</v>
          </cell>
          <cell r="J651">
            <v>143900</v>
          </cell>
        </row>
        <row r="652">
          <cell r="I652" t="str">
            <v>AF070</v>
          </cell>
          <cell r="J652">
            <v>157500</v>
          </cell>
        </row>
        <row r="653">
          <cell r="I653" t="str">
            <v>AF080</v>
          </cell>
          <cell r="J653">
            <v>167000</v>
          </cell>
        </row>
        <row r="654">
          <cell r="I654" t="str">
            <v>AF100</v>
          </cell>
          <cell r="J654">
            <v>184800</v>
          </cell>
        </row>
        <row r="655">
          <cell r="I655" t="str">
            <v>AF120</v>
          </cell>
          <cell r="J655">
            <v>204800</v>
          </cell>
        </row>
        <row r="656">
          <cell r="I656" t="str">
            <v>AF062</v>
          </cell>
          <cell r="J656">
            <v>170100</v>
          </cell>
        </row>
        <row r="657">
          <cell r="I657" t="str">
            <v>AF072</v>
          </cell>
          <cell r="J657">
            <v>184800</v>
          </cell>
        </row>
        <row r="658">
          <cell r="I658" t="str">
            <v>AF082</v>
          </cell>
          <cell r="J658">
            <v>198500</v>
          </cell>
        </row>
        <row r="659">
          <cell r="I659" t="str">
            <v>AF102</v>
          </cell>
          <cell r="J659">
            <v>220500</v>
          </cell>
        </row>
        <row r="660">
          <cell r="I660" t="str">
            <v>AF122</v>
          </cell>
          <cell r="J660">
            <v>244700</v>
          </cell>
        </row>
        <row r="661">
          <cell r="I661" t="str">
            <v>AF064</v>
          </cell>
          <cell r="J661">
            <v>195300</v>
          </cell>
        </row>
        <row r="662">
          <cell r="I662" t="str">
            <v>AF074</v>
          </cell>
          <cell r="J662">
            <v>214200</v>
          </cell>
        </row>
        <row r="663">
          <cell r="I663" t="str">
            <v>AF084</v>
          </cell>
          <cell r="J663">
            <v>228900</v>
          </cell>
        </row>
        <row r="664">
          <cell r="I664" t="str">
            <v>AF104</v>
          </cell>
          <cell r="J664">
            <v>256200</v>
          </cell>
        </row>
        <row r="665">
          <cell r="I665" t="str">
            <v>AF124</v>
          </cell>
          <cell r="J665">
            <v>285600</v>
          </cell>
        </row>
        <row r="666">
          <cell r="I666" t="str">
            <v>AF066</v>
          </cell>
          <cell r="J666">
            <v>221600</v>
          </cell>
        </row>
        <row r="667">
          <cell r="I667" t="str">
            <v>AF076</v>
          </cell>
          <cell r="J667">
            <v>241500</v>
          </cell>
        </row>
        <row r="668">
          <cell r="I668" t="str">
            <v>AF086</v>
          </cell>
          <cell r="J668">
            <v>260400</v>
          </cell>
        </row>
        <row r="669">
          <cell r="I669" t="str">
            <v>AF106</v>
          </cell>
          <cell r="J669">
            <v>291900</v>
          </cell>
        </row>
        <row r="670">
          <cell r="I670" t="str">
            <v>AF126</v>
          </cell>
          <cell r="J670">
            <v>325500</v>
          </cell>
        </row>
        <row r="671">
          <cell r="I671" t="str">
            <v>AF068</v>
          </cell>
          <cell r="J671">
            <v>246800</v>
          </cell>
        </row>
        <row r="672">
          <cell r="I672" t="str">
            <v>AF078</v>
          </cell>
          <cell r="J672">
            <v>270900</v>
          </cell>
        </row>
        <row r="673">
          <cell r="I673" t="str">
            <v>AF088</v>
          </cell>
          <cell r="J673">
            <v>290900</v>
          </cell>
        </row>
        <row r="674">
          <cell r="I674" t="str">
            <v>AF108</v>
          </cell>
          <cell r="J674">
            <v>327600</v>
          </cell>
        </row>
        <row r="675">
          <cell r="I675" t="str">
            <v>AF128</v>
          </cell>
          <cell r="J675">
            <v>366500</v>
          </cell>
        </row>
        <row r="676">
          <cell r="I676" t="str">
            <v>AF062H</v>
          </cell>
          <cell r="J676">
            <v>179600</v>
          </cell>
        </row>
        <row r="677">
          <cell r="I677" t="str">
            <v>AF072H</v>
          </cell>
          <cell r="J677">
            <v>196400</v>
          </cell>
        </row>
        <row r="678">
          <cell r="I678" t="str">
            <v>AF082H</v>
          </cell>
          <cell r="J678">
            <v>211100</v>
          </cell>
        </row>
        <row r="679">
          <cell r="I679" t="str">
            <v>AF102H</v>
          </cell>
          <cell r="J679">
            <v>236300</v>
          </cell>
        </row>
        <row r="680">
          <cell r="I680" t="str">
            <v>AF122H</v>
          </cell>
          <cell r="J680">
            <v>263600</v>
          </cell>
        </row>
        <row r="681">
          <cell r="I681" t="str">
            <v>AF064H</v>
          </cell>
          <cell r="J681">
            <v>211100</v>
          </cell>
        </row>
        <row r="682">
          <cell r="I682" t="str">
            <v>AF074H</v>
          </cell>
          <cell r="J682">
            <v>232100</v>
          </cell>
        </row>
        <row r="683">
          <cell r="I683" t="str">
            <v>AF084H</v>
          </cell>
          <cell r="J683">
            <v>248900</v>
          </cell>
        </row>
        <row r="684">
          <cell r="I684" t="str">
            <v>AF104H</v>
          </cell>
          <cell r="J684">
            <v>279300</v>
          </cell>
        </row>
        <row r="685">
          <cell r="I685" t="str">
            <v>AF124H</v>
          </cell>
          <cell r="J685">
            <v>315000</v>
          </cell>
        </row>
        <row r="686">
          <cell r="I686" t="str">
            <v>AF066H</v>
          </cell>
          <cell r="J686">
            <v>237300</v>
          </cell>
        </row>
        <row r="687">
          <cell r="I687" t="str">
            <v>AF076H</v>
          </cell>
          <cell r="J687">
            <v>259400</v>
          </cell>
        </row>
        <row r="688">
          <cell r="I688" t="str">
            <v>AF086H</v>
          </cell>
          <cell r="J688">
            <v>280400</v>
          </cell>
        </row>
        <row r="689">
          <cell r="I689" t="str">
            <v>AF106H</v>
          </cell>
          <cell r="J689">
            <v>315000</v>
          </cell>
        </row>
        <row r="690">
          <cell r="I690" t="str">
            <v>AF126H</v>
          </cell>
          <cell r="J690">
            <v>354900</v>
          </cell>
        </row>
        <row r="691">
          <cell r="I691" t="str">
            <v>AF068H</v>
          </cell>
          <cell r="J691">
            <v>262500</v>
          </cell>
        </row>
        <row r="692">
          <cell r="I692" t="str">
            <v>AF078H</v>
          </cell>
          <cell r="J692">
            <v>288800</v>
          </cell>
        </row>
        <row r="693">
          <cell r="I693" t="str">
            <v>AF088H</v>
          </cell>
          <cell r="J693">
            <v>310800</v>
          </cell>
        </row>
        <row r="694">
          <cell r="I694" t="str">
            <v>AF108H</v>
          </cell>
          <cell r="J694">
            <v>350700</v>
          </cell>
        </row>
        <row r="695">
          <cell r="I695" t="str">
            <v>AF128H</v>
          </cell>
          <cell r="J695">
            <v>395900</v>
          </cell>
        </row>
        <row r="696">
          <cell r="I696" t="str">
            <v>AF060G</v>
          </cell>
          <cell r="J696">
            <v>170100</v>
          </cell>
        </row>
        <row r="697">
          <cell r="I697" t="str">
            <v>AF070G</v>
          </cell>
          <cell r="J697">
            <v>183800</v>
          </cell>
        </row>
        <row r="698">
          <cell r="I698" t="str">
            <v>AF080G</v>
          </cell>
          <cell r="J698">
            <v>193200</v>
          </cell>
        </row>
        <row r="699">
          <cell r="I699" t="str">
            <v>AF100G</v>
          </cell>
          <cell r="J699">
            <v>214200</v>
          </cell>
        </row>
        <row r="700">
          <cell r="I700" t="str">
            <v>AF120G</v>
          </cell>
          <cell r="J700">
            <v>237300</v>
          </cell>
        </row>
        <row r="701">
          <cell r="I701" t="str">
            <v>AF062G</v>
          </cell>
          <cell r="J701">
            <v>205800</v>
          </cell>
        </row>
        <row r="702">
          <cell r="I702" t="str">
            <v>AF072G</v>
          </cell>
          <cell r="J702">
            <v>222600</v>
          </cell>
        </row>
        <row r="703">
          <cell r="I703" t="str">
            <v>AF082G</v>
          </cell>
          <cell r="J703">
            <v>237300</v>
          </cell>
        </row>
        <row r="704">
          <cell r="I704" t="str">
            <v>AF102G</v>
          </cell>
          <cell r="J704">
            <v>265700</v>
          </cell>
        </row>
        <row r="705">
          <cell r="I705" t="str">
            <v>AF122G</v>
          </cell>
          <cell r="J705">
            <v>296100</v>
          </cell>
        </row>
        <row r="706">
          <cell r="I706" t="str">
            <v>AF064G</v>
          </cell>
          <cell r="J706">
            <v>237300</v>
          </cell>
        </row>
        <row r="707">
          <cell r="I707" t="str">
            <v>AF074G</v>
          </cell>
          <cell r="J707">
            <v>258300</v>
          </cell>
        </row>
        <row r="708">
          <cell r="I708" t="str">
            <v>AF084G</v>
          </cell>
          <cell r="J708">
            <v>275100</v>
          </cell>
        </row>
        <row r="709">
          <cell r="I709" t="str">
            <v>AF104G</v>
          </cell>
          <cell r="J709">
            <v>308700</v>
          </cell>
        </row>
        <row r="710">
          <cell r="I710" t="str">
            <v>AF124G</v>
          </cell>
          <cell r="J710">
            <v>347600</v>
          </cell>
        </row>
        <row r="711">
          <cell r="I711" t="str">
            <v>AF066G</v>
          </cell>
          <cell r="J711">
            <v>273000</v>
          </cell>
        </row>
        <row r="712">
          <cell r="I712" t="str">
            <v>AF076G</v>
          </cell>
          <cell r="J712">
            <v>297200</v>
          </cell>
        </row>
        <row r="713">
          <cell r="I713" t="str">
            <v>AF086G</v>
          </cell>
          <cell r="J713">
            <v>319200</v>
          </cell>
        </row>
        <row r="714">
          <cell r="I714" t="str">
            <v>AF106G</v>
          </cell>
          <cell r="J714">
            <v>360200</v>
          </cell>
        </row>
        <row r="715">
          <cell r="I715" t="str">
            <v>AF126G</v>
          </cell>
          <cell r="J715">
            <v>406400</v>
          </cell>
        </row>
        <row r="716">
          <cell r="I716" t="str">
            <v>AF068G</v>
          </cell>
          <cell r="J716">
            <v>304500</v>
          </cell>
        </row>
        <row r="717">
          <cell r="I717" t="str">
            <v>AF078G</v>
          </cell>
          <cell r="J717">
            <v>332900</v>
          </cell>
        </row>
        <row r="718">
          <cell r="I718" t="str">
            <v>AF088G</v>
          </cell>
          <cell r="J718">
            <v>357000</v>
          </cell>
        </row>
        <row r="719">
          <cell r="I719" t="str">
            <v>AF108G</v>
          </cell>
          <cell r="J719">
            <v>403200</v>
          </cell>
        </row>
        <row r="720">
          <cell r="I720" t="str">
            <v>AF128G</v>
          </cell>
          <cell r="J720">
            <v>457800</v>
          </cell>
        </row>
        <row r="721">
          <cell r="I721" t="str">
            <v>AF0060</v>
          </cell>
          <cell r="J721">
            <v>74600</v>
          </cell>
        </row>
        <row r="722">
          <cell r="I722" t="str">
            <v>AF0070</v>
          </cell>
          <cell r="J722">
            <v>77700</v>
          </cell>
        </row>
        <row r="723">
          <cell r="I723" t="str">
            <v>AF0080</v>
          </cell>
          <cell r="J723">
            <v>78800</v>
          </cell>
        </row>
        <row r="724">
          <cell r="I724" t="str">
            <v>AF0100</v>
          </cell>
          <cell r="J724">
            <v>84000</v>
          </cell>
        </row>
        <row r="725">
          <cell r="I725" t="str">
            <v>AF0120</v>
          </cell>
          <cell r="J725">
            <v>89300</v>
          </cell>
        </row>
        <row r="726">
          <cell r="I726" t="str">
            <v>AF0062</v>
          </cell>
          <cell r="J726">
            <v>77700</v>
          </cell>
        </row>
        <row r="727">
          <cell r="I727" t="str">
            <v>AF0072</v>
          </cell>
          <cell r="J727">
            <v>80900</v>
          </cell>
        </row>
        <row r="728">
          <cell r="I728" t="str">
            <v>AF0082</v>
          </cell>
          <cell r="J728">
            <v>84000</v>
          </cell>
        </row>
        <row r="729">
          <cell r="I729" t="str">
            <v>AF0102</v>
          </cell>
          <cell r="J729">
            <v>90300</v>
          </cell>
        </row>
        <row r="730">
          <cell r="I730" t="str">
            <v>AF0122</v>
          </cell>
          <cell r="J730">
            <v>96600</v>
          </cell>
        </row>
        <row r="731">
          <cell r="I731" t="str">
            <v>AF0064S</v>
          </cell>
          <cell r="J731">
            <v>18900</v>
          </cell>
        </row>
        <row r="732">
          <cell r="I732" t="str">
            <v>AF0074S</v>
          </cell>
          <cell r="J732">
            <v>21000</v>
          </cell>
        </row>
        <row r="733">
          <cell r="I733" t="str">
            <v>AF0084S</v>
          </cell>
          <cell r="J733">
            <v>23100</v>
          </cell>
        </row>
        <row r="734">
          <cell r="I734" t="str">
            <v>AF0104S</v>
          </cell>
          <cell r="J734">
            <v>26300</v>
          </cell>
        </row>
        <row r="735">
          <cell r="I735" t="str">
            <v>AF0124S</v>
          </cell>
          <cell r="J735">
            <v>29400</v>
          </cell>
        </row>
        <row r="736">
          <cell r="I736" t="str">
            <v>AF5110</v>
          </cell>
          <cell r="J736">
            <v>25800</v>
          </cell>
        </row>
        <row r="737">
          <cell r="I737" t="str">
            <v>AF5112</v>
          </cell>
          <cell r="J737">
            <v>29100</v>
          </cell>
        </row>
        <row r="738">
          <cell r="I738" t="str">
            <v>AF5114</v>
          </cell>
          <cell r="J738">
            <v>32300</v>
          </cell>
        </row>
        <row r="739">
          <cell r="I739" t="str">
            <v>AF5116</v>
          </cell>
          <cell r="J739">
            <v>35500</v>
          </cell>
        </row>
        <row r="740">
          <cell r="I740" t="str">
            <v>AF5118</v>
          </cell>
          <cell r="J740">
            <v>38700</v>
          </cell>
        </row>
        <row r="741">
          <cell r="I741" t="str">
            <v>AF5120</v>
          </cell>
          <cell r="J741">
            <v>42000</v>
          </cell>
        </row>
        <row r="742">
          <cell r="I742" t="str">
            <v>AF5210</v>
          </cell>
          <cell r="J742">
            <v>30700</v>
          </cell>
        </row>
        <row r="743">
          <cell r="I743" t="str">
            <v>AF5212</v>
          </cell>
          <cell r="J743">
            <v>35500</v>
          </cell>
        </row>
        <row r="744">
          <cell r="I744" t="str">
            <v>AF5214</v>
          </cell>
          <cell r="J744">
            <v>40400</v>
          </cell>
        </row>
        <row r="745">
          <cell r="I745" t="str">
            <v>AF5216</v>
          </cell>
          <cell r="J745">
            <v>45300</v>
          </cell>
        </row>
        <row r="746">
          <cell r="I746" t="str">
            <v>AF5218</v>
          </cell>
          <cell r="J746">
            <v>50100</v>
          </cell>
        </row>
        <row r="747">
          <cell r="I747" t="str">
            <v>AF5220</v>
          </cell>
          <cell r="J747">
            <v>54900</v>
          </cell>
        </row>
        <row r="748">
          <cell r="I748" t="str">
            <v>AF5510</v>
          </cell>
          <cell r="J748">
            <v>29100</v>
          </cell>
        </row>
        <row r="749">
          <cell r="I749" t="str">
            <v>AF5512</v>
          </cell>
          <cell r="J749">
            <v>33900</v>
          </cell>
        </row>
        <row r="750">
          <cell r="I750" t="str">
            <v>AF5514</v>
          </cell>
          <cell r="J750">
            <v>38700</v>
          </cell>
        </row>
        <row r="751">
          <cell r="I751" t="str">
            <v>AF5516</v>
          </cell>
          <cell r="J751">
            <v>43600</v>
          </cell>
        </row>
        <row r="752">
          <cell r="I752" t="str">
            <v>AF5518</v>
          </cell>
          <cell r="J752">
            <v>48500</v>
          </cell>
        </row>
        <row r="753">
          <cell r="I753" t="str">
            <v>AF5520</v>
          </cell>
          <cell r="J753">
            <v>53300</v>
          </cell>
        </row>
        <row r="754">
          <cell r="I754" t="str">
            <v>AF5310</v>
          </cell>
          <cell r="J754">
            <v>24300</v>
          </cell>
        </row>
        <row r="755">
          <cell r="I755" t="str">
            <v>AF5312</v>
          </cell>
          <cell r="J755">
            <v>27500</v>
          </cell>
        </row>
        <row r="756">
          <cell r="I756" t="str">
            <v>AF5314</v>
          </cell>
          <cell r="J756">
            <v>30700</v>
          </cell>
        </row>
        <row r="757">
          <cell r="I757" t="str">
            <v>AF5316</v>
          </cell>
          <cell r="J757">
            <v>33900</v>
          </cell>
        </row>
        <row r="758">
          <cell r="I758" t="str">
            <v>AF5318</v>
          </cell>
          <cell r="J758">
            <v>37200</v>
          </cell>
        </row>
        <row r="759">
          <cell r="I759" t="str">
            <v>AF5320</v>
          </cell>
          <cell r="J759">
            <v>40400</v>
          </cell>
        </row>
        <row r="760">
          <cell r="I760" t="str">
            <v>AF5610</v>
          </cell>
          <cell r="J760">
            <v>22600</v>
          </cell>
        </row>
        <row r="761">
          <cell r="I761" t="str">
            <v>AF5612</v>
          </cell>
          <cell r="J761">
            <v>25800</v>
          </cell>
        </row>
        <row r="762">
          <cell r="I762" t="str">
            <v>AF5614</v>
          </cell>
          <cell r="J762">
            <v>29100</v>
          </cell>
        </row>
        <row r="763">
          <cell r="I763" t="str">
            <v>AF5616</v>
          </cell>
          <cell r="J763">
            <v>32300</v>
          </cell>
        </row>
        <row r="764">
          <cell r="I764" t="str">
            <v>AF5618</v>
          </cell>
          <cell r="J764">
            <v>35500</v>
          </cell>
        </row>
        <row r="765">
          <cell r="I765" t="str">
            <v>AF5620</v>
          </cell>
          <cell r="J765">
            <v>38700</v>
          </cell>
        </row>
        <row r="766">
          <cell r="I766" t="str">
            <v>AF6010</v>
          </cell>
          <cell r="J766">
            <v>9700</v>
          </cell>
        </row>
        <row r="767">
          <cell r="I767" t="str">
            <v>AF6012</v>
          </cell>
          <cell r="J767">
            <v>11300</v>
          </cell>
        </row>
        <row r="768">
          <cell r="I768" t="str">
            <v>AF6014</v>
          </cell>
          <cell r="J768">
            <v>12900</v>
          </cell>
        </row>
        <row r="769">
          <cell r="I769" t="str">
            <v>AF6016</v>
          </cell>
          <cell r="J769">
            <v>14500</v>
          </cell>
        </row>
        <row r="770">
          <cell r="I770" t="str">
            <v>AF6018</v>
          </cell>
          <cell r="J770">
            <v>16200</v>
          </cell>
        </row>
        <row r="771">
          <cell r="I771" t="str">
            <v>AF6020</v>
          </cell>
          <cell r="J771">
            <v>17700</v>
          </cell>
        </row>
        <row r="772">
          <cell r="I772" t="str">
            <v>AF6102</v>
          </cell>
          <cell r="J772">
            <v>3300</v>
          </cell>
        </row>
        <row r="773">
          <cell r="I773" t="str">
            <v>AF6104</v>
          </cell>
          <cell r="J773">
            <v>4800</v>
          </cell>
        </row>
        <row r="774">
          <cell r="I774" t="str">
            <v>AF6106</v>
          </cell>
          <cell r="J774">
            <v>6500</v>
          </cell>
        </row>
        <row r="775">
          <cell r="I775" t="str">
            <v>AF6108</v>
          </cell>
          <cell r="J775">
            <v>8100</v>
          </cell>
        </row>
        <row r="776">
          <cell r="I776" t="str">
            <v>AF6102T</v>
          </cell>
          <cell r="J776">
            <v>3300</v>
          </cell>
        </row>
        <row r="777">
          <cell r="I777" t="str">
            <v>AF6104T</v>
          </cell>
          <cell r="J777">
            <v>4800</v>
          </cell>
        </row>
        <row r="778">
          <cell r="I778" t="str">
            <v>AF6106T</v>
          </cell>
          <cell r="J778">
            <v>6500</v>
          </cell>
        </row>
        <row r="779">
          <cell r="I779" t="str">
            <v>AF6108T</v>
          </cell>
          <cell r="J779">
            <v>8100</v>
          </cell>
        </row>
        <row r="780">
          <cell r="I780" t="str">
            <v>AF6202</v>
          </cell>
          <cell r="J780">
            <v>1600</v>
          </cell>
        </row>
        <row r="781">
          <cell r="I781" t="str">
            <v>AF6204</v>
          </cell>
          <cell r="J781">
            <v>3300</v>
          </cell>
        </row>
        <row r="782">
          <cell r="I782" t="str">
            <v>AF6206</v>
          </cell>
          <cell r="J782">
            <v>4800</v>
          </cell>
        </row>
        <row r="783">
          <cell r="I783" t="str">
            <v>AF6208</v>
          </cell>
          <cell r="J783">
            <v>6500</v>
          </cell>
        </row>
        <row r="784">
          <cell r="I784" t="str">
            <v>AF8001</v>
          </cell>
          <cell r="J784">
            <v>38900</v>
          </cell>
        </row>
        <row r="785">
          <cell r="I785" t="str">
            <v>AT8001</v>
          </cell>
          <cell r="J785">
            <v>6300</v>
          </cell>
        </row>
        <row r="786">
          <cell r="I786" t="str">
            <v>AT8002</v>
          </cell>
          <cell r="J786">
            <v>6300</v>
          </cell>
        </row>
        <row r="787">
          <cell r="I787" t="str">
            <v>AT8003</v>
          </cell>
          <cell r="J787">
            <v>3200</v>
          </cell>
        </row>
        <row r="788">
          <cell r="I788" t="str">
            <v>CX0011</v>
          </cell>
          <cell r="J788">
            <v>24200</v>
          </cell>
        </row>
        <row r="789">
          <cell r="I789" t="str">
            <v>CX0012</v>
          </cell>
          <cell r="J789">
            <v>24200</v>
          </cell>
        </row>
        <row r="790">
          <cell r="I790" t="str">
            <v>AT8006</v>
          </cell>
          <cell r="J790">
            <v>8400</v>
          </cell>
        </row>
        <row r="791">
          <cell r="I791" t="str">
            <v>AT8007</v>
          </cell>
          <cell r="J791">
            <v>8400</v>
          </cell>
        </row>
        <row r="792">
          <cell r="I792" t="str">
            <v>AT8008</v>
          </cell>
          <cell r="J792">
            <v>8400</v>
          </cell>
        </row>
        <row r="793">
          <cell r="I793" t="str">
            <v>AT8010</v>
          </cell>
          <cell r="J793">
            <v>10500</v>
          </cell>
        </row>
        <row r="794">
          <cell r="I794" t="str">
            <v>AT8012</v>
          </cell>
          <cell r="J794">
            <v>10500</v>
          </cell>
        </row>
        <row r="795">
          <cell r="I795" t="str">
            <v>AF1062</v>
          </cell>
          <cell r="J795">
            <v>11600</v>
          </cell>
        </row>
        <row r="796">
          <cell r="I796" t="str">
            <v>AF1064</v>
          </cell>
          <cell r="J796">
            <v>16300</v>
          </cell>
        </row>
        <row r="797">
          <cell r="I797" t="str">
            <v>AF1066</v>
          </cell>
          <cell r="J797">
            <v>19400</v>
          </cell>
        </row>
        <row r="798">
          <cell r="I798" t="str">
            <v>AF1072</v>
          </cell>
          <cell r="J798">
            <v>12100</v>
          </cell>
        </row>
        <row r="799">
          <cell r="I799" t="str">
            <v>AF1074</v>
          </cell>
          <cell r="J799">
            <v>17900</v>
          </cell>
        </row>
        <row r="800">
          <cell r="I800" t="str">
            <v>AF1076</v>
          </cell>
          <cell r="J800">
            <v>22600</v>
          </cell>
        </row>
        <row r="801">
          <cell r="I801" t="str">
            <v>AF1082</v>
          </cell>
          <cell r="J801">
            <v>13100</v>
          </cell>
        </row>
        <row r="802">
          <cell r="I802" t="str">
            <v>AF1084</v>
          </cell>
          <cell r="J802">
            <v>19400</v>
          </cell>
        </row>
        <row r="803">
          <cell r="I803" t="str">
            <v>AF1086</v>
          </cell>
          <cell r="J803">
            <v>25700</v>
          </cell>
        </row>
        <row r="804">
          <cell r="I804" t="str">
            <v>AF1102</v>
          </cell>
          <cell r="J804">
            <v>14700</v>
          </cell>
        </row>
        <row r="805">
          <cell r="I805" t="str">
            <v>AF1104</v>
          </cell>
          <cell r="J805">
            <v>22600</v>
          </cell>
        </row>
        <row r="806">
          <cell r="I806" t="str">
            <v>AF1106</v>
          </cell>
          <cell r="J806">
            <v>30500</v>
          </cell>
        </row>
        <row r="807">
          <cell r="I807" t="str">
            <v>AF1122</v>
          </cell>
          <cell r="J807">
            <v>16300</v>
          </cell>
        </row>
        <row r="808">
          <cell r="I808" t="str">
            <v>AF1124</v>
          </cell>
          <cell r="J808">
            <v>25700</v>
          </cell>
        </row>
        <row r="809">
          <cell r="I809" t="str">
            <v>AF1126</v>
          </cell>
          <cell r="J809">
            <v>35700</v>
          </cell>
        </row>
        <row r="810">
          <cell r="I810" t="str">
            <v>AF1062G</v>
          </cell>
          <cell r="J810">
            <v>16300</v>
          </cell>
        </row>
        <row r="811">
          <cell r="I811" t="str">
            <v>AF1064G</v>
          </cell>
          <cell r="J811">
            <v>24200</v>
          </cell>
        </row>
        <row r="812">
          <cell r="I812" t="str">
            <v>AF1066G</v>
          </cell>
          <cell r="J812">
            <v>32600</v>
          </cell>
        </row>
        <row r="813">
          <cell r="I813" t="str">
            <v>AF1072G</v>
          </cell>
          <cell r="J813">
            <v>17900</v>
          </cell>
        </row>
        <row r="814">
          <cell r="I814" t="str">
            <v>AF1074G</v>
          </cell>
          <cell r="J814">
            <v>26800</v>
          </cell>
        </row>
        <row r="815">
          <cell r="I815" t="str">
            <v>AF1076G</v>
          </cell>
          <cell r="J815">
            <v>35700</v>
          </cell>
        </row>
        <row r="816">
          <cell r="I816" t="str">
            <v>AF1082G</v>
          </cell>
          <cell r="J816">
            <v>19400</v>
          </cell>
        </row>
        <row r="817">
          <cell r="I817" t="str">
            <v>AF1084G</v>
          </cell>
          <cell r="J817">
            <v>29400</v>
          </cell>
        </row>
        <row r="818">
          <cell r="I818" t="str">
            <v>AF1086G</v>
          </cell>
          <cell r="J818">
            <v>38900</v>
          </cell>
        </row>
        <row r="819">
          <cell r="I819" t="str">
            <v>AF1102G</v>
          </cell>
          <cell r="J819">
            <v>22600</v>
          </cell>
        </row>
        <row r="820">
          <cell r="I820" t="str">
            <v>AF1104G</v>
          </cell>
          <cell r="J820">
            <v>34100</v>
          </cell>
        </row>
        <row r="821">
          <cell r="I821" t="str">
            <v>AF1106G</v>
          </cell>
          <cell r="J821">
            <v>45200</v>
          </cell>
        </row>
        <row r="822">
          <cell r="I822" t="str">
            <v>AF1122G</v>
          </cell>
          <cell r="J822">
            <v>25700</v>
          </cell>
        </row>
        <row r="823">
          <cell r="I823" t="str">
            <v>AF1124G</v>
          </cell>
          <cell r="J823">
            <v>40400</v>
          </cell>
        </row>
        <row r="824">
          <cell r="I824" t="str">
            <v>AF1126G</v>
          </cell>
          <cell r="J824">
            <v>52000</v>
          </cell>
        </row>
        <row r="825">
          <cell r="I825" t="str">
            <v>AF2062</v>
          </cell>
          <cell r="J825">
            <v>12100</v>
          </cell>
        </row>
        <row r="826">
          <cell r="I826" t="str">
            <v>AF2072</v>
          </cell>
          <cell r="J826">
            <v>13100</v>
          </cell>
        </row>
        <row r="827">
          <cell r="I827" t="str">
            <v>AF2082</v>
          </cell>
          <cell r="J827">
            <v>14200</v>
          </cell>
        </row>
        <row r="828">
          <cell r="I828" t="str">
            <v>AF2102</v>
          </cell>
          <cell r="J828">
            <v>15200</v>
          </cell>
        </row>
        <row r="829">
          <cell r="I829" t="str">
            <v>AF2122</v>
          </cell>
          <cell r="J829">
            <v>16300</v>
          </cell>
        </row>
        <row r="830">
          <cell r="I830" t="str">
            <v>AF3061</v>
          </cell>
          <cell r="J830">
            <v>3200</v>
          </cell>
        </row>
        <row r="831">
          <cell r="I831" t="str">
            <v>AF3071</v>
          </cell>
          <cell r="J831">
            <v>4200</v>
          </cell>
        </row>
        <row r="832">
          <cell r="I832" t="str">
            <v>AF3081</v>
          </cell>
          <cell r="J832">
            <v>4200</v>
          </cell>
        </row>
        <row r="833">
          <cell r="I833" t="str">
            <v>AF3101</v>
          </cell>
          <cell r="J833">
            <v>4700</v>
          </cell>
        </row>
        <row r="834">
          <cell r="I834" t="str">
            <v>AF3121</v>
          </cell>
          <cell r="J834">
            <v>5800</v>
          </cell>
        </row>
        <row r="835">
          <cell r="I835" t="str">
            <v>AF1062A</v>
          </cell>
          <cell r="J835">
            <v>17900</v>
          </cell>
        </row>
        <row r="836">
          <cell r="I836" t="str">
            <v>AF1064A</v>
          </cell>
          <cell r="J836">
            <v>32600</v>
          </cell>
        </row>
        <row r="837">
          <cell r="I837" t="str">
            <v>AF1072A</v>
          </cell>
          <cell r="J837">
            <v>19400</v>
          </cell>
        </row>
        <row r="838">
          <cell r="I838" t="str">
            <v>AF1074A</v>
          </cell>
          <cell r="J838">
            <v>35700</v>
          </cell>
        </row>
        <row r="839">
          <cell r="I839" t="str">
            <v>AF1082A</v>
          </cell>
          <cell r="J839">
            <v>21000</v>
          </cell>
        </row>
        <row r="840">
          <cell r="I840" t="str">
            <v>AF1084A</v>
          </cell>
          <cell r="J840">
            <v>38900</v>
          </cell>
        </row>
        <row r="841">
          <cell r="I841" t="str">
            <v>AF1102A</v>
          </cell>
          <cell r="J841">
            <v>24200</v>
          </cell>
        </row>
        <row r="842">
          <cell r="I842" t="str">
            <v>AF1104A</v>
          </cell>
          <cell r="J842">
            <v>45200</v>
          </cell>
        </row>
        <row r="843">
          <cell r="I843" t="str">
            <v>AF1122A</v>
          </cell>
          <cell r="J843">
            <v>27300</v>
          </cell>
        </row>
        <row r="844">
          <cell r="I844" t="str">
            <v>AF1124A</v>
          </cell>
          <cell r="J844">
            <v>51500</v>
          </cell>
        </row>
        <row r="845">
          <cell r="I845" t="str">
            <v>AF1064B</v>
          </cell>
          <cell r="J845">
            <v>30500</v>
          </cell>
        </row>
        <row r="846">
          <cell r="I846" t="str">
            <v>AF1074B</v>
          </cell>
          <cell r="J846">
            <v>34700</v>
          </cell>
        </row>
        <row r="847">
          <cell r="I847" t="str">
            <v>AF1084B</v>
          </cell>
          <cell r="J847">
            <v>38900</v>
          </cell>
        </row>
        <row r="848">
          <cell r="I848" t="str">
            <v>AF1104B</v>
          </cell>
          <cell r="J848">
            <v>54600</v>
          </cell>
        </row>
        <row r="849">
          <cell r="I849" t="str">
            <v>AF1124B</v>
          </cell>
          <cell r="J849">
            <v>59900</v>
          </cell>
        </row>
        <row r="850">
          <cell r="I850" t="str">
            <v>AT3006</v>
          </cell>
          <cell r="J850">
            <v>66200</v>
          </cell>
        </row>
        <row r="851">
          <cell r="I851" t="str">
            <v>AT3007</v>
          </cell>
          <cell r="J851">
            <v>69300</v>
          </cell>
        </row>
        <row r="852">
          <cell r="I852" t="str">
            <v>AT3008</v>
          </cell>
          <cell r="J852">
            <v>71400</v>
          </cell>
        </row>
        <row r="853">
          <cell r="I853" t="str">
            <v>AT3010</v>
          </cell>
          <cell r="J853">
            <v>77700</v>
          </cell>
        </row>
        <row r="854">
          <cell r="I854" t="str">
            <v>AT3012</v>
          </cell>
          <cell r="J854">
            <v>81900</v>
          </cell>
        </row>
        <row r="855">
          <cell r="I855" t="str">
            <v>AT3406</v>
          </cell>
          <cell r="J855">
            <v>78800</v>
          </cell>
        </row>
        <row r="856">
          <cell r="I856" t="str">
            <v>AT3407</v>
          </cell>
          <cell r="J856">
            <v>81900</v>
          </cell>
        </row>
        <row r="857">
          <cell r="I857" t="str">
            <v>AT3408</v>
          </cell>
          <cell r="J857">
            <v>84000</v>
          </cell>
        </row>
        <row r="858">
          <cell r="I858" t="str">
            <v>AT3410</v>
          </cell>
          <cell r="J858">
            <v>89300</v>
          </cell>
        </row>
        <row r="859">
          <cell r="I859" t="str">
            <v>AT3412</v>
          </cell>
          <cell r="J859">
            <v>93500</v>
          </cell>
        </row>
        <row r="860">
          <cell r="I860" t="str">
            <v>AT3306</v>
          </cell>
          <cell r="J860">
            <v>168000</v>
          </cell>
        </row>
        <row r="861">
          <cell r="I861" t="str">
            <v>AT3307</v>
          </cell>
          <cell r="J861">
            <v>173300</v>
          </cell>
        </row>
        <row r="862">
          <cell r="I862" t="str">
            <v>AT3308</v>
          </cell>
          <cell r="J862">
            <v>177500</v>
          </cell>
        </row>
        <row r="863">
          <cell r="I863" t="str">
            <v>AT3310</v>
          </cell>
          <cell r="J863">
            <v>189000</v>
          </cell>
        </row>
        <row r="864">
          <cell r="I864" t="str">
            <v>AT3312</v>
          </cell>
          <cell r="J864">
            <v>198500</v>
          </cell>
        </row>
        <row r="865">
          <cell r="I865" t="str">
            <v>AF066HB</v>
          </cell>
          <cell r="J865">
            <v>246800</v>
          </cell>
        </row>
        <row r="866">
          <cell r="I866" t="str">
            <v>AF076HB</v>
          </cell>
          <cell r="J866">
            <v>270900</v>
          </cell>
        </row>
        <row r="867">
          <cell r="I867" t="str">
            <v>AF086HB</v>
          </cell>
          <cell r="J867">
            <v>293000</v>
          </cell>
        </row>
        <row r="868">
          <cell r="I868" t="str">
            <v>AF106HB</v>
          </cell>
          <cell r="J868">
            <v>330800</v>
          </cell>
        </row>
        <row r="869">
          <cell r="I869" t="str">
            <v>AF126HB</v>
          </cell>
          <cell r="J869">
            <v>373800</v>
          </cell>
        </row>
        <row r="870">
          <cell r="I870" t="str">
            <v>AF068HB</v>
          </cell>
          <cell r="J870">
            <v>278300</v>
          </cell>
        </row>
        <row r="871">
          <cell r="I871" t="str">
            <v>AF078HB</v>
          </cell>
          <cell r="J871">
            <v>306600</v>
          </cell>
        </row>
        <row r="872">
          <cell r="I872" t="str">
            <v>AF088HB</v>
          </cell>
          <cell r="J872">
            <v>330800</v>
          </cell>
        </row>
        <row r="873">
          <cell r="I873" t="str">
            <v>AF108HB</v>
          </cell>
          <cell r="J873">
            <v>373800</v>
          </cell>
        </row>
        <row r="874">
          <cell r="I874" t="str">
            <v>AF128HB</v>
          </cell>
          <cell r="J874">
            <v>425300</v>
          </cell>
        </row>
        <row r="875">
          <cell r="I875" t="str">
            <v>AF062C</v>
          </cell>
          <cell r="J875">
            <v>176400</v>
          </cell>
        </row>
        <row r="876">
          <cell r="I876" t="str">
            <v>AF072C</v>
          </cell>
          <cell r="J876">
            <v>192200</v>
          </cell>
        </row>
        <row r="877">
          <cell r="I877" t="str">
            <v>AF082C</v>
          </cell>
          <cell r="J877">
            <v>206300</v>
          </cell>
        </row>
        <row r="878">
          <cell r="I878" t="str">
            <v>AF102C</v>
          </cell>
          <cell r="J878">
            <v>230000</v>
          </cell>
        </row>
        <row r="879">
          <cell r="I879" t="str">
            <v>AF122C</v>
          </cell>
          <cell r="J879">
            <v>255700</v>
          </cell>
        </row>
        <row r="880">
          <cell r="I880" t="str">
            <v>AF064S</v>
          </cell>
          <cell r="J880">
            <v>51500</v>
          </cell>
        </row>
        <row r="881">
          <cell r="I881" t="str">
            <v>AF074S</v>
          </cell>
          <cell r="J881">
            <v>56700</v>
          </cell>
        </row>
        <row r="882">
          <cell r="I882" t="str">
            <v>AF084S</v>
          </cell>
          <cell r="J882">
            <v>62000</v>
          </cell>
        </row>
        <row r="883">
          <cell r="I883" t="str">
            <v>AF104S</v>
          </cell>
          <cell r="J883">
            <v>71400</v>
          </cell>
        </row>
        <row r="884">
          <cell r="I884" t="str">
            <v>AF124S</v>
          </cell>
          <cell r="J884">
            <v>80900</v>
          </cell>
        </row>
        <row r="885">
          <cell r="I885" t="str">
            <v>AF064SG</v>
          </cell>
          <cell r="J885">
            <v>67200</v>
          </cell>
        </row>
        <row r="886">
          <cell r="I886" t="str">
            <v>AF074SG</v>
          </cell>
          <cell r="J886">
            <v>74600</v>
          </cell>
        </row>
        <row r="887">
          <cell r="I887" t="str">
            <v>AF084SG</v>
          </cell>
          <cell r="J887">
            <v>81900</v>
          </cell>
        </row>
        <row r="888">
          <cell r="I888" t="str">
            <v>AF104SG</v>
          </cell>
          <cell r="J888">
            <v>94500</v>
          </cell>
        </row>
        <row r="889">
          <cell r="I889" t="str">
            <v>AF124SG</v>
          </cell>
          <cell r="J889">
            <v>110300</v>
          </cell>
        </row>
        <row r="890">
          <cell r="I890" t="str">
            <v>AF064SB</v>
          </cell>
          <cell r="J890">
            <v>79800</v>
          </cell>
        </row>
        <row r="891">
          <cell r="I891" t="str">
            <v>AF074SB</v>
          </cell>
          <cell r="J891">
            <v>90300</v>
          </cell>
        </row>
        <row r="892">
          <cell r="I892" t="str">
            <v>AF084SB</v>
          </cell>
          <cell r="J892">
            <v>100800</v>
          </cell>
        </row>
        <row r="893">
          <cell r="I893" t="str">
            <v>AF104SB</v>
          </cell>
          <cell r="J893">
            <v>135500</v>
          </cell>
        </row>
        <row r="894">
          <cell r="I894" t="str">
            <v>AF124SB</v>
          </cell>
          <cell r="J894">
            <v>149100</v>
          </cell>
        </row>
        <row r="895">
          <cell r="I895" t="str">
            <v>AF064SA</v>
          </cell>
          <cell r="J895">
            <v>84000</v>
          </cell>
        </row>
        <row r="896">
          <cell r="I896" t="str">
            <v>AF074SA</v>
          </cell>
          <cell r="J896">
            <v>92400</v>
          </cell>
        </row>
        <row r="897">
          <cell r="I897" t="str">
            <v>AF084SA</v>
          </cell>
          <cell r="J897">
            <v>100800</v>
          </cell>
        </row>
        <row r="898">
          <cell r="I898" t="str">
            <v>AF104SA</v>
          </cell>
          <cell r="J898">
            <v>116600</v>
          </cell>
        </row>
        <row r="899">
          <cell r="I899" t="str">
            <v>AF124SA</v>
          </cell>
          <cell r="J899">
            <v>132300</v>
          </cell>
        </row>
        <row r="900">
          <cell r="I900" t="str">
            <v>AF064SD</v>
          </cell>
          <cell r="J900">
            <v>65600</v>
          </cell>
        </row>
        <row r="901">
          <cell r="I901" t="str">
            <v>AF074SD</v>
          </cell>
          <cell r="J901">
            <v>73500</v>
          </cell>
        </row>
        <row r="902">
          <cell r="I902" t="str">
            <v>AF084SD</v>
          </cell>
          <cell r="J902">
            <v>81400</v>
          </cell>
        </row>
        <row r="903">
          <cell r="I903" t="str">
            <v>AF104SD</v>
          </cell>
          <cell r="J903">
            <v>103400</v>
          </cell>
        </row>
        <row r="904">
          <cell r="I904" t="str">
            <v>AF124SD</v>
          </cell>
          <cell r="J904">
            <v>115000</v>
          </cell>
        </row>
        <row r="905">
          <cell r="I905" t="str">
            <v>AF064SC</v>
          </cell>
          <cell r="J905">
            <v>67700</v>
          </cell>
        </row>
        <row r="906">
          <cell r="I906" t="str">
            <v>AF074SC</v>
          </cell>
          <cell r="J906">
            <v>74600</v>
          </cell>
        </row>
        <row r="907">
          <cell r="I907" t="str">
            <v>AF084SC</v>
          </cell>
          <cell r="J907">
            <v>81400</v>
          </cell>
        </row>
        <row r="908">
          <cell r="I908" t="str">
            <v>AF104SC</v>
          </cell>
          <cell r="J908">
            <v>94000</v>
          </cell>
        </row>
        <row r="909">
          <cell r="I909" t="str">
            <v>AF124SC</v>
          </cell>
          <cell r="J909">
            <v>106600</v>
          </cell>
        </row>
        <row r="910">
          <cell r="I910" t="str">
            <v>AF064SM</v>
          </cell>
          <cell r="J910">
            <v>81900</v>
          </cell>
        </row>
        <row r="911">
          <cell r="I911" t="str">
            <v>AF074SM</v>
          </cell>
          <cell r="J911">
            <v>91400</v>
          </cell>
        </row>
        <row r="912">
          <cell r="I912" t="str">
            <v>AF084SM</v>
          </cell>
          <cell r="J912">
            <v>100800</v>
          </cell>
        </row>
        <row r="913">
          <cell r="I913" t="str">
            <v>AF104SM</v>
          </cell>
          <cell r="J913">
            <v>126000</v>
          </cell>
        </row>
        <row r="914">
          <cell r="I914" t="str">
            <v>AF124SM</v>
          </cell>
          <cell r="J914">
            <v>140700</v>
          </cell>
        </row>
        <row r="915">
          <cell r="I915" t="str">
            <v>AF062A</v>
          </cell>
          <cell r="J915">
            <v>182700</v>
          </cell>
        </row>
        <row r="916">
          <cell r="I916" t="str">
            <v>AF072A</v>
          </cell>
          <cell r="J916">
            <v>199500</v>
          </cell>
        </row>
        <row r="917">
          <cell r="I917" t="str">
            <v>AF082A</v>
          </cell>
          <cell r="J917">
            <v>214200</v>
          </cell>
        </row>
        <row r="918">
          <cell r="I918" t="str">
            <v>AF102A</v>
          </cell>
          <cell r="J918">
            <v>239400</v>
          </cell>
        </row>
        <row r="919">
          <cell r="I919" t="str">
            <v>AF122A</v>
          </cell>
          <cell r="J919">
            <v>266700</v>
          </cell>
        </row>
        <row r="920">
          <cell r="I920" t="str">
            <v>SD008L</v>
          </cell>
          <cell r="J920">
            <v>177500</v>
          </cell>
        </row>
        <row r="921">
          <cell r="I921" t="str">
            <v>SD008R</v>
          </cell>
          <cell r="J921">
            <v>177500</v>
          </cell>
        </row>
        <row r="922">
          <cell r="I922" t="str">
            <v>SD008</v>
          </cell>
          <cell r="J922">
            <v>177500</v>
          </cell>
        </row>
        <row r="923">
          <cell r="I923" t="str">
            <v>SD012L</v>
          </cell>
          <cell r="J923">
            <v>210000</v>
          </cell>
        </row>
        <row r="924">
          <cell r="I924" t="str">
            <v>SD012R</v>
          </cell>
          <cell r="J924">
            <v>210000</v>
          </cell>
        </row>
        <row r="925">
          <cell r="I925" t="str">
            <v>SD012</v>
          </cell>
          <cell r="J925">
            <v>210000</v>
          </cell>
        </row>
        <row r="926">
          <cell r="I926" t="str">
            <v>SD014L</v>
          </cell>
          <cell r="J926">
            <v>236300</v>
          </cell>
        </row>
        <row r="927">
          <cell r="I927" t="str">
            <v>SD014R</v>
          </cell>
          <cell r="J927">
            <v>236300</v>
          </cell>
        </row>
        <row r="928">
          <cell r="I928" t="str">
            <v>SD014</v>
          </cell>
          <cell r="J928">
            <v>236300</v>
          </cell>
        </row>
        <row r="929">
          <cell r="I929" t="str">
            <v>SD016L</v>
          </cell>
          <cell r="J929">
            <v>254100</v>
          </cell>
        </row>
        <row r="930">
          <cell r="I930" t="str">
            <v>SD016R</v>
          </cell>
          <cell r="J930">
            <v>254100</v>
          </cell>
        </row>
        <row r="931">
          <cell r="I931" t="str">
            <v>SD016</v>
          </cell>
          <cell r="J931">
            <v>254100</v>
          </cell>
        </row>
        <row r="932">
          <cell r="I932" t="str">
            <v>SD316L</v>
          </cell>
          <cell r="J932">
            <v>339200</v>
          </cell>
        </row>
        <row r="933">
          <cell r="I933" t="str">
            <v>SD316R</v>
          </cell>
          <cell r="J933">
            <v>339200</v>
          </cell>
        </row>
        <row r="934">
          <cell r="I934" t="str">
            <v>SD318R</v>
          </cell>
          <cell r="J934">
            <v>356000</v>
          </cell>
        </row>
        <row r="935">
          <cell r="I935" t="str">
            <v>SD318L</v>
          </cell>
          <cell r="J935">
            <v>356000</v>
          </cell>
        </row>
        <row r="936">
          <cell r="I936" t="str">
            <v>SP0202</v>
          </cell>
          <cell r="J936">
            <v>146000</v>
          </cell>
        </row>
        <row r="937">
          <cell r="I937" t="str">
            <v>SP0203</v>
          </cell>
          <cell r="J937">
            <v>161700</v>
          </cell>
        </row>
        <row r="938">
          <cell r="I938" t="str">
            <v>SP0302</v>
          </cell>
          <cell r="J938">
            <v>170100</v>
          </cell>
        </row>
        <row r="939">
          <cell r="I939" t="str">
            <v>SP0303</v>
          </cell>
          <cell r="J939">
            <v>185900</v>
          </cell>
        </row>
        <row r="940">
          <cell r="I940" t="str">
            <v>SP0300</v>
          </cell>
          <cell r="J940">
            <v>53600</v>
          </cell>
        </row>
        <row r="941">
          <cell r="I941" t="str">
            <v>SD507</v>
          </cell>
          <cell r="J941">
            <v>174300</v>
          </cell>
        </row>
        <row r="942">
          <cell r="I942" t="str">
            <v>SD507F</v>
          </cell>
          <cell r="J942">
            <v>298200</v>
          </cell>
        </row>
        <row r="943">
          <cell r="I943" t="str">
            <v>SD517</v>
          </cell>
          <cell r="J943">
            <v>92400</v>
          </cell>
        </row>
        <row r="944">
          <cell r="I944" t="str">
            <v>SD517F</v>
          </cell>
          <cell r="J944">
            <v>217400</v>
          </cell>
        </row>
        <row r="945">
          <cell r="I945" t="str">
            <v>SD547</v>
          </cell>
          <cell r="J945">
            <v>60900</v>
          </cell>
        </row>
        <row r="946">
          <cell r="I946" t="str">
            <v>SD597</v>
          </cell>
          <cell r="J946">
            <v>77700</v>
          </cell>
        </row>
        <row r="947">
          <cell r="I947" t="str">
            <v>SD406L</v>
          </cell>
          <cell r="J947">
            <v>84000</v>
          </cell>
        </row>
        <row r="948">
          <cell r="I948" t="str">
            <v>SD406R</v>
          </cell>
          <cell r="J948">
            <v>84000</v>
          </cell>
        </row>
        <row r="949">
          <cell r="I949" t="str">
            <v>SD912</v>
          </cell>
          <cell r="J949">
            <v>162800</v>
          </cell>
        </row>
        <row r="950">
          <cell r="I950" t="str">
            <v>SD912F</v>
          </cell>
          <cell r="J950">
            <v>199500</v>
          </cell>
        </row>
        <row r="951">
          <cell r="I951" t="str">
            <v>SD955</v>
          </cell>
          <cell r="J951">
            <v>99800</v>
          </cell>
        </row>
        <row r="952">
          <cell r="I952" t="str">
            <v>SD977</v>
          </cell>
          <cell r="J952">
            <v>189000</v>
          </cell>
        </row>
        <row r="953">
          <cell r="I953" t="str">
            <v>SD927L</v>
          </cell>
          <cell r="J953">
            <v>165900</v>
          </cell>
        </row>
        <row r="954">
          <cell r="I954" t="str">
            <v>SD927R</v>
          </cell>
          <cell r="J954">
            <v>165900</v>
          </cell>
        </row>
        <row r="955">
          <cell r="I955" t="str">
            <v>SD990</v>
          </cell>
          <cell r="J955">
            <v>153300</v>
          </cell>
        </row>
        <row r="956">
          <cell r="I956" t="str">
            <v>SF008</v>
          </cell>
          <cell r="J956">
            <v>75600</v>
          </cell>
        </row>
        <row r="957">
          <cell r="I957" t="str">
            <v>SF008BE</v>
          </cell>
          <cell r="J957">
            <v>67200</v>
          </cell>
        </row>
        <row r="958">
          <cell r="I958" t="str">
            <v>SF012</v>
          </cell>
          <cell r="J958">
            <v>94500</v>
          </cell>
        </row>
        <row r="959">
          <cell r="I959" t="str">
            <v>SF012BE</v>
          </cell>
          <cell r="J959">
            <v>84000</v>
          </cell>
        </row>
        <row r="960">
          <cell r="I960" t="str">
            <v>SF014</v>
          </cell>
          <cell r="J960">
            <v>105000</v>
          </cell>
        </row>
        <row r="961">
          <cell r="I961" t="str">
            <v>SF014BE</v>
          </cell>
          <cell r="J961">
            <v>93500</v>
          </cell>
        </row>
        <row r="962">
          <cell r="I962" t="str">
            <v>SF016</v>
          </cell>
          <cell r="J962">
            <v>114500</v>
          </cell>
        </row>
        <row r="963">
          <cell r="I963" t="str">
            <v>SF016BE</v>
          </cell>
          <cell r="J963">
            <v>101900</v>
          </cell>
        </row>
        <row r="964">
          <cell r="I964" t="str">
            <v>SF300</v>
          </cell>
          <cell r="J964">
            <v>34700</v>
          </cell>
        </row>
        <row r="965">
          <cell r="I965" t="str">
            <v>SF300BE</v>
          </cell>
          <cell r="J965">
            <v>29400</v>
          </cell>
        </row>
        <row r="966">
          <cell r="I966" t="str">
            <v>SF912</v>
          </cell>
          <cell r="J966">
            <v>49400</v>
          </cell>
        </row>
        <row r="967">
          <cell r="I967" t="str">
            <v>SF912BE</v>
          </cell>
          <cell r="J967">
            <v>42000</v>
          </cell>
        </row>
        <row r="968">
          <cell r="I968" t="str">
            <v>SF507</v>
          </cell>
          <cell r="J968">
            <v>173300</v>
          </cell>
        </row>
        <row r="969">
          <cell r="I969" t="str">
            <v>SF507BE</v>
          </cell>
          <cell r="J969">
            <v>152300</v>
          </cell>
        </row>
        <row r="970">
          <cell r="I970" t="str">
            <v>SF517</v>
          </cell>
          <cell r="J970">
            <v>135500</v>
          </cell>
        </row>
        <row r="971">
          <cell r="I971" t="str">
            <v>SF517BE</v>
          </cell>
          <cell r="J971">
            <v>118700</v>
          </cell>
        </row>
        <row r="972">
          <cell r="I972" t="str">
            <v>SF316</v>
          </cell>
          <cell r="J972">
            <v>193200</v>
          </cell>
        </row>
        <row r="973">
          <cell r="I973" t="str">
            <v>SF316BE</v>
          </cell>
          <cell r="J973">
            <v>170100</v>
          </cell>
        </row>
        <row r="974">
          <cell r="I974" t="str">
            <v>SF507T</v>
          </cell>
          <cell r="J974">
            <v>260400</v>
          </cell>
        </row>
        <row r="975">
          <cell r="I975" t="str">
            <v>SF507TBE</v>
          </cell>
          <cell r="J975">
            <v>228900</v>
          </cell>
        </row>
        <row r="976">
          <cell r="I976" t="str">
            <v>SC182</v>
          </cell>
          <cell r="J976">
            <v>116600</v>
          </cell>
        </row>
        <row r="977">
          <cell r="I977" t="str">
            <v>SC183</v>
          </cell>
          <cell r="J977">
            <v>149100</v>
          </cell>
        </row>
        <row r="978">
          <cell r="I978" t="str">
            <v>SC1082</v>
          </cell>
          <cell r="J978">
            <v>80900</v>
          </cell>
        </row>
        <row r="979">
          <cell r="I979" t="str">
            <v>SC1083</v>
          </cell>
          <cell r="J979">
            <v>113400</v>
          </cell>
        </row>
        <row r="980">
          <cell r="I980" t="str">
            <v>SC0084</v>
          </cell>
          <cell r="J980">
            <v>144900</v>
          </cell>
        </row>
        <row r="981">
          <cell r="I981" t="str">
            <v>SC0085S</v>
          </cell>
          <cell r="J981">
            <v>153300</v>
          </cell>
        </row>
        <row r="982">
          <cell r="I982" t="str">
            <v>SC0086</v>
          </cell>
          <cell r="J982">
            <v>202700</v>
          </cell>
        </row>
        <row r="983">
          <cell r="I983" t="str">
            <v>SC0054</v>
          </cell>
          <cell r="J983">
            <v>110300</v>
          </cell>
        </row>
        <row r="984">
          <cell r="I984" t="str">
            <v>SC0055S</v>
          </cell>
          <cell r="J984">
            <v>122900</v>
          </cell>
        </row>
        <row r="985">
          <cell r="I985" t="str">
            <v>SC0056</v>
          </cell>
          <cell r="J985">
            <v>170100</v>
          </cell>
        </row>
        <row r="986">
          <cell r="I986" t="str">
            <v>SC5054</v>
          </cell>
          <cell r="J986">
            <v>110300</v>
          </cell>
        </row>
        <row r="987">
          <cell r="I987" t="str">
            <v>SC5055S</v>
          </cell>
          <cell r="J987">
            <v>122900</v>
          </cell>
        </row>
        <row r="988">
          <cell r="I988" t="str">
            <v>SC9108</v>
          </cell>
          <cell r="J988">
            <v>35700</v>
          </cell>
        </row>
        <row r="989">
          <cell r="I989" t="str">
            <v>SC9105</v>
          </cell>
          <cell r="J989">
            <v>26300</v>
          </cell>
        </row>
        <row r="990">
          <cell r="I990" t="str">
            <v>SB1082</v>
          </cell>
          <cell r="J990">
            <v>65100</v>
          </cell>
        </row>
        <row r="991">
          <cell r="I991" t="str">
            <v>SB1083</v>
          </cell>
          <cell r="J991">
            <v>81900</v>
          </cell>
        </row>
        <row r="992">
          <cell r="I992" t="str">
            <v>SB0082</v>
          </cell>
          <cell r="J992">
            <v>65100</v>
          </cell>
        </row>
        <row r="993">
          <cell r="I993" t="str">
            <v>SB0084</v>
          </cell>
          <cell r="J993">
            <v>108200</v>
          </cell>
        </row>
        <row r="994">
          <cell r="I994" t="str">
            <v>SB0085S</v>
          </cell>
          <cell r="J994">
            <v>120800</v>
          </cell>
        </row>
        <row r="995">
          <cell r="I995" t="str">
            <v>SB0086</v>
          </cell>
          <cell r="J995">
            <v>143900</v>
          </cell>
        </row>
        <row r="996">
          <cell r="I996" t="str">
            <v>SB0083SG</v>
          </cell>
          <cell r="J996">
            <v>85100</v>
          </cell>
        </row>
        <row r="997">
          <cell r="I997" t="str">
            <v>SB052L</v>
          </cell>
          <cell r="J997">
            <v>45200</v>
          </cell>
        </row>
        <row r="998">
          <cell r="I998" t="str">
            <v>SB052R</v>
          </cell>
          <cell r="J998">
            <v>45200</v>
          </cell>
        </row>
        <row r="999">
          <cell r="I999" t="str">
            <v>SB054L</v>
          </cell>
          <cell r="J999">
            <v>74600</v>
          </cell>
        </row>
        <row r="1000">
          <cell r="I1000" t="str">
            <v>SB054R</v>
          </cell>
          <cell r="J1000">
            <v>74600</v>
          </cell>
        </row>
        <row r="1001">
          <cell r="I1001" t="str">
            <v>SB055SL</v>
          </cell>
          <cell r="J1001">
            <v>80900</v>
          </cell>
        </row>
        <row r="1002">
          <cell r="I1002" t="str">
            <v>SB055SR</v>
          </cell>
          <cell r="J1002">
            <v>80900</v>
          </cell>
        </row>
        <row r="1003">
          <cell r="I1003" t="str">
            <v>SB056L</v>
          </cell>
          <cell r="J1003">
            <v>107100</v>
          </cell>
        </row>
        <row r="1004">
          <cell r="I1004" t="str">
            <v>SB056R</v>
          </cell>
          <cell r="J1004">
            <v>107100</v>
          </cell>
        </row>
        <row r="1005">
          <cell r="I1005" t="str">
            <v>SB9082</v>
          </cell>
          <cell r="J1005">
            <v>39900</v>
          </cell>
        </row>
        <row r="1006">
          <cell r="I1006" t="str">
            <v>SB9082BE</v>
          </cell>
          <cell r="J1006">
            <v>25800</v>
          </cell>
        </row>
        <row r="1007">
          <cell r="I1007" t="str">
            <v>SB9083</v>
          </cell>
          <cell r="J1007">
            <v>59900</v>
          </cell>
        </row>
        <row r="1008">
          <cell r="I1008" t="str">
            <v>SB9083BE</v>
          </cell>
          <cell r="J1008">
            <v>38900</v>
          </cell>
        </row>
        <row r="1009">
          <cell r="I1009" t="str">
            <v>SB9084</v>
          </cell>
          <cell r="J1009">
            <v>80900</v>
          </cell>
        </row>
        <row r="1010">
          <cell r="I1010" t="str">
            <v>SB9084BE</v>
          </cell>
          <cell r="J1010">
            <v>53600</v>
          </cell>
        </row>
        <row r="1011">
          <cell r="I1011" t="str">
            <v>SB9085S</v>
          </cell>
          <cell r="J1011">
            <v>93500</v>
          </cell>
        </row>
        <row r="1012">
          <cell r="I1012" t="str">
            <v>SB9055SBE</v>
          </cell>
          <cell r="J1012">
            <v>63000</v>
          </cell>
        </row>
        <row r="1013">
          <cell r="I1013" t="str">
            <v>SB9054</v>
          </cell>
          <cell r="J1013">
            <v>45200</v>
          </cell>
        </row>
        <row r="1014">
          <cell r="I1014" t="str">
            <v>SB9054BE</v>
          </cell>
          <cell r="J1014">
            <v>32600</v>
          </cell>
        </row>
        <row r="1015">
          <cell r="I1015" t="str">
            <v>SB9055S</v>
          </cell>
          <cell r="J1015">
            <v>57800</v>
          </cell>
        </row>
        <row r="1016">
          <cell r="I1016" t="str">
            <v>SB9055SBE</v>
          </cell>
          <cell r="J1016">
            <v>38900</v>
          </cell>
        </row>
        <row r="1017">
          <cell r="I1017" t="str">
            <v>SC981F</v>
          </cell>
          <cell r="J1017">
            <v>93000</v>
          </cell>
        </row>
        <row r="1018">
          <cell r="I1018" t="str">
            <v>SC981C</v>
          </cell>
          <cell r="J1018">
            <v>73000</v>
          </cell>
        </row>
        <row r="1019">
          <cell r="I1019" t="str">
            <v>SC982F</v>
          </cell>
          <cell r="J1019">
            <v>137000</v>
          </cell>
        </row>
        <row r="1020">
          <cell r="I1020" t="str">
            <v>SC982C</v>
          </cell>
          <cell r="J1020">
            <v>108000</v>
          </cell>
        </row>
        <row r="1021">
          <cell r="I1021" t="str">
            <v>SC951F</v>
          </cell>
          <cell r="J1021">
            <v>77000</v>
          </cell>
        </row>
        <row r="1022">
          <cell r="I1022" t="str">
            <v>SC951C</v>
          </cell>
          <cell r="J1022">
            <v>57000</v>
          </cell>
        </row>
        <row r="1023">
          <cell r="I1023" t="str">
            <v>SC952F</v>
          </cell>
          <cell r="J1023">
            <v>113000</v>
          </cell>
        </row>
        <row r="1024">
          <cell r="I1024" t="str">
            <v>SC952C</v>
          </cell>
          <cell r="J1024">
            <v>84000</v>
          </cell>
        </row>
        <row r="1025">
          <cell r="I1025" t="str">
            <v>SC9350</v>
          </cell>
          <cell r="J1025">
            <v>18000</v>
          </cell>
        </row>
        <row r="1026">
          <cell r="I1026" t="str">
            <v>SC9380</v>
          </cell>
          <cell r="J1026">
            <v>26000</v>
          </cell>
        </row>
        <row r="1027">
          <cell r="I1027" t="str">
            <v>SF517T</v>
          </cell>
          <cell r="J1027">
            <v>203700</v>
          </cell>
        </row>
        <row r="1028">
          <cell r="I1028" t="str">
            <v>SF517TBE</v>
          </cell>
          <cell r="J1028">
            <v>178500</v>
          </cell>
        </row>
        <row r="1029">
          <cell r="I1029" t="str">
            <v>SF316TA</v>
          </cell>
          <cell r="J1029">
            <v>300300</v>
          </cell>
        </row>
        <row r="1030">
          <cell r="I1030" t="str">
            <v>SF316TABE</v>
          </cell>
          <cell r="J1030">
            <v>264600</v>
          </cell>
        </row>
        <row r="1031">
          <cell r="I1031" t="str">
            <v>SF316TB</v>
          </cell>
          <cell r="J1031">
            <v>280400</v>
          </cell>
        </row>
        <row r="1032">
          <cell r="I1032" t="str">
            <v>SF316TBBE</v>
          </cell>
          <cell r="J1032">
            <v>246800</v>
          </cell>
        </row>
        <row r="1033">
          <cell r="I1033" t="str">
            <v>SC282</v>
          </cell>
          <cell r="J1033">
            <v>362300</v>
          </cell>
        </row>
        <row r="1034">
          <cell r="I1034" t="str">
            <v>SC283</v>
          </cell>
          <cell r="J1034">
            <v>485100</v>
          </cell>
        </row>
        <row r="1035">
          <cell r="I1035" t="str">
            <v>SC2082</v>
          </cell>
          <cell r="J1035">
            <v>326600</v>
          </cell>
        </row>
        <row r="1036">
          <cell r="I1036" t="str">
            <v>SC2083</v>
          </cell>
          <cell r="J1036">
            <v>449400</v>
          </cell>
        </row>
        <row r="1037">
          <cell r="I1037" t="str">
            <v>SC162</v>
          </cell>
          <cell r="J1037">
            <v>114500</v>
          </cell>
        </row>
        <row r="1038">
          <cell r="I1038" t="str">
            <v>SC662L</v>
          </cell>
          <cell r="J1038">
            <v>236300</v>
          </cell>
        </row>
        <row r="1039">
          <cell r="I1039" t="str">
            <v>SC662R</v>
          </cell>
          <cell r="J1039">
            <v>236300</v>
          </cell>
        </row>
        <row r="1040">
          <cell r="I1040" t="str">
            <v>SC764</v>
          </cell>
          <cell r="J1040">
            <v>239400</v>
          </cell>
        </row>
        <row r="1041">
          <cell r="I1041" t="str">
            <v>SA0101</v>
          </cell>
          <cell r="J1041">
            <v>4800</v>
          </cell>
        </row>
        <row r="1042">
          <cell r="I1042" t="str">
            <v>SA0102</v>
          </cell>
          <cell r="J1042">
            <v>4800</v>
          </cell>
        </row>
        <row r="1043">
          <cell r="I1043" t="str">
            <v>SA0103</v>
          </cell>
          <cell r="J1043">
            <v>4800</v>
          </cell>
        </row>
        <row r="1044">
          <cell r="I1044" t="str">
            <v>SA0104</v>
          </cell>
          <cell r="J1044">
            <v>9700</v>
          </cell>
        </row>
        <row r="1045">
          <cell r="I1045" t="str">
            <v>SA1012</v>
          </cell>
          <cell r="J1045">
            <v>60900</v>
          </cell>
        </row>
        <row r="1046">
          <cell r="I1046" t="str">
            <v>SA1014</v>
          </cell>
          <cell r="J1046">
            <v>68300</v>
          </cell>
        </row>
        <row r="1047">
          <cell r="I1047" t="str">
            <v>SA0201</v>
          </cell>
          <cell r="J1047">
            <v>57800</v>
          </cell>
        </row>
        <row r="1048">
          <cell r="I1048" t="str">
            <v>SA0301</v>
          </cell>
          <cell r="J1048">
            <v>14700</v>
          </cell>
        </row>
        <row r="1049">
          <cell r="I1049" t="str">
            <v>SA0401</v>
          </cell>
          <cell r="J1049">
            <v>14700</v>
          </cell>
        </row>
        <row r="1050">
          <cell r="I1050" t="str">
            <v>SA9900</v>
          </cell>
          <cell r="J1050">
            <v>8900</v>
          </cell>
        </row>
        <row r="1051">
          <cell r="I1051" t="str">
            <v>IF0060</v>
          </cell>
          <cell r="J1051">
            <v>33600</v>
          </cell>
        </row>
        <row r="1052">
          <cell r="I1052" t="str">
            <v>IF0070</v>
          </cell>
          <cell r="J1052">
            <v>36800</v>
          </cell>
        </row>
        <row r="1053">
          <cell r="I1053" t="str">
            <v>IF0080</v>
          </cell>
          <cell r="J1053">
            <v>39900</v>
          </cell>
        </row>
        <row r="1054">
          <cell r="I1054" t="str">
            <v>IF0100</v>
          </cell>
          <cell r="J1054">
            <v>45200</v>
          </cell>
        </row>
        <row r="1055">
          <cell r="I1055" t="str">
            <v>IF0120</v>
          </cell>
          <cell r="J1055">
            <v>50400</v>
          </cell>
        </row>
        <row r="1056">
          <cell r="I1056" t="str">
            <v>IF0062</v>
          </cell>
          <cell r="J1056">
            <v>36800</v>
          </cell>
        </row>
        <row r="1057">
          <cell r="I1057" t="str">
            <v>IF0072</v>
          </cell>
          <cell r="J1057">
            <v>39900</v>
          </cell>
        </row>
        <row r="1058">
          <cell r="I1058" t="str">
            <v>IF0082</v>
          </cell>
          <cell r="J1058">
            <v>43100</v>
          </cell>
        </row>
        <row r="1059">
          <cell r="I1059" t="str">
            <v>IF0102</v>
          </cell>
          <cell r="J1059">
            <v>48300</v>
          </cell>
        </row>
        <row r="1060">
          <cell r="I1060" t="str">
            <v>IF0122</v>
          </cell>
          <cell r="J1060">
            <v>53600</v>
          </cell>
        </row>
        <row r="1061">
          <cell r="I1061" t="str">
            <v>IF0064</v>
          </cell>
          <cell r="J1061">
            <v>42000</v>
          </cell>
        </row>
        <row r="1062">
          <cell r="I1062" t="str">
            <v>IF0074</v>
          </cell>
          <cell r="J1062">
            <v>45200</v>
          </cell>
        </row>
        <row r="1063">
          <cell r="I1063" t="str">
            <v>IF0084</v>
          </cell>
          <cell r="J1063">
            <v>48300</v>
          </cell>
        </row>
        <row r="1064">
          <cell r="I1064" t="str">
            <v>IF0104</v>
          </cell>
          <cell r="J1064">
            <v>53600</v>
          </cell>
        </row>
        <row r="1065">
          <cell r="I1065" t="str">
            <v>IF0124</v>
          </cell>
          <cell r="J1065">
            <v>58800</v>
          </cell>
        </row>
        <row r="1066">
          <cell r="I1066" t="str">
            <v>IF0066</v>
          </cell>
          <cell r="J1066">
            <v>47300</v>
          </cell>
        </row>
        <row r="1067">
          <cell r="I1067" t="str">
            <v>IF0076</v>
          </cell>
          <cell r="J1067">
            <v>50400</v>
          </cell>
        </row>
        <row r="1068">
          <cell r="I1068" t="str">
            <v>IF0086</v>
          </cell>
          <cell r="J1068">
            <v>53600</v>
          </cell>
        </row>
        <row r="1069">
          <cell r="I1069" t="str">
            <v>IF0106</v>
          </cell>
          <cell r="J1069">
            <v>58800</v>
          </cell>
        </row>
        <row r="1070">
          <cell r="I1070" t="str">
            <v>IF0126</v>
          </cell>
          <cell r="J1070">
            <v>64100</v>
          </cell>
        </row>
        <row r="1071">
          <cell r="I1071" t="str">
            <v>IF0068</v>
          </cell>
          <cell r="J1071">
            <v>51500</v>
          </cell>
        </row>
        <row r="1072">
          <cell r="I1072" t="str">
            <v>IF0078</v>
          </cell>
          <cell r="J1072">
            <v>54600</v>
          </cell>
        </row>
        <row r="1073">
          <cell r="I1073" t="str">
            <v>IF0088</v>
          </cell>
          <cell r="J1073">
            <v>57800</v>
          </cell>
        </row>
        <row r="1074">
          <cell r="I1074" t="str">
            <v>IF0108</v>
          </cell>
          <cell r="J1074">
            <v>63000</v>
          </cell>
        </row>
        <row r="1075">
          <cell r="I1075" t="str">
            <v>IF0128</v>
          </cell>
          <cell r="J1075">
            <v>68300</v>
          </cell>
        </row>
        <row r="1076">
          <cell r="I1076" t="str">
            <v>IF3061</v>
          </cell>
          <cell r="J1076">
            <v>10000</v>
          </cell>
        </row>
        <row r="1077">
          <cell r="I1077" t="str">
            <v>IF3071</v>
          </cell>
          <cell r="J1077">
            <v>11000</v>
          </cell>
        </row>
        <row r="1078">
          <cell r="I1078" t="str">
            <v>IF3081</v>
          </cell>
          <cell r="J1078">
            <v>12600</v>
          </cell>
        </row>
        <row r="1079">
          <cell r="I1079" t="str">
            <v>IF3101</v>
          </cell>
          <cell r="J1079">
            <v>14700</v>
          </cell>
        </row>
        <row r="1080">
          <cell r="I1080" t="str">
            <v>IF3121</v>
          </cell>
          <cell r="J1080">
            <v>16800</v>
          </cell>
        </row>
        <row r="1081">
          <cell r="I1081" t="str">
            <v>IF1062</v>
          </cell>
          <cell r="J1081">
            <v>8400</v>
          </cell>
        </row>
        <row r="1082">
          <cell r="I1082" t="str">
            <v>IF1072</v>
          </cell>
          <cell r="J1082">
            <v>10000</v>
          </cell>
        </row>
        <row r="1083">
          <cell r="I1083" t="str">
            <v>IF1082</v>
          </cell>
          <cell r="J1083">
            <v>11600</v>
          </cell>
        </row>
        <row r="1084">
          <cell r="I1084" t="str">
            <v>IF1102</v>
          </cell>
          <cell r="J1084">
            <v>13100</v>
          </cell>
        </row>
        <row r="1085">
          <cell r="I1085" t="str">
            <v>IF1122</v>
          </cell>
          <cell r="J1085">
            <v>14700</v>
          </cell>
        </row>
        <row r="1086">
          <cell r="I1086" t="str">
            <v>IF1064</v>
          </cell>
          <cell r="J1086">
            <v>14700</v>
          </cell>
        </row>
        <row r="1087">
          <cell r="I1087" t="str">
            <v>IF1074</v>
          </cell>
          <cell r="J1087">
            <v>16300</v>
          </cell>
        </row>
        <row r="1088">
          <cell r="I1088" t="str">
            <v>IF1084</v>
          </cell>
          <cell r="J1088">
            <v>17900</v>
          </cell>
        </row>
        <row r="1089">
          <cell r="I1089" t="str">
            <v>IF1104</v>
          </cell>
          <cell r="J1089">
            <v>21000</v>
          </cell>
        </row>
        <row r="1090">
          <cell r="I1090" t="str">
            <v>IF1124</v>
          </cell>
          <cell r="J1090">
            <v>24200</v>
          </cell>
        </row>
        <row r="1091">
          <cell r="I1091" t="str">
            <v>IF1066</v>
          </cell>
          <cell r="J1091">
            <v>21000</v>
          </cell>
        </row>
        <row r="1092">
          <cell r="I1092" t="str">
            <v>IF1076</v>
          </cell>
          <cell r="J1092">
            <v>22600</v>
          </cell>
        </row>
        <row r="1093">
          <cell r="I1093" t="str">
            <v>IF1086</v>
          </cell>
          <cell r="J1093">
            <v>24200</v>
          </cell>
        </row>
        <row r="1094">
          <cell r="I1094" t="str">
            <v>IF1106</v>
          </cell>
          <cell r="J1094">
            <v>27300</v>
          </cell>
        </row>
        <row r="1095">
          <cell r="I1095" t="str">
            <v>IF1126</v>
          </cell>
          <cell r="J1095">
            <v>30500</v>
          </cell>
        </row>
        <row r="1096">
          <cell r="I1096" t="str">
            <v>IF1066MM</v>
          </cell>
          <cell r="J1096">
            <v>17900</v>
          </cell>
        </row>
        <row r="1097">
          <cell r="I1097" t="str">
            <v>IF1066BE</v>
          </cell>
          <cell r="J1097">
            <v>17900</v>
          </cell>
        </row>
        <row r="1098">
          <cell r="I1098" t="str">
            <v>IF1076MM</v>
          </cell>
          <cell r="J1098">
            <v>19400</v>
          </cell>
        </row>
        <row r="1099">
          <cell r="I1099" t="str">
            <v>IF1076BE</v>
          </cell>
          <cell r="J1099">
            <v>19400</v>
          </cell>
        </row>
        <row r="1100">
          <cell r="I1100" t="str">
            <v>IF1086MM</v>
          </cell>
          <cell r="J1100">
            <v>21000</v>
          </cell>
        </row>
        <row r="1101">
          <cell r="I1101" t="str">
            <v>IF1086BE</v>
          </cell>
          <cell r="J1101">
            <v>21000</v>
          </cell>
        </row>
        <row r="1102">
          <cell r="I1102" t="str">
            <v>IF1106MM</v>
          </cell>
          <cell r="J1102">
            <v>23100</v>
          </cell>
        </row>
        <row r="1103">
          <cell r="I1103" t="str">
            <v>IF1106BE</v>
          </cell>
          <cell r="J1103">
            <v>23100</v>
          </cell>
        </row>
        <row r="1104">
          <cell r="I1104" t="str">
            <v>IF1126MM</v>
          </cell>
          <cell r="J1104">
            <v>26300</v>
          </cell>
        </row>
        <row r="1105">
          <cell r="I1105" t="str">
            <v>IF1126BE</v>
          </cell>
          <cell r="J1105">
            <v>26300</v>
          </cell>
        </row>
        <row r="1106">
          <cell r="I1106" t="str">
            <v>IF1064G</v>
          </cell>
          <cell r="J1106">
            <v>13100</v>
          </cell>
        </row>
        <row r="1107">
          <cell r="I1107" t="str">
            <v>IF1074G</v>
          </cell>
          <cell r="J1107">
            <v>15800</v>
          </cell>
        </row>
        <row r="1108">
          <cell r="I1108" t="str">
            <v>IF1084G</v>
          </cell>
          <cell r="J1108">
            <v>18900</v>
          </cell>
        </row>
        <row r="1109">
          <cell r="I1109" t="str">
            <v>IF1104G</v>
          </cell>
          <cell r="J1109">
            <v>24200</v>
          </cell>
        </row>
        <row r="1110">
          <cell r="I1110" t="str">
            <v>IF1124G</v>
          </cell>
          <cell r="J1110">
            <v>29400</v>
          </cell>
        </row>
        <row r="1111">
          <cell r="I1111" t="str">
            <v>IF1066G</v>
          </cell>
          <cell r="J1111">
            <v>21500</v>
          </cell>
        </row>
        <row r="1112">
          <cell r="I1112" t="str">
            <v>IF1076G</v>
          </cell>
          <cell r="J1112">
            <v>24200</v>
          </cell>
        </row>
        <row r="1113">
          <cell r="I1113" t="str">
            <v>IF1086G</v>
          </cell>
          <cell r="J1113">
            <v>27300</v>
          </cell>
        </row>
        <row r="1114">
          <cell r="I1114" t="str">
            <v>IF1106G</v>
          </cell>
          <cell r="J1114">
            <v>32600</v>
          </cell>
        </row>
        <row r="1115">
          <cell r="I1115" t="str">
            <v>IF1126G</v>
          </cell>
          <cell r="J1115">
            <v>37800</v>
          </cell>
        </row>
        <row r="1116">
          <cell r="I1116" t="str">
            <v>IF1064K</v>
          </cell>
          <cell r="J1116">
            <v>15800</v>
          </cell>
        </row>
        <row r="1117">
          <cell r="I1117" t="str">
            <v>IF1074K</v>
          </cell>
          <cell r="J1117">
            <v>18900</v>
          </cell>
        </row>
        <row r="1118">
          <cell r="I1118" t="str">
            <v>IF1084K</v>
          </cell>
          <cell r="J1118">
            <v>23100</v>
          </cell>
        </row>
        <row r="1119">
          <cell r="I1119" t="str">
            <v>IF1104K</v>
          </cell>
          <cell r="J1119">
            <v>27300</v>
          </cell>
        </row>
        <row r="1120">
          <cell r="I1120" t="str">
            <v>IF1124K</v>
          </cell>
          <cell r="J1120">
            <v>32600</v>
          </cell>
        </row>
        <row r="1121">
          <cell r="I1121" t="str">
            <v>IF1066K</v>
          </cell>
          <cell r="J1121">
            <v>26300</v>
          </cell>
        </row>
        <row r="1122">
          <cell r="I1122" t="str">
            <v>IF1076K</v>
          </cell>
          <cell r="J1122">
            <v>29400</v>
          </cell>
        </row>
        <row r="1123">
          <cell r="I1123" t="str">
            <v>IF1086K</v>
          </cell>
          <cell r="J1123">
            <v>32600</v>
          </cell>
        </row>
        <row r="1124">
          <cell r="I1124" t="str">
            <v>IF1106K</v>
          </cell>
          <cell r="J1124">
            <v>36800</v>
          </cell>
        </row>
        <row r="1125">
          <cell r="I1125" t="str">
            <v>IF1126K</v>
          </cell>
          <cell r="J1125">
            <v>42000</v>
          </cell>
        </row>
        <row r="1126">
          <cell r="I1126" t="str">
            <v>IF1064B</v>
          </cell>
          <cell r="J1126">
            <v>20000</v>
          </cell>
        </row>
        <row r="1127">
          <cell r="I1127" t="str">
            <v>IF1074B</v>
          </cell>
          <cell r="J1127">
            <v>22100</v>
          </cell>
        </row>
        <row r="1128">
          <cell r="I1128" t="str">
            <v>IF1084B</v>
          </cell>
          <cell r="J1128">
            <v>24200</v>
          </cell>
        </row>
        <row r="1129">
          <cell r="I1129" t="str">
            <v>IF1104B</v>
          </cell>
          <cell r="J1129">
            <v>35700</v>
          </cell>
        </row>
        <row r="1130">
          <cell r="I1130" t="str">
            <v>IF1124B</v>
          </cell>
          <cell r="J1130">
            <v>38900</v>
          </cell>
        </row>
        <row r="1131">
          <cell r="I1131" t="str">
            <v>IF1066B</v>
          </cell>
          <cell r="J1131">
            <v>27300</v>
          </cell>
        </row>
        <row r="1132">
          <cell r="I1132" t="str">
            <v>IF1076B</v>
          </cell>
          <cell r="J1132">
            <v>30500</v>
          </cell>
        </row>
        <row r="1133">
          <cell r="I1133" t="str">
            <v>IF1086B</v>
          </cell>
          <cell r="J1133">
            <v>33600</v>
          </cell>
        </row>
        <row r="1134">
          <cell r="I1134" t="str">
            <v>IF1106B</v>
          </cell>
          <cell r="J1134">
            <v>42000</v>
          </cell>
        </row>
        <row r="1135">
          <cell r="I1135" t="str">
            <v>IF1126B</v>
          </cell>
          <cell r="J1135">
            <v>46200</v>
          </cell>
        </row>
        <row r="1136">
          <cell r="I1136" t="str">
            <v>IF5110</v>
          </cell>
          <cell r="J1136">
            <v>17900</v>
          </cell>
        </row>
        <row r="1137">
          <cell r="I1137" t="str">
            <v>IF5112</v>
          </cell>
          <cell r="J1137">
            <v>19400</v>
          </cell>
        </row>
        <row r="1138">
          <cell r="I1138" t="str">
            <v>IF5114</v>
          </cell>
          <cell r="J1138">
            <v>21000</v>
          </cell>
        </row>
        <row r="1139">
          <cell r="I1139" t="str">
            <v>IF5116</v>
          </cell>
          <cell r="J1139">
            <v>24200</v>
          </cell>
        </row>
        <row r="1140">
          <cell r="I1140" t="str">
            <v>IF5118</v>
          </cell>
          <cell r="J1140">
            <v>28400</v>
          </cell>
        </row>
        <row r="1141">
          <cell r="I1141" t="str">
            <v>IF5210</v>
          </cell>
          <cell r="J1141">
            <v>21000</v>
          </cell>
        </row>
        <row r="1142">
          <cell r="I1142" t="str">
            <v>IF5212</v>
          </cell>
          <cell r="J1142">
            <v>22600</v>
          </cell>
        </row>
        <row r="1143">
          <cell r="I1143" t="str">
            <v>IF5214</v>
          </cell>
          <cell r="J1143">
            <v>24200</v>
          </cell>
        </row>
        <row r="1144">
          <cell r="I1144" t="str">
            <v>IF5216</v>
          </cell>
          <cell r="J1144">
            <v>27300</v>
          </cell>
        </row>
        <row r="1145">
          <cell r="I1145" t="str">
            <v>IF5218</v>
          </cell>
          <cell r="J1145">
            <v>31500</v>
          </cell>
        </row>
        <row r="1146">
          <cell r="I1146" t="str">
            <v>IF5510</v>
          </cell>
          <cell r="J1146">
            <v>24200</v>
          </cell>
        </row>
        <row r="1147">
          <cell r="I1147" t="str">
            <v>IF5512</v>
          </cell>
          <cell r="J1147">
            <v>25700</v>
          </cell>
        </row>
        <row r="1148">
          <cell r="I1148" t="str">
            <v>IF5514</v>
          </cell>
          <cell r="J1148">
            <v>27300</v>
          </cell>
        </row>
        <row r="1149">
          <cell r="I1149" t="str">
            <v>IF5516</v>
          </cell>
          <cell r="J1149">
            <v>30500</v>
          </cell>
        </row>
        <row r="1150">
          <cell r="I1150" t="str">
            <v>IF5518</v>
          </cell>
          <cell r="J1150">
            <v>34700</v>
          </cell>
        </row>
        <row r="1151">
          <cell r="I1151" t="str">
            <v>IF6010</v>
          </cell>
          <cell r="J1151">
            <v>6300</v>
          </cell>
        </row>
        <row r="1152">
          <cell r="I1152" t="str">
            <v>IF6012</v>
          </cell>
          <cell r="J1152">
            <v>7900</v>
          </cell>
        </row>
        <row r="1153">
          <cell r="I1153" t="str">
            <v>IF6014</v>
          </cell>
          <cell r="J1153">
            <v>9500</v>
          </cell>
        </row>
        <row r="1154">
          <cell r="I1154" t="str">
            <v>IF6016</v>
          </cell>
          <cell r="J1154">
            <v>11600</v>
          </cell>
        </row>
        <row r="1155">
          <cell r="I1155" t="str">
            <v>IF6018</v>
          </cell>
          <cell r="J1155">
            <v>13700</v>
          </cell>
        </row>
        <row r="1156">
          <cell r="I1156" t="str">
            <v>IF6102</v>
          </cell>
          <cell r="J1156">
            <v>3200</v>
          </cell>
        </row>
        <row r="1157">
          <cell r="I1157" t="str">
            <v>IF6104</v>
          </cell>
          <cell r="J1157">
            <v>4200</v>
          </cell>
        </row>
        <row r="1158">
          <cell r="I1158" t="str">
            <v>IF6106</v>
          </cell>
          <cell r="J1158">
            <v>4700</v>
          </cell>
        </row>
        <row r="1159">
          <cell r="I1159" t="str">
            <v>IF6108</v>
          </cell>
          <cell r="J1159">
            <v>5800</v>
          </cell>
        </row>
        <row r="1160">
          <cell r="I1160" t="str">
            <v>IF6102T</v>
          </cell>
          <cell r="J1160">
            <v>3200</v>
          </cell>
        </row>
        <row r="1161">
          <cell r="I1161" t="str">
            <v>IF6104T</v>
          </cell>
          <cell r="J1161">
            <v>4200</v>
          </cell>
        </row>
        <row r="1162">
          <cell r="I1162" t="str">
            <v>IF6106T</v>
          </cell>
          <cell r="J1162">
            <v>4700</v>
          </cell>
        </row>
        <row r="1163">
          <cell r="I1163" t="str">
            <v>IF6108T</v>
          </cell>
          <cell r="J1163">
            <v>5800</v>
          </cell>
        </row>
        <row r="1164">
          <cell r="I1164" t="str">
            <v>IF8001</v>
          </cell>
          <cell r="J1164">
            <v>23100</v>
          </cell>
        </row>
        <row r="1165">
          <cell r="I1165" t="str">
            <v>IF8002</v>
          </cell>
          <cell r="J1165">
            <v>3200</v>
          </cell>
        </row>
        <row r="1166">
          <cell r="I1166" t="str">
            <v>IT8001</v>
          </cell>
          <cell r="J1166">
            <v>5300</v>
          </cell>
        </row>
        <row r="1167">
          <cell r="I1167" t="str">
            <v>IT8002</v>
          </cell>
          <cell r="J1167">
            <v>5300</v>
          </cell>
        </row>
        <row r="1168">
          <cell r="I1168" t="str">
            <v>IT8003</v>
          </cell>
          <cell r="J1168">
            <v>2600</v>
          </cell>
        </row>
        <row r="1169">
          <cell r="I1169" t="str">
            <v>IT0008L</v>
          </cell>
          <cell r="J1169">
            <v>57800</v>
          </cell>
        </row>
        <row r="1170">
          <cell r="I1170" t="str">
            <v>IT0008R</v>
          </cell>
          <cell r="J1170">
            <v>57800</v>
          </cell>
        </row>
        <row r="1171">
          <cell r="I1171" t="str">
            <v>IT0008</v>
          </cell>
          <cell r="J1171">
            <v>57800</v>
          </cell>
        </row>
        <row r="1172">
          <cell r="I1172" t="str">
            <v>IT0010L</v>
          </cell>
          <cell r="J1172">
            <v>71400</v>
          </cell>
        </row>
        <row r="1173">
          <cell r="I1173" t="str">
            <v>IT0010R</v>
          </cell>
          <cell r="J1173">
            <v>71400</v>
          </cell>
        </row>
        <row r="1174">
          <cell r="I1174" t="str">
            <v>IT0100</v>
          </cell>
          <cell r="J1174">
            <v>71400</v>
          </cell>
        </row>
        <row r="1175">
          <cell r="I1175" t="str">
            <v>IT0012L</v>
          </cell>
          <cell r="J1175">
            <v>80900</v>
          </cell>
        </row>
        <row r="1176">
          <cell r="I1176" t="str">
            <v>IT0012R</v>
          </cell>
          <cell r="J1176">
            <v>80900</v>
          </cell>
        </row>
        <row r="1177">
          <cell r="I1177" t="str">
            <v>IT0012</v>
          </cell>
          <cell r="J1177">
            <v>80900</v>
          </cell>
        </row>
        <row r="1178">
          <cell r="I1178" t="str">
            <v>IT0116</v>
          </cell>
          <cell r="J1178">
            <v>92400</v>
          </cell>
        </row>
        <row r="1179">
          <cell r="I1179" t="str">
            <v>IT0118</v>
          </cell>
          <cell r="J1179">
            <v>101900</v>
          </cell>
        </row>
        <row r="1180">
          <cell r="I1180" t="str">
            <v>IT0100L</v>
          </cell>
          <cell r="J1180">
            <v>36800</v>
          </cell>
        </row>
        <row r="1181">
          <cell r="I1181" t="str">
            <v>IT0100R</v>
          </cell>
          <cell r="J1181">
            <v>36800</v>
          </cell>
        </row>
        <row r="1182">
          <cell r="I1182" t="str">
            <v>IT5066</v>
          </cell>
          <cell r="J1182">
            <v>110300</v>
          </cell>
        </row>
        <row r="1183">
          <cell r="I1183" t="str">
            <v>IT5077</v>
          </cell>
          <cell r="J1183">
            <v>135500</v>
          </cell>
        </row>
        <row r="1184">
          <cell r="I1184" t="str">
            <v>IT912</v>
          </cell>
          <cell r="J1184">
            <v>108200</v>
          </cell>
        </row>
        <row r="1185">
          <cell r="I1185" t="str">
            <v>IT916</v>
          </cell>
          <cell r="J1185">
            <v>160700</v>
          </cell>
        </row>
        <row r="1186">
          <cell r="I1186" t="str">
            <v>IT966</v>
          </cell>
          <cell r="J1186">
            <v>161700</v>
          </cell>
        </row>
        <row r="1187">
          <cell r="I1187" t="str">
            <v>IT977</v>
          </cell>
          <cell r="J1187">
            <v>172200</v>
          </cell>
        </row>
        <row r="1188">
          <cell r="I1188" t="str">
            <v>IT926L</v>
          </cell>
          <cell r="J1188">
            <v>138600</v>
          </cell>
        </row>
        <row r="1189">
          <cell r="I1189" t="str">
            <v>IT926R</v>
          </cell>
          <cell r="J1189">
            <v>138600</v>
          </cell>
        </row>
        <row r="1190">
          <cell r="I1190" t="str">
            <v>IT927L</v>
          </cell>
          <cell r="J1190">
            <v>141800</v>
          </cell>
        </row>
        <row r="1191">
          <cell r="I1191" t="str">
            <v>IT927R</v>
          </cell>
          <cell r="J1191">
            <v>141800</v>
          </cell>
        </row>
        <row r="1192">
          <cell r="I1192" t="str">
            <v>IT912CL</v>
          </cell>
          <cell r="J1192">
            <v>126000</v>
          </cell>
        </row>
        <row r="1193">
          <cell r="I1193" t="str">
            <v>IT912CR</v>
          </cell>
          <cell r="J1193">
            <v>126000</v>
          </cell>
        </row>
        <row r="1194">
          <cell r="I1194" t="str">
            <v>IT918CL</v>
          </cell>
          <cell r="J1194">
            <v>176400</v>
          </cell>
        </row>
        <row r="1195">
          <cell r="I1195" t="str">
            <v>IT918CR</v>
          </cell>
          <cell r="J1195">
            <v>176400</v>
          </cell>
        </row>
        <row r="1196">
          <cell r="I1196" t="str">
            <v>IT912DL</v>
          </cell>
          <cell r="J1196">
            <v>126000</v>
          </cell>
        </row>
        <row r="1197">
          <cell r="I1197" t="str">
            <v>IT912DR</v>
          </cell>
          <cell r="J1197">
            <v>126000</v>
          </cell>
        </row>
        <row r="1198">
          <cell r="I1198" t="str">
            <v>IT918DR</v>
          </cell>
          <cell r="J1198">
            <v>176400</v>
          </cell>
        </row>
        <row r="1199">
          <cell r="I1199" t="str">
            <v>IT918DL</v>
          </cell>
          <cell r="J1199">
            <v>176400</v>
          </cell>
        </row>
        <row r="1200">
          <cell r="I1200" t="str">
            <v>IT2004</v>
          </cell>
          <cell r="J1200">
            <v>21000</v>
          </cell>
        </row>
        <row r="1201">
          <cell r="I1201" t="str">
            <v>IT2005</v>
          </cell>
          <cell r="J1201">
            <v>24200</v>
          </cell>
        </row>
        <row r="1202">
          <cell r="I1202" t="str">
            <v>IT2006</v>
          </cell>
          <cell r="J1202">
            <v>27300</v>
          </cell>
        </row>
        <row r="1203">
          <cell r="I1203" t="str">
            <v>IT2007</v>
          </cell>
          <cell r="J1203">
            <v>30500</v>
          </cell>
        </row>
        <row r="1204">
          <cell r="I1204" t="str">
            <v>IT2008</v>
          </cell>
          <cell r="J1204">
            <v>33600</v>
          </cell>
        </row>
        <row r="1205">
          <cell r="I1205" t="str">
            <v>IT2010</v>
          </cell>
          <cell r="J1205">
            <v>39900</v>
          </cell>
        </row>
        <row r="1206">
          <cell r="I1206" t="str">
            <v>IT2012</v>
          </cell>
          <cell r="J1206">
            <v>47300</v>
          </cell>
        </row>
        <row r="1207">
          <cell r="I1207" t="str">
            <v>IT2014</v>
          </cell>
          <cell r="J1207">
            <v>54600</v>
          </cell>
        </row>
        <row r="1208">
          <cell r="I1208" t="str">
            <v>IT2016</v>
          </cell>
          <cell r="J1208">
            <v>60900</v>
          </cell>
        </row>
        <row r="1209">
          <cell r="I1209" t="str">
            <v>IT2122</v>
          </cell>
          <cell r="J1209">
            <v>21000</v>
          </cell>
        </row>
        <row r="1210">
          <cell r="I1210" t="str">
            <v>IT2204</v>
          </cell>
          <cell r="J1210">
            <v>24200</v>
          </cell>
        </row>
        <row r="1211">
          <cell r="I1211" t="str">
            <v>IT2205</v>
          </cell>
          <cell r="J1211">
            <v>27300</v>
          </cell>
        </row>
        <row r="1212">
          <cell r="I1212" t="str">
            <v>IT2206</v>
          </cell>
          <cell r="J1212">
            <v>30500</v>
          </cell>
        </row>
        <row r="1213">
          <cell r="I1213" t="str">
            <v>IT2207</v>
          </cell>
          <cell r="J1213">
            <v>33600</v>
          </cell>
        </row>
        <row r="1214">
          <cell r="I1214" t="str">
            <v>IT2208</v>
          </cell>
          <cell r="J1214">
            <v>36800</v>
          </cell>
        </row>
        <row r="1215">
          <cell r="I1215" t="str">
            <v>IT2210</v>
          </cell>
          <cell r="J1215">
            <v>44100</v>
          </cell>
        </row>
        <row r="1216">
          <cell r="I1216" t="str">
            <v>IT2212</v>
          </cell>
          <cell r="J1216">
            <v>51500</v>
          </cell>
        </row>
        <row r="1217">
          <cell r="I1217" t="str">
            <v>IT3006</v>
          </cell>
          <cell r="J1217">
            <v>44100</v>
          </cell>
        </row>
        <row r="1218">
          <cell r="I1218" t="str">
            <v>IT3007</v>
          </cell>
          <cell r="J1218">
            <v>47300</v>
          </cell>
        </row>
        <row r="1219">
          <cell r="I1219" t="str">
            <v>IT3008</v>
          </cell>
          <cell r="J1219">
            <v>51500</v>
          </cell>
        </row>
        <row r="1220">
          <cell r="I1220" t="str">
            <v>IT3010</v>
          </cell>
          <cell r="J1220">
            <v>57800</v>
          </cell>
        </row>
        <row r="1221">
          <cell r="I1221" t="str">
            <v>IT3012</v>
          </cell>
          <cell r="J1221">
            <v>65100</v>
          </cell>
        </row>
        <row r="1222">
          <cell r="I1222" t="str">
            <v>IT3406</v>
          </cell>
          <cell r="J1222">
            <v>53600</v>
          </cell>
        </row>
        <row r="1223">
          <cell r="I1223" t="str">
            <v>IT3407</v>
          </cell>
          <cell r="J1223">
            <v>56700</v>
          </cell>
        </row>
        <row r="1224">
          <cell r="I1224" t="str">
            <v>IT3408</v>
          </cell>
          <cell r="J1224">
            <v>59900</v>
          </cell>
        </row>
        <row r="1225">
          <cell r="I1225" t="str">
            <v>IT3410</v>
          </cell>
          <cell r="J1225">
            <v>66200</v>
          </cell>
        </row>
        <row r="1226">
          <cell r="I1226" t="str">
            <v>IT3412</v>
          </cell>
          <cell r="J1226">
            <v>72500</v>
          </cell>
        </row>
        <row r="1227">
          <cell r="I1227" t="str">
            <v>IT3106</v>
          </cell>
          <cell r="J1227">
            <v>44100</v>
          </cell>
        </row>
        <row r="1228">
          <cell r="I1228" t="str">
            <v>IT3107</v>
          </cell>
          <cell r="J1228">
            <v>47300</v>
          </cell>
        </row>
        <row r="1229">
          <cell r="I1229" t="str">
            <v>IT3108</v>
          </cell>
          <cell r="J1229">
            <v>51500</v>
          </cell>
        </row>
        <row r="1230">
          <cell r="I1230" t="str">
            <v>IT3110</v>
          </cell>
          <cell r="J1230">
            <v>57800</v>
          </cell>
        </row>
        <row r="1231">
          <cell r="I1231" t="str">
            <v>IT3112</v>
          </cell>
          <cell r="J1231">
            <v>65100</v>
          </cell>
        </row>
        <row r="1232">
          <cell r="I1232" t="str">
            <v>IT3306</v>
          </cell>
          <cell r="J1232">
            <v>162800</v>
          </cell>
        </row>
        <row r="1233">
          <cell r="I1233" t="str">
            <v>IT3307</v>
          </cell>
          <cell r="J1233">
            <v>170100</v>
          </cell>
        </row>
        <row r="1234">
          <cell r="I1234" t="str">
            <v>IT3308</v>
          </cell>
          <cell r="J1234">
            <v>174300</v>
          </cell>
        </row>
        <row r="1235">
          <cell r="I1235" t="str">
            <v>IT3310</v>
          </cell>
          <cell r="J1235">
            <v>183800</v>
          </cell>
        </row>
        <row r="1236">
          <cell r="I1236" t="str">
            <v>IT3312</v>
          </cell>
          <cell r="J1236">
            <v>195300</v>
          </cell>
        </row>
        <row r="1237">
          <cell r="I1237" t="str">
            <v>IA0006</v>
          </cell>
          <cell r="J1237">
            <v>12600</v>
          </cell>
        </row>
        <row r="1238">
          <cell r="I1238" t="str">
            <v>IA0007</v>
          </cell>
          <cell r="J1238">
            <v>14200</v>
          </cell>
        </row>
        <row r="1239">
          <cell r="I1239" t="str">
            <v>IA0008</v>
          </cell>
          <cell r="J1239">
            <v>15800</v>
          </cell>
        </row>
        <row r="1240">
          <cell r="I1240" t="str">
            <v>IA0010</v>
          </cell>
          <cell r="J1240">
            <v>18900</v>
          </cell>
        </row>
        <row r="1241">
          <cell r="I1241" t="str">
            <v>IA0012</v>
          </cell>
          <cell r="J1241">
            <v>21000</v>
          </cell>
        </row>
        <row r="1242">
          <cell r="I1242" t="str">
            <v>IA9901</v>
          </cell>
          <cell r="J1242">
            <v>5800</v>
          </cell>
        </row>
        <row r="1243">
          <cell r="I1243" t="str">
            <v>IF060</v>
          </cell>
          <cell r="J1243">
            <v>102400</v>
          </cell>
        </row>
        <row r="1244">
          <cell r="I1244" t="str">
            <v>IF070</v>
          </cell>
          <cell r="J1244">
            <v>112900</v>
          </cell>
        </row>
        <row r="1245">
          <cell r="I1245" t="str">
            <v>IF080</v>
          </cell>
          <cell r="J1245">
            <v>123900</v>
          </cell>
        </row>
        <row r="1246">
          <cell r="I1246" t="str">
            <v>IF100</v>
          </cell>
          <cell r="J1246">
            <v>140700</v>
          </cell>
        </row>
        <row r="1247">
          <cell r="I1247" t="str">
            <v>IF120</v>
          </cell>
          <cell r="J1247">
            <v>157500</v>
          </cell>
        </row>
        <row r="1248">
          <cell r="I1248" t="str">
            <v>IF062</v>
          </cell>
          <cell r="J1248">
            <v>118100</v>
          </cell>
        </row>
        <row r="1249">
          <cell r="I1249" t="str">
            <v>IF072</v>
          </cell>
          <cell r="J1249">
            <v>128600</v>
          </cell>
        </row>
        <row r="1250">
          <cell r="I1250" t="str">
            <v>IF082</v>
          </cell>
          <cell r="J1250">
            <v>139700</v>
          </cell>
        </row>
        <row r="1251">
          <cell r="I1251" t="str">
            <v>IF102</v>
          </cell>
          <cell r="J1251">
            <v>159600</v>
          </cell>
        </row>
        <row r="1252">
          <cell r="I1252" t="str">
            <v>IF122</v>
          </cell>
          <cell r="J1252">
            <v>179600</v>
          </cell>
        </row>
        <row r="1253">
          <cell r="I1253" t="str">
            <v>IF064</v>
          </cell>
          <cell r="J1253">
            <v>136000</v>
          </cell>
        </row>
        <row r="1254">
          <cell r="I1254" t="str">
            <v>IF074</v>
          </cell>
          <cell r="J1254">
            <v>146500</v>
          </cell>
        </row>
        <row r="1255">
          <cell r="I1255" t="str">
            <v>IF084</v>
          </cell>
          <cell r="J1255">
            <v>157500</v>
          </cell>
        </row>
        <row r="1256">
          <cell r="I1256" t="str">
            <v>IF104</v>
          </cell>
          <cell r="J1256">
            <v>177500</v>
          </cell>
        </row>
        <row r="1257">
          <cell r="I1257" t="str">
            <v>IF124</v>
          </cell>
          <cell r="J1257">
            <v>197400</v>
          </cell>
        </row>
        <row r="1258">
          <cell r="I1258" t="str">
            <v>IF066</v>
          </cell>
          <cell r="J1258">
            <v>158000</v>
          </cell>
        </row>
        <row r="1259">
          <cell r="I1259" t="str">
            <v>IF076</v>
          </cell>
          <cell r="J1259">
            <v>171700</v>
          </cell>
        </row>
        <row r="1260">
          <cell r="I1260" t="str">
            <v>IF086</v>
          </cell>
          <cell r="J1260">
            <v>185900</v>
          </cell>
        </row>
        <row r="1261">
          <cell r="I1261" t="str">
            <v>IF106</v>
          </cell>
          <cell r="J1261">
            <v>212100</v>
          </cell>
        </row>
        <row r="1262">
          <cell r="I1262" t="str">
            <v>IF126</v>
          </cell>
          <cell r="J1262">
            <v>238400</v>
          </cell>
        </row>
        <row r="1263">
          <cell r="I1263" t="str">
            <v>IF068</v>
          </cell>
          <cell r="J1263">
            <v>174800</v>
          </cell>
        </row>
        <row r="1264">
          <cell r="I1264" t="str">
            <v>IF078</v>
          </cell>
          <cell r="J1264">
            <v>188500</v>
          </cell>
        </row>
        <row r="1265">
          <cell r="I1265" t="str">
            <v>IF088</v>
          </cell>
          <cell r="J1265">
            <v>202700</v>
          </cell>
        </row>
        <row r="1266">
          <cell r="I1266" t="str">
            <v>IF108</v>
          </cell>
          <cell r="J1266">
            <v>228900</v>
          </cell>
        </row>
        <row r="1267">
          <cell r="I1267" t="str">
            <v>IF128</v>
          </cell>
          <cell r="J1267">
            <v>255200</v>
          </cell>
        </row>
        <row r="1268">
          <cell r="I1268" t="str">
            <v>IF060T</v>
          </cell>
          <cell r="J1268">
            <v>96100</v>
          </cell>
        </row>
        <row r="1269">
          <cell r="I1269" t="str">
            <v>IF070T</v>
          </cell>
          <cell r="J1269">
            <v>106600</v>
          </cell>
        </row>
        <row r="1270">
          <cell r="I1270" t="str">
            <v>IF080T</v>
          </cell>
          <cell r="J1270">
            <v>117600</v>
          </cell>
        </row>
        <row r="1271">
          <cell r="I1271" t="str">
            <v>IF100T</v>
          </cell>
          <cell r="J1271">
            <v>132300</v>
          </cell>
        </row>
        <row r="1272">
          <cell r="I1272" t="str">
            <v>IF120T</v>
          </cell>
          <cell r="J1272">
            <v>149100</v>
          </cell>
        </row>
        <row r="1273">
          <cell r="I1273" t="str">
            <v>IF062T</v>
          </cell>
          <cell r="J1273">
            <v>111800</v>
          </cell>
        </row>
        <row r="1274">
          <cell r="I1274" t="str">
            <v>IF072T</v>
          </cell>
          <cell r="J1274">
            <v>122300</v>
          </cell>
        </row>
        <row r="1275">
          <cell r="I1275" t="str">
            <v>IF082T</v>
          </cell>
          <cell r="J1275">
            <v>133400</v>
          </cell>
        </row>
        <row r="1276">
          <cell r="I1276" t="str">
            <v>IF102T</v>
          </cell>
          <cell r="J1276">
            <v>151200</v>
          </cell>
        </row>
        <row r="1277">
          <cell r="I1277" t="str">
            <v>IF122T</v>
          </cell>
          <cell r="J1277">
            <v>171200</v>
          </cell>
        </row>
        <row r="1278">
          <cell r="I1278" t="str">
            <v>IF064T</v>
          </cell>
          <cell r="J1278">
            <v>129700</v>
          </cell>
        </row>
        <row r="1279">
          <cell r="I1279" t="str">
            <v>IF074T</v>
          </cell>
          <cell r="J1279">
            <v>140200</v>
          </cell>
        </row>
        <row r="1280">
          <cell r="I1280" t="str">
            <v>IF084T</v>
          </cell>
          <cell r="J1280">
            <v>151200</v>
          </cell>
        </row>
        <row r="1281">
          <cell r="I1281" t="str">
            <v>IF104T</v>
          </cell>
          <cell r="J1281">
            <v>169100</v>
          </cell>
        </row>
        <row r="1282">
          <cell r="I1282" t="str">
            <v>IF124T</v>
          </cell>
          <cell r="J1282">
            <v>189000</v>
          </cell>
        </row>
        <row r="1283">
          <cell r="I1283" t="str">
            <v>IF066T</v>
          </cell>
          <cell r="J1283">
            <v>151700</v>
          </cell>
        </row>
        <row r="1284">
          <cell r="I1284" t="str">
            <v>IF076T</v>
          </cell>
          <cell r="J1284">
            <v>165400</v>
          </cell>
        </row>
        <row r="1285">
          <cell r="I1285" t="str">
            <v>IF086T</v>
          </cell>
          <cell r="J1285">
            <v>179600</v>
          </cell>
        </row>
        <row r="1286">
          <cell r="I1286" t="str">
            <v>IF106T</v>
          </cell>
          <cell r="J1286">
            <v>302700</v>
          </cell>
        </row>
        <row r="1287">
          <cell r="I1287" t="str">
            <v>IF126T</v>
          </cell>
          <cell r="J1287">
            <v>230000</v>
          </cell>
        </row>
        <row r="1288">
          <cell r="I1288" t="str">
            <v>IF068T</v>
          </cell>
          <cell r="J1288">
            <v>168500</v>
          </cell>
        </row>
        <row r="1289">
          <cell r="I1289" t="str">
            <v>IF078T</v>
          </cell>
          <cell r="J1289">
            <v>182200</v>
          </cell>
        </row>
        <row r="1290">
          <cell r="I1290" t="str">
            <v>IF088T</v>
          </cell>
          <cell r="J1290">
            <v>196400</v>
          </cell>
        </row>
        <row r="1291">
          <cell r="I1291" t="str">
            <v>IF108T</v>
          </cell>
          <cell r="J1291">
            <v>220500</v>
          </cell>
        </row>
        <row r="1292">
          <cell r="I1292" t="str">
            <v>IF128T</v>
          </cell>
          <cell r="J1292">
            <v>246800</v>
          </cell>
        </row>
        <row r="1293">
          <cell r="I1293" t="str">
            <v>IF060W</v>
          </cell>
          <cell r="J1293">
            <v>99200</v>
          </cell>
        </row>
        <row r="1294">
          <cell r="I1294" t="str">
            <v>IF070W</v>
          </cell>
          <cell r="J1294">
            <v>109700</v>
          </cell>
        </row>
        <row r="1295">
          <cell r="I1295" t="str">
            <v>IF080W</v>
          </cell>
          <cell r="J1295">
            <v>120800</v>
          </cell>
        </row>
        <row r="1296">
          <cell r="I1296" t="str">
            <v>IF100W</v>
          </cell>
          <cell r="J1296">
            <v>136500</v>
          </cell>
        </row>
        <row r="1297">
          <cell r="I1297" t="str">
            <v>IF120W</v>
          </cell>
          <cell r="J1297">
            <v>153300</v>
          </cell>
        </row>
        <row r="1298">
          <cell r="I1298" t="str">
            <v>IF062W</v>
          </cell>
          <cell r="J1298">
            <v>115000</v>
          </cell>
        </row>
        <row r="1299">
          <cell r="I1299" t="str">
            <v>IF072W</v>
          </cell>
          <cell r="J1299">
            <v>125500</v>
          </cell>
        </row>
        <row r="1300">
          <cell r="I1300" t="str">
            <v>IF082W</v>
          </cell>
          <cell r="J1300">
            <v>136500</v>
          </cell>
        </row>
        <row r="1301">
          <cell r="I1301" t="str">
            <v>IF102W</v>
          </cell>
          <cell r="J1301">
            <v>155400</v>
          </cell>
        </row>
        <row r="1302">
          <cell r="I1302" t="str">
            <v>IF122W</v>
          </cell>
          <cell r="J1302">
            <v>175400</v>
          </cell>
        </row>
        <row r="1303">
          <cell r="I1303" t="str">
            <v>IF064W</v>
          </cell>
          <cell r="J1303">
            <v>132800</v>
          </cell>
        </row>
        <row r="1304">
          <cell r="I1304" t="str">
            <v>IF074W</v>
          </cell>
          <cell r="J1304">
            <v>143300</v>
          </cell>
        </row>
        <row r="1305">
          <cell r="I1305" t="str">
            <v>IF084W</v>
          </cell>
          <cell r="J1305">
            <v>154400</v>
          </cell>
        </row>
        <row r="1306">
          <cell r="I1306" t="str">
            <v>IF104W</v>
          </cell>
          <cell r="J1306">
            <v>173300</v>
          </cell>
        </row>
        <row r="1307">
          <cell r="I1307" t="str">
            <v>IF124W</v>
          </cell>
          <cell r="J1307">
            <v>193200</v>
          </cell>
        </row>
        <row r="1308">
          <cell r="I1308" t="str">
            <v>IF066W</v>
          </cell>
          <cell r="J1308">
            <v>154900</v>
          </cell>
        </row>
        <row r="1309">
          <cell r="I1309" t="str">
            <v>IF076W</v>
          </cell>
          <cell r="J1309">
            <v>168500</v>
          </cell>
        </row>
        <row r="1310">
          <cell r="I1310" t="str">
            <v>IF086W</v>
          </cell>
          <cell r="J1310">
            <v>182700</v>
          </cell>
        </row>
        <row r="1311">
          <cell r="I1311" t="str">
            <v>IF106W</v>
          </cell>
          <cell r="J1311">
            <v>207900</v>
          </cell>
        </row>
        <row r="1312">
          <cell r="I1312" t="str">
            <v>IF126W</v>
          </cell>
          <cell r="J1312">
            <v>234200</v>
          </cell>
        </row>
        <row r="1313">
          <cell r="I1313" t="str">
            <v>IF068W</v>
          </cell>
          <cell r="J1313">
            <v>171700</v>
          </cell>
        </row>
        <row r="1314">
          <cell r="I1314" t="str">
            <v>IF078W</v>
          </cell>
          <cell r="J1314">
            <v>185300</v>
          </cell>
        </row>
        <row r="1315">
          <cell r="I1315" t="str">
            <v>IF088W</v>
          </cell>
          <cell r="J1315">
            <v>199500</v>
          </cell>
        </row>
        <row r="1316">
          <cell r="I1316" t="str">
            <v>IF108W</v>
          </cell>
          <cell r="J1316">
            <v>224700</v>
          </cell>
        </row>
        <row r="1317">
          <cell r="I1317" t="str">
            <v>IF128W</v>
          </cell>
          <cell r="J1317">
            <v>251000</v>
          </cell>
        </row>
        <row r="1318">
          <cell r="I1318" t="str">
            <v>IF062G</v>
          </cell>
          <cell r="J1318">
            <v>116000</v>
          </cell>
        </row>
        <row r="1319">
          <cell r="I1319" t="str">
            <v>IF072G</v>
          </cell>
          <cell r="J1319">
            <v>130700</v>
          </cell>
        </row>
        <row r="1320">
          <cell r="I1320" t="str">
            <v>IF082G</v>
          </cell>
          <cell r="J1320">
            <v>148100</v>
          </cell>
        </row>
        <row r="1321">
          <cell r="I1321" t="str">
            <v>IF102G</v>
          </cell>
          <cell r="J1321">
            <v>176400</v>
          </cell>
        </row>
        <row r="1322">
          <cell r="I1322" t="str">
            <v>IF122G</v>
          </cell>
          <cell r="J1322">
            <v>204800</v>
          </cell>
        </row>
        <row r="1323">
          <cell r="I1323" t="str">
            <v>IF064G</v>
          </cell>
          <cell r="J1323">
            <v>138100</v>
          </cell>
        </row>
        <row r="1324">
          <cell r="I1324" t="str">
            <v>IF074G</v>
          </cell>
          <cell r="J1324">
            <v>152800</v>
          </cell>
        </row>
        <row r="1325">
          <cell r="I1325" t="str">
            <v>IF084G</v>
          </cell>
          <cell r="J1325">
            <v>170100</v>
          </cell>
        </row>
        <row r="1326">
          <cell r="I1326" t="str">
            <v>IF104G</v>
          </cell>
          <cell r="J1326">
            <v>198500</v>
          </cell>
        </row>
        <row r="1327">
          <cell r="I1327" t="str">
            <v>IF124G</v>
          </cell>
          <cell r="J1327">
            <v>226800</v>
          </cell>
        </row>
        <row r="1328">
          <cell r="I1328" t="str">
            <v>IF066G</v>
          </cell>
          <cell r="J1328">
            <v>152800</v>
          </cell>
        </row>
        <row r="1329">
          <cell r="I1329" t="str">
            <v>IF076G</v>
          </cell>
          <cell r="J1329">
            <v>172700</v>
          </cell>
        </row>
        <row r="1330">
          <cell r="I1330" t="str">
            <v>IF086G</v>
          </cell>
          <cell r="J1330">
            <v>196400</v>
          </cell>
        </row>
        <row r="1331">
          <cell r="I1331" t="str">
            <v>IF106G</v>
          </cell>
          <cell r="J1331">
            <v>235200</v>
          </cell>
        </row>
        <row r="1332">
          <cell r="I1332" t="str">
            <v>IF126G</v>
          </cell>
          <cell r="J1332">
            <v>274100</v>
          </cell>
        </row>
        <row r="1333">
          <cell r="I1333" t="str">
            <v>IF068G</v>
          </cell>
          <cell r="J1333">
            <v>173800</v>
          </cell>
        </row>
        <row r="1334">
          <cell r="I1334" t="str">
            <v>IF078G</v>
          </cell>
          <cell r="J1334">
            <v>193700</v>
          </cell>
        </row>
        <row r="1335">
          <cell r="I1335" t="str">
            <v>IF088G</v>
          </cell>
          <cell r="J1335">
            <v>217400</v>
          </cell>
        </row>
        <row r="1336">
          <cell r="I1336" t="str">
            <v>IF108G</v>
          </cell>
          <cell r="J1336">
            <v>256200</v>
          </cell>
        </row>
        <row r="1337">
          <cell r="I1337" t="str">
            <v>IF128G</v>
          </cell>
          <cell r="J1337">
            <v>295100</v>
          </cell>
        </row>
        <row r="1338">
          <cell r="I1338" t="str">
            <v>IF062H</v>
          </cell>
          <cell r="J1338">
            <v>115000</v>
          </cell>
        </row>
        <row r="1339">
          <cell r="I1339" t="str">
            <v>IF072H</v>
          </cell>
          <cell r="J1339">
            <v>127600</v>
          </cell>
        </row>
        <row r="1340">
          <cell r="I1340" t="str">
            <v>IF082H</v>
          </cell>
          <cell r="J1340">
            <v>141800</v>
          </cell>
        </row>
        <row r="1341">
          <cell r="I1341" t="str">
            <v>IF102H</v>
          </cell>
          <cell r="J1341">
            <v>165900</v>
          </cell>
        </row>
        <row r="1342">
          <cell r="I1342" t="str">
            <v>IF122H</v>
          </cell>
          <cell r="J1342">
            <v>190100</v>
          </cell>
        </row>
        <row r="1343">
          <cell r="I1343" t="str">
            <v>IF064H</v>
          </cell>
          <cell r="J1343">
            <v>137000</v>
          </cell>
        </row>
        <row r="1344">
          <cell r="I1344" t="str">
            <v>IF074H</v>
          </cell>
          <cell r="J1344">
            <v>149600</v>
          </cell>
        </row>
        <row r="1345">
          <cell r="I1345" t="str">
            <v>IF084H</v>
          </cell>
          <cell r="J1345">
            <v>163800</v>
          </cell>
        </row>
        <row r="1346">
          <cell r="I1346" t="str">
            <v>IF104H</v>
          </cell>
          <cell r="J1346">
            <v>188000</v>
          </cell>
        </row>
        <row r="1347">
          <cell r="I1347" t="str">
            <v>IF124H</v>
          </cell>
          <cell r="J1347">
            <v>212100</v>
          </cell>
        </row>
        <row r="1348">
          <cell r="I1348" t="str">
            <v>IF066H</v>
          </cell>
          <cell r="J1348">
            <v>154900</v>
          </cell>
        </row>
        <row r="1349">
          <cell r="I1349" t="str">
            <v>IF076H</v>
          </cell>
          <cell r="J1349">
            <v>170600</v>
          </cell>
        </row>
        <row r="1350">
          <cell r="I1350" t="str">
            <v>IF086H</v>
          </cell>
          <cell r="J1350">
            <v>188000</v>
          </cell>
        </row>
        <row r="1351">
          <cell r="I1351" t="str">
            <v>IF106H</v>
          </cell>
          <cell r="J1351">
            <v>218400</v>
          </cell>
        </row>
        <row r="1352">
          <cell r="I1352" t="str">
            <v>IF126H</v>
          </cell>
          <cell r="J1352">
            <v>248900</v>
          </cell>
        </row>
        <row r="1353">
          <cell r="I1353" t="str">
            <v>IF068H</v>
          </cell>
          <cell r="J1353">
            <v>175900</v>
          </cell>
        </row>
        <row r="1354">
          <cell r="I1354" t="str">
            <v>IF078H</v>
          </cell>
          <cell r="J1354">
            <v>191600</v>
          </cell>
        </row>
        <row r="1355">
          <cell r="I1355" t="str">
            <v>IF088H</v>
          </cell>
          <cell r="J1355">
            <v>209000</v>
          </cell>
        </row>
        <row r="1356">
          <cell r="I1356" t="str">
            <v>IF108H</v>
          </cell>
          <cell r="J1356">
            <v>239400</v>
          </cell>
        </row>
        <row r="1357">
          <cell r="I1357" t="str">
            <v>IF128H</v>
          </cell>
          <cell r="J1357">
            <v>269900</v>
          </cell>
        </row>
        <row r="1358">
          <cell r="I1358" t="str">
            <v>IF062B</v>
          </cell>
          <cell r="J1358">
            <v>128600</v>
          </cell>
        </row>
        <row r="1359">
          <cell r="I1359" t="str">
            <v>IF072B</v>
          </cell>
          <cell r="J1359">
            <v>140200</v>
          </cell>
        </row>
        <row r="1360">
          <cell r="I1360" t="str">
            <v>IF082B</v>
          </cell>
          <cell r="J1360">
            <v>152300</v>
          </cell>
        </row>
        <row r="1361">
          <cell r="I1361" t="str">
            <v>IF102B</v>
          </cell>
          <cell r="J1361">
            <v>176400</v>
          </cell>
        </row>
        <row r="1362">
          <cell r="I1362" t="str">
            <v>IF122B</v>
          </cell>
          <cell r="J1362">
            <v>200600</v>
          </cell>
        </row>
        <row r="1363">
          <cell r="I1363" t="str">
            <v>IF064B</v>
          </cell>
          <cell r="J1363">
            <v>148600</v>
          </cell>
        </row>
        <row r="1364">
          <cell r="I1364" t="str">
            <v>IF074B</v>
          </cell>
          <cell r="J1364">
            <v>162200</v>
          </cell>
        </row>
        <row r="1365">
          <cell r="I1365" t="str">
            <v>IF084B</v>
          </cell>
          <cell r="J1365">
            <v>176400</v>
          </cell>
        </row>
        <row r="1366">
          <cell r="I1366" t="str">
            <v>IF104B</v>
          </cell>
          <cell r="J1366">
            <v>202700</v>
          </cell>
        </row>
        <row r="1367">
          <cell r="I1367" t="str">
            <v>IF124B</v>
          </cell>
          <cell r="J1367">
            <v>228900</v>
          </cell>
        </row>
        <row r="1368">
          <cell r="I1368" t="str">
            <v>IF066B</v>
          </cell>
          <cell r="J1368">
            <v>168500</v>
          </cell>
        </row>
        <row r="1369">
          <cell r="I1369" t="str">
            <v>IF076B</v>
          </cell>
          <cell r="J1369">
            <v>183200</v>
          </cell>
        </row>
        <row r="1370">
          <cell r="I1370" t="str">
            <v>IF086B</v>
          </cell>
          <cell r="J1370">
            <v>198500</v>
          </cell>
        </row>
        <row r="1371">
          <cell r="I1371" t="str">
            <v>IF106B</v>
          </cell>
          <cell r="J1371">
            <v>228900</v>
          </cell>
        </row>
        <row r="1372">
          <cell r="I1372" t="str">
            <v>IF126B</v>
          </cell>
          <cell r="J1372">
            <v>259400</v>
          </cell>
        </row>
        <row r="1373">
          <cell r="I1373" t="str">
            <v>IF068B</v>
          </cell>
          <cell r="J1373">
            <v>187400</v>
          </cell>
        </row>
        <row r="1374">
          <cell r="I1374" t="str">
            <v>IF078B</v>
          </cell>
          <cell r="J1374">
            <v>204200</v>
          </cell>
        </row>
        <row r="1375">
          <cell r="I1375" t="str">
            <v>IF088B</v>
          </cell>
          <cell r="J1375">
            <v>221600</v>
          </cell>
        </row>
        <row r="1376">
          <cell r="I1376" t="str">
            <v>IF108B</v>
          </cell>
          <cell r="J1376">
            <v>254100</v>
          </cell>
        </row>
        <row r="1377">
          <cell r="I1377" t="str">
            <v>IF128B</v>
          </cell>
          <cell r="J1377">
            <v>286700</v>
          </cell>
        </row>
        <row r="1378">
          <cell r="I1378" t="str">
            <v>IF066HB</v>
          </cell>
          <cell r="J1378">
            <v>151700</v>
          </cell>
        </row>
        <row r="1379">
          <cell r="I1379" t="str">
            <v>IF076HB</v>
          </cell>
          <cell r="J1379">
            <v>169600</v>
          </cell>
        </row>
        <row r="1380">
          <cell r="I1380" t="str">
            <v>IF086HB</v>
          </cell>
          <cell r="J1380">
            <v>190100</v>
          </cell>
        </row>
        <row r="1381">
          <cell r="I1381" t="str">
            <v>IF106HB</v>
          </cell>
          <cell r="J1381">
            <v>224700</v>
          </cell>
        </row>
        <row r="1382">
          <cell r="I1382" t="str">
            <v>IF126HB</v>
          </cell>
          <cell r="J1382">
            <v>259400</v>
          </cell>
        </row>
        <row r="1383">
          <cell r="I1383" t="str">
            <v>IF068HB</v>
          </cell>
          <cell r="J1383">
            <v>172700</v>
          </cell>
        </row>
        <row r="1384">
          <cell r="I1384" t="str">
            <v>IF078HB</v>
          </cell>
          <cell r="J1384">
            <v>190600</v>
          </cell>
        </row>
        <row r="1385">
          <cell r="I1385" t="str">
            <v>IF088HB</v>
          </cell>
          <cell r="J1385">
            <v>211100</v>
          </cell>
        </row>
        <row r="1386">
          <cell r="I1386" t="str">
            <v>IF108HB</v>
          </cell>
          <cell r="J1386">
            <v>245700</v>
          </cell>
        </row>
        <row r="1387">
          <cell r="I1387" t="str">
            <v>IF128HB</v>
          </cell>
          <cell r="J1387">
            <v>280400</v>
          </cell>
        </row>
        <row r="1388">
          <cell r="I1388" t="str">
            <v>IF062D</v>
          </cell>
          <cell r="J1388">
            <v>123400</v>
          </cell>
        </row>
        <row r="1389">
          <cell r="I1389" t="str">
            <v>IF072D</v>
          </cell>
          <cell r="J1389">
            <v>134400</v>
          </cell>
        </row>
        <row r="1390">
          <cell r="I1390" t="str">
            <v>IF082D</v>
          </cell>
          <cell r="J1390">
            <v>146000</v>
          </cell>
        </row>
        <row r="1391">
          <cell r="I1391" t="str">
            <v>IF102D</v>
          </cell>
          <cell r="J1391">
            <v>168000</v>
          </cell>
        </row>
        <row r="1392">
          <cell r="I1392" t="str">
            <v>IF122D</v>
          </cell>
          <cell r="J1392">
            <v>190100</v>
          </cell>
        </row>
        <row r="1393">
          <cell r="I1393" t="str">
            <v>IF064D</v>
          </cell>
          <cell r="J1393">
            <v>142300</v>
          </cell>
        </row>
        <row r="1394">
          <cell r="I1394" t="str">
            <v>IF074D</v>
          </cell>
          <cell r="J1394">
            <v>154400</v>
          </cell>
        </row>
        <row r="1395">
          <cell r="I1395" t="str">
            <v>IF084D</v>
          </cell>
          <cell r="J1395">
            <v>167000</v>
          </cell>
        </row>
        <row r="1396">
          <cell r="I1396" t="str">
            <v>IF104D</v>
          </cell>
          <cell r="J1396">
            <v>190100</v>
          </cell>
        </row>
        <row r="1397">
          <cell r="I1397" t="str">
            <v>IF124D</v>
          </cell>
          <cell r="J1397">
            <v>213200</v>
          </cell>
        </row>
        <row r="1398">
          <cell r="I1398" t="str">
            <v>IF066D</v>
          </cell>
          <cell r="J1398">
            <v>163300</v>
          </cell>
        </row>
        <row r="1399">
          <cell r="I1399" t="str">
            <v>IF076D</v>
          </cell>
          <cell r="J1399">
            <v>177500</v>
          </cell>
        </row>
        <row r="1400">
          <cell r="I1400" t="str">
            <v>IF086D</v>
          </cell>
          <cell r="J1400">
            <v>192200</v>
          </cell>
        </row>
        <row r="1401">
          <cell r="I1401" t="str">
            <v>IF106D</v>
          </cell>
          <cell r="J1401">
            <v>220500</v>
          </cell>
        </row>
        <row r="1402">
          <cell r="I1402" t="str">
            <v>IF126D</v>
          </cell>
          <cell r="J1402">
            <v>248900</v>
          </cell>
        </row>
        <row r="1403">
          <cell r="I1403" t="str">
            <v>IF068D</v>
          </cell>
          <cell r="J1403">
            <v>181100</v>
          </cell>
        </row>
        <row r="1404">
          <cell r="I1404" t="str">
            <v>IF078D</v>
          </cell>
          <cell r="J1404">
            <v>196400</v>
          </cell>
        </row>
        <row r="1405">
          <cell r="I1405" t="str">
            <v>IF088D</v>
          </cell>
          <cell r="J1405">
            <v>212100</v>
          </cell>
        </row>
        <row r="1406">
          <cell r="I1406" t="str">
            <v>IF108D</v>
          </cell>
          <cell r="J1406">
            <v>241500</v>
          </cell>
        </row>
        <row r="1407">
          <cell r="I1407" t="str">
            <v>IF128D</v>
          </cell>
          <cell r="J1407">
            <v>270900</v>
          </cell>
        </row>
        <row r="1408">
          <cell r="I1408" t="str">
            <v>유리ED008</v>
          </cell>
          <cell r="J1408">
            <v>28000</v>
          </cell>
        </row>
        <row r="1409">
          <cell r="I1409" t="str">
            <v>유리ED012</v>
          </cell>
          <cell r="J1409">
            <v>32000</v>
          </cell>
        </row>
        <row r="1410">
          <cell r="I1410" t="str">
            <v>유리ED014</v>
          </cell>
          <cell r="J1410">
            <v>37000</v>
          </cell>
        </row>
        <row r="1411">
          <cell r="I1411" t="str">
            <v>유리ED016</v>
          </cell>
          <cell r="J1411">
            <v>43000</v>
          </cell>
        </row>
        <row r="1412">
          <cell r="I1412" t="str">
            <v>유리ED018</v>
          </cell>
          <cell r="J1412">
            <v>48000</v>
          </cell>
        </row>
        <row r="1413">
          <cell r="I1413" t="str">
            <v>유리ED018X</v>
          </cell>
          <cell r="J1413">
            <v>50000</v>
          </cell>
        </row>
        <row r="1414">
          <cell r="I1414" t="str">
            <v>유리ED0108</v>
          </cell>
          <cell r="J1414">
            <v>22000</v>
          </cell>
        </row>
        <row r="1415">
          <cell r="I1415" t="str">
            <v>유리ED0112</v>
          </cell>
          <cell r="J1415">
            <v>26000</v>
          </cell>
        </row>
        <row r="1416">
          <cell r="I1416" t="str">
            <v>유리ED0114</v>
          </cell>
          <cell r="J1416">
            <v>28000</v>
          </cell>
        </row>
        <row r="1417">
          <cell r="I1417" t="str">
            <v>유리ED0116</v>
          </cell>
          <cell r="J1417">
            <v>32000</v>
          </cell>
        </row>
        <row r="1418">
          <cell r="I1418" t="str">
            <v>유리ED401</v>
          </cell>
          <cell r="J1418">
            <v>20000</v>
          </cell>
        </row>
        <row r="1419">
          <cell r="I1419" t="str">
            <v>유리ED410</v>
          </cell>
          <cell r="J1419">
            <v>20000</v>
          </cell>
        </row>
        <row r="1420">
          <cell r="I1420" t="str">
            <v>유리ED412</v>
          </cell>
          <cell r="J1420">
            <v>22000</v>
          </cell>
        </row>
        <row r="1421">
          <cell r="I1421" t="str">
            <v>유리ED0706</v>
          </cell>
          <cell r="J1421">
            <v>22000</v>
          </cell>
        </row>
        <row r="1422">
          <cell r="I1422" t="str">
            <v>유리ED0708</v>
          </cell>
          <cell r="J1422">
            <v>27000</v>
          </cell>
        </row>
        <row r="1423">
          <cell r="I1423" t="str">
            <v>유리ED0806</v>
          </cell>
          <cell r="J1423">
            <v>15000</v>
          </cell>
        </row>
        <row r="1424">
          <cell r="I1424" t="str">
            <v>유리ED0808</v>
          </cell>
          <cell r="J1424">
            <v>18000</v>
          </cell>
        </row>
        <row r="1425">
          <cell r="I1425" t="str">
            <v>유리ED5466</v>
          </cell>
          <cell r="J1425">
            <v>22000</v>
          </cell>
        </row>
        <row r="1426">
          <cell r="I1426" t="str">
            <v>유리ED5488</v>
          </cell>
          <cell r="J1426">
            <v>25000</v>
          </cell>
        </row>
        <row r="1427">
          <cell r="I1427" t="str">
            <v>유리ED5966</v>
          </cell>
          <cell r="J1427">
            <v>22000</v>
          </cell>
        </row>
        <row r="1428">
          <cell r="I1428" t="str">
            <v>유리ED5988</v>
          </cell>
          <cell r="J1428">
            <v>25000</v>
          </cell>
        </row>
        <row r="1429">
          <cell r="I1429" t="str">
            <v>유리ED950</v>
          </cell>
          <cell r="J1429">
            <v>40000</v>
          </cell>
        </row>
        <row r="1430">
          <cell r="I1430" t="str">
            <v>유리ED912</v>
          </cell>
          <cell r="J1430">
            <v>28000</v>
          </cell>
        </row>
        <row r="1431">
          <cell r="I1431" t="str">
            <v>유리ED916</v>
          </cell>
          <cell r="J1431">
            <v>43000</v>
          </cell>
        </row>
        <row r="1432">
          <cell r="I1432" t="str">
            <v>유리EZ016</v>
          </cell>
          <cell r="J1432">
            <v>30000</v>
          </cell>
        </row>
        <row r="1433">
          <cell r="I1433" t="str">
            <v>유리TD008</v>
          </cell>
          <cell r="J1433">
            <v>30000</v>
          </cell>
        </row>
        <row r="1434">
          <cell r="I1434" t="str">
            <v>유리TD010</v>
          </cell>
          <cell r="J1434">
            <v>35000</v>
          </cell>
        </row>
        <row r="1435">
          <cell r="I1435" t="str">
            <v>유리TD012</v>
          </cell>
          <cell r="J1435">
            <v>37000</v>
          </cell>
        </row>
        <row r="1436">
          <cell r="I1436" t="str">
            <v>유리TD014</v>
          </cell>
          <cell r="J1436">
            <v>42000</v>
          </cell>
        </row>
        <row r="1437">
          <cell r="I1437" t="str">
            <v>유리TD016</v>
          </cell>
          <cell r="J1437">
            <v>47000</v>
          </cell>
        </row>
        <row r="1438">
          <cell r="I1438" t="str">
            <v>유리TD018</v>
          </cell>
          <cell r="J1438">
            <v>52000</v>
          </cell>
        </row>
        <row r="1439">
          <cell r="I1439" t="str">
            <v>유리TD108</v>
          </cell>
          <cell r="J1439">
            <v>23000</v>
          </cell>
        </row>
        <row r="1440">
          <cell r="I1440" t="str">
            <v>유리TD110</v>
          </cell>
          <cell r="J1440">
            <v>28000</v>
          </cell>
        </row>
        <row r="1441">
          <cell r="I1441" t="str">
            <v>유리TD112</v>
          </cell>
          <cell r="J1441">
            <v>30000</v>
          </cell>
        </row>
        <row r="1442">
          <cell r="I1442" t="str">
            <v>유리TD114</v>
          </cell>
          <cell r="J1442">
            <v>35000</v>
          </cell>
        </row>
        <row r="1443">
          <cell r="I1443" t="str">
            <v>유리TD116</v>
          </cell>
          <cell r="J1443">
            <v>40000</v>
          </cell>
        </row>
        <row r="1444">
          <cell r="I1444" t="str">
            <v>유리TD118</v>
          </cell>
          <cell r="J1444">
            <v>43000</v>
          </cell>
        </row>
        <row r="1445">
          <cell r="I1445" t="str">
            <v>유리TD912</v>
          </cell>
          <cell r="J1445">
            <v>27000</v>
          </cell>
        </row>
        <row r="1446">
          <cell r="I1446" t="str">
            <v>유리TD916</v>
          </cell>
          <cell r="J1446">
            <v>40000</v>
          </cell>
        </row>
        <row r="1447">
          <cell r="I1447" t="str">
            <v>유리TD990</v>
          </cell>
          <cell r="J1447">
            <v>42000</v>
          </cell>
        </row>
        <row r="1448">
          <cell r="I1448" t="str">
            <v>유리TD966</v>
          </cell>
          <cell r="J1448">
            <v>32000</v>
          </cell>
        </row>
        <row r="1449">
          <cell r="I1449" t="str">
            <v>유리TD988</v>
          </cell>
          <cell r="J1449">
            <v>43000</v>
          </cell>
        </row>
        <row r="1450">
          <cell r="I1450" t="str">
            <v>유리TD412</v>
          </cell>
          <cell r="J1450">
            <v>20000</v>
          </cell>
        </row>
        <row r="1451">
          <cell r="I1451" t="str">
            <v>유리TD508</v>
          </cell>
          <cell r="J1451">
            <v>46000</v>
          </cell>
        </row>
        <row r="1452">
          <cell r="I1452" t="str">
            <v>유리TD507</v>
          </cell>
          <cell r="J1452">
            <v>46000</v>
          </cell>
        </row>
        <row r="1453">
          <cell r="I1453" t="str">
            <v>유리TD518</v>
          </cell>
          <cell r="J1453">
            <v>35000</v>
          </cell>
        </row>
        <row r="1454">
          <cell r="I1454" t="str">
            <v>유리TD516</v>
          </cell>
          <cell r="J1454">
            <v>30000</v>
          </cell>
        </row>
        <row r="1455">
          <cell r="I1455" t="str">
            <v>유리NT0006</v>
          </cell>
          <cell r="J1455">
            <v>18000</v>
          </cell>
        </row>
        <row r="1456">
          <cell r="I1456" t="str">
            <v>유리NT0008</v>
          </cell>
          <cell r="J1456">
            <v>23000</v>
          </cell>
        </row>
        <row r="1457">
          <cell r="I1457" t="str">
            <v>유리NT0010</v>
          </cell>
          <cell r="J1457">
            <v>28000</v>
          </cell>
        </row>
        <row r="1458">
          <cell r="I1458" t="str">
            <v>유리NT0012</v>
          </cell>
          <cell r="J1458">
            <v>32000</v>
          </cell>
        </row>
        <row r="1459">
          <cell r="I1459" t="str">
            <v>유리NT0016</v>
          </cell>
          <cell r="J1459">
            <v>43000</v>
          </cell>
        </row>
        <row r="1460">
          <cell r="I1460" t="str">
            <v>유리NT0018</v>
          </cell>
          <cell r="J1460">
            <v>45000</v>
          </cell>
        </row>
        <row r="1461">
          <cell r="I1461" t="str">
            <v>유리NT0106</v>
          </cell>
          <cell r="J1461">
            <v>18000</v>
          </cell>
        </row>
        <row r="1462">
          <cell r="I1462" t="str">
            <v>유리NT0108</v>
          </cell>
          <cell r="J1462">
            <v>22000</v>
          </cell>
        </row>
        <row r="1463">
          <cell r="I1463" t="str">
            <v>유리NT0110</v>
          </cell>
          <cell r="J1463">
            <v>23000</v>
          </cell>
        </row>
        <row r="1464">
          <cell r="I1464" t="str">
            <v>유리NT0112</v>
          </cell>
          <cell r="J1464">
            <v>25000</v>
          </cell>
        </row>
        <row r="1465">
          <cell r="I1465" t="str">
            <v>유리NT0114</v>
          </cell>
          <cell r="J1465">
            <v>30000</v>
          </cell>
        </row>
        <row r="1466">
          <cell r="I1466" t="str">
            <v>유리NT0116</v>
          </cell>
          <cell r="J1466">
            <v>34000</v>
          </cell>
        </row>
        <row r="1467">
          <cell r="I1467" t="str">
            <v>유리NT0118</v>
          </cell>
          <cell r="J1467">
            <v>38000</v>
          </cell>
        </row>
        <row r="1468">
          <cell r="I1468" t="str">
            <v>유리NT966</v>
          </cell>
          <cell r="J1468">
            <v>40000</v>
          </cell>
        </row>
        <row r="1469">
          <cell r="I1469" t="str">
            <v>유리NT5566</v>
          </cell>
          <cell r="J1469">
            <v>47000</v>
          </cell>
        </row>
        <row r="1470">
          <cell r="I1470" t="str">
            <v>유리NT988</v>
          </cell>
          <cell r="J1470">
            <v>45000</v>
          </cell>
        </row>
        <row r="1471">
          <cell r="I1471" t="str">
            <v>유리NT912</v>
          </cell>
          <cell r="J1471">
            <v>28000</v>
          </cell>
        </row>
        <row r="1472">
          <cell r="I1472" t="str">
            <v>유리NT916</v>
          </cell>
          <cell r="J1472">
            <v>38000</v>
          </cell>
        </row>
        <row r="1473">
          <cell r="I1473" t="str">
            <v>유리NT918</v>
          </cell>
          <cell r="J1473">
            <v>45000</v>
          </cell>
        </row>
        <row r="1474">
          <cell r="I1474" t="str">
            <v>유리NT5586</v>
          </cell>
          <cell r="J1474">
            <v>50000</v>
          </cell>
        </row>
        <row r="1475">
          <cell r="I1475" t="str">
            <v>유리NT5588</v>
          </cell>
          <cell r="J1475">
            <v>52000</v>
          </cell>
        </row>
        <row r="1476">
          <cell r="I1476" t="str">
            <v>유리YD018</v>
          </cell>
          <cell r="J1476">
            <v>60000</v>
          </cell>
        </row>
        <row r="1477">
          <cell r="I1477" t="str">
            <v>유리YD412</v>
          </cell>
          <cell r="J1477">
            <v>25000</v>
          </cell>
        </row>
        <row r="1478">
          <cell r="I1478" t="str">
            <v>유리YD990</v>
          </cell>
          <cell r="J1478">
            <v>40000</v>
          </cell>
        </row>
        <row r="1479">
          <cell r="I1479" t="str">
            <v>유리CR009</v>
          </cell>
          <cell r="J1479">
            <v>27000</v>
          </cell>
        </row>
        <row r="1480">
          <cell r="I1480" t="str">
            <v>유리CR012</v>
          </cell>
          <cell r="J1480">
            <v>40000</v>
          </cell>
        </row>
        <row r="1481">
          <cell r="I1481" t="str">
            <v>유리CR018</v>
          </cell>
          <cell r="J1481">
            <v>48000</v>
          </cell>
        </row>
        <row r="1482">
          <cell r="I1482" t="str">
            <v>유리CR024</v>
          </cell>
          <cell r="J1482">
            <v>75000</v>
          </cell>
        </row>
        <row r="1483">
          <cell r="I1483" t="str">
            <v>유리SR009</v>
          </cell>
          <cell r="J1483">
            <v>25000</v>
          </cell>
        </row>
        <row r="1484">
          <cell r="I1484" t="str">
            <v>유리SR012</v>
          </cell>
          <cell r="J1484">
            <v>40000</v>
          </cell>
        </row>
        <row r="1485">
          <cell r="I1485" t="str">
            <v>유리SR018</v>
          </cell>
          <cell r="J1485">
            <v>46000</v>
          </cell>
        </row>
        <row r="1486">
          <cell r="I1486" t="str">
            <v>유리SR024S</v>
          </cell>
          <cell r="J1486">
            <v>62000</v>
          </cell>
        </row>
        <row r="1487">
          <cell r="I1487" t="str">
            <v>유리SR024</v>
          </cell>
          <cell r="J1487">
            <v>70000</v>
          </cell>
        </row>
        <row r="1488">
          <cell r="I1488" t="str">
            <v>유리SR032</v>
          </cell>
          <cell r="J1488">
            <v>85000</v>
          </cell>
        </row>
        <row r="1489">
          <cell r="I1489" t="str">
            <v>유리PD018</v>
          </cell>
          <cell r="J1489">
            <v>56000</v>
          </cell>
        </row>
        <row r="1490">
          <cell r="I1490" t="str">
            <v>유리PD021</v>
          </cell>
          <cell r="J1490">
            <v>72000</v>
          </cell>
        </row>
        <row r="1491">
          <cell r="I1491" t="str">
            <v>유리PD414</v>
          </cell>
          <cell r="J1491">
            <v>28000</v>
          </cell>
        </row>
        <row r="1492">
          <cell r="I1492" t="str">
            <v>유리EL0112</v>
          </cell>
          <cell r="J1492">
            <v>25000</v>
          </cell>
        </row>
        <row r="1493">
          <cell r="I1493" t="str">
            <v>유리EL0104</v>
          </cell>
          <cell r="J1493">
            <v>15000</v>
          </cell>
        </row>
        <row r="1494">
          <cell r="I1494" t="str">
            <v>유리CL0207</v>
          </cell>
          <cell r="J1494">
            <v>26000</v>
          </cell>
        </row>
        <row r="1495">
          <cell r="I1495" t="str">
            <v>유리CL0212</v>
          </cell>
          <cell r="J1495">
            <v>25000</v>
          </cell>
        </row>
        <row r="1496">
          <cell r="I1496" t="str">
            <v>유리CL0204</v>
          </cell>
          <cell r="J1496">
            <v>18000</v>
          </cell>
        </row>
        <row r="1497">
          <cell r="I1497" t="str">
            <v>유리LD021</v>
          </cell>
          <cell r="J1497">
            <v>70000</v>
          </cell>
        </row>
        <row r="1498">
          <cell r="I1498" t="str">
            <v>유리LD018</v>
          </cell>
          <cell r="J1498">
            <v>45000</v>
          </cell>
        </row>
        <row r="1499">
          <cell r="I1499" t="str">
            <v>유리LZ01</v>
          </cell>
          <cell r="J1499">
            <v>40000</v>
          </cell>
        </row>
        <row r="1500">
          <cell r="I1500" t="str">
            <v>유리LZ11</v>
          </cell>
          <cell r="J1500">
            <v>30000</v>
          </cell>
        </row>
        <row r="1501">
          <cell r="I1501" t="str">
            <v>유리LL016</v>
          </cell>
          <cell r="J1501">
            <v>45000</v>
          </cell>
        </row>
        <row r="1502">
          <cell r="I1502" t="str">
            <v>유리LL008</v>
          </cell>
          <cell r="J1502">
            <v>25000</v>
          </cell>
        </row>
        <row r="1503">
          <cell r="I1503" t="str">
            <v>유리LL0007</v>
          </cell>
          <cell r="J1503">
            <v>18000</v>
          </cell>
        </row>
        <row r="1504">
          <cell r="I1504" t="str">
            <v>유리CR1107</v>
          </cell>
          <cell r="J1504">
            <v>18000</v>
          </cell>
        </row>
        <row r="1505">
          <cell r="I1505" t="str">
            <v>유리CR1115</v>
          </cell>
          <cell r="J1505">
            <v>25000</v>
          </cell>
        </row>
        <row r="1506">
          <cell r="I1506" t="str">
            <v>유리CR1166</v>
          </cell>
          <cell r="J1506">
            <v>25000</v>
          </cell>
        </row>
        <row r="1507">
          <cell r="I1507" t="str">
            <v>유리CR1007</v>
          </cell>
          <cell r="J1507">
            <v>20000</v>
          </cell>
        </row>
        <row r="1508">
          <cell r="I1508" t="str">
            <v>유리CR1015</v>
          </cell>
          <cell r="J1508">
            <v>40000</v>
          </cell>
        </row>
        <row r="1509">
          <cell r="I1509" t="str">
            <v>유리CR1066</v>
          </cell>
          <cell r="J1509">
            <v>45000</v>
          </cell>
        </row>
        <row r="1510">
          <cell r="I1510" t="str">
            <v>유리CR3118</v>
          </cell>
          <cell r="J1510">
            <v>30000</v>
          </cell>
        </row>
        <row r="1511">
          <cell r="I1511" t="str">
            <v>유리SD008</v>
          </cell>
          <cell r="J1511">
            <v>23000</v>
          </cell>
        </row>
        <row r="1512">
          <cell r="I1512" t="str">
            <v>유리SD008L</v>
          </cell>
          <cell r="J1512">
            <v>23000</v>
          </cell>
        </row>
        <row r="1513">
          <cell r="I1513" t="str">
            <v>유리SD008R</v>
          </cell>
          <cell r="J1513">
            <v>23000</v>
          </cell>
        </row>
        <row r="1514">
          <cell r="I1514" t="str">
            <v>유리SD012</v>
          </cell>
          <cell r="J1514">
            <v>30000</v>
          </cell>
        </row>
        <row r="1515">
          <cell r="I1515" t="str">
            <v>유리SD012L</v>
          </cell>
          <cell r="J1515">
            <v>30000</v>
          </cell>
        </row>
        <row r="1516">
          <cell r="I1516" t="str">
            <v>유리SD012R</v>
          </cell>
          <cell r="J1516">
            <v>30000</v>
          </cell>
        </row>
        <row r="1517">
          <cell r="I1517" t="str">
            <v>유리SD014</v>
          </cell>
          <cell r="J1517">
            <v>40000</v>
          </cell>
        </row>
        <row r="1518">
          <cell r="I1518" t="str">
            <v>유리SD014L</v>
          </cell>
          <cell r="J1518">
            <v>40000</v>
          </cell>
        </row>
        <row r="1519">
          <cell r="I1519" t="str">
            <v>유리SD014R</v>
          </cell>
          <cell r="J1519">
            <v>40000</v>
          </cell>
        </row>
        <row r="1520">
          <cell r="I1520" t="str">
            <v>유리SD016</v>
          </cell>
          <cell r="J1520">
            <v>50000</v>
          </cell>
        </row>
        <row r="1521">
          <cell r="I1521" t="str">
            <v>유리SD016R</v>
          </cell>
          <cell r="J1521">
            <v>50000</v>
          </cell>
        </row>
        <row r="1522">
          <cell r="I1522" t="str">
            <v>유리SD016L</v>
          </cell>
          <cell r="J1522">
            <v>50000</v>
          </cell>
        </row>
        <row r="1523">
          <cell r="I1523" t="str">
            <v>유리SD316R</v>
          </cell>
          <cell r="J1523">
            <v>60000</v>
          </cell>
        </row>
        <row r="1524">
          <cell r="I1524" t="str">
            <v>유리SD316L</v>
          </cell>
          <cell r="J1524">
            <v>60000</v>
          </cell>
        </row>
        <row r="1525">
          <cell r="I1525" t="str">
            <v>유리SD507</v>
          </cell>
          <cell r="J1525">
            <v>40000</v>
          </cell>
        </row>
        <row r="1526">
          <cell r="I1526" t="str">
            <v>유리SD517</v>
          </cell>
          <cell r="J1526">
            <v>30000</v>
          </cell>
        </row>
        <row r="1527">
          <cell r="I1527" t="str">
            <v>유리SD547</v>
          </cell>
          <cell r="J1527">
            <v>18000</v>
          </cell>
        </row>
        <row r="1528">
          <cell r="I1528" t="str">
            <v>유리SD597</v>
          </cell>
          <cell r="J1528">
            <v>23000</v>
          </cell>
        </row>
        <row r="1529">
          <cell r="I1529" t="str">
            <v>유리SD406L</v>
          </cell>
          <cell r="J1529">
            <v>15000</v>
          </cell>
        </row>
        <row r="1530">
          <cell r="I1530" t="str">
            <v>유리SD406R</v>
          </cell>
          <cell r="J1530">
            <v>15000</v>
          </cell>
        </row>
        <row r="1531">
          <cell r="I1531" t="str">
            <v>유리SD912</v>
          </cell>
          <cell r="J1531">
            <v>23000</v>
          </cell>
        </row>
        <row r="1532">
          <cell r="I1532" t="str">
            <v>유리SD955</v>
          </cell>
          <cell r="J1532">
            <v>20000</v>
          </cell>
        </row>
        <row r="1533">
          <cell r="I1533" t="str">
            <v>유리SD977</v>
          </cell>
          <cell r="J1533">
            <v>34000</v>
          </cell>
        </row>
        <row r="1534">
          <cell r="I1534" t="str">
            <v>유리SD927L</v>
          </cell>
          <cell r="J1534">
            <v>40000</v>
          </cell>
        </row>
        <row r="1535">
          <cell r="I1535" t="str">
            <v>유리SD927R</v>
          </cell>
          <cell r="J1535">
            <v>40000</v>
          </cell>
        </row>
        <row r="1536">
          <cell r="I1536" t="str">
            <v>유리SD990</v>
          </cell>
          <cell r="J1536">
            <v>42000</v>
          </cell>
        </row>
        <row r="1537">
          <cell r="I1537" t="str">
            <v>유리SD0300</v>
          </cell>
          <cell r="J1537">
            <v>15000</v>
          </cell>
        </row>
        <row r="1538">
          <cell r="I1538" t="str">
            <v>유리SD662</v>
          </cell>
          <cell r="J1538">
            <v>18000</v>
          </cell>
        </row>
        <row r="1539">
          <cell r="I1539" t="str">
            <v>유리IT0008</v>
          </cell>
          <cell r="J1539">
            <v>24000</v>
          </cell>
        </row>
        <row r="1540">
          <cell r="I1540" t="str">
            <v>유리IT0008L</v>
          </cell>
          <cell r="J1540">
            <v>24000</v>
          </cell>
        </row>
        <row r="1541">
          <cell r="I1541" t="str">
            <v>유리IT0008R</v>
          </cell>
          <cell r="J1541">
            <v>24000</v>
          </cell>
        </row>
        <row r="1542">
          <cell r="I1542" t="str">
            <v>유리IT0010</v>
          </cell>
          <cell r="J1542">
            <v>30000</v>
          </cell>
        </row>
        <row r="1543">
          <cell r="I1543" t="str">
            <v>유리IT0010L</v>
          </cell>
          <cell r="J1543">
            <v>30000</v>
          </cell>
        </row>
        <row r="1544">
          <cell r="I1544" t="str">
            <v>유리IT0010R</v>
          </cell>
          <cell r="J1544">
            <v>30000</v>
          </cell>
        </row>
        <row r="1545">
          <cell r="I1545" t="str">
            <v>유리IT0012</v>
          </cell>
          <cell r="J1545">
            <v>32000</v>
          </cell>
        </row>
        <row r="1546">
          <cell r="I1546" t="str">
            <v>유리IT0012L</v>
          </cell>
          <cell r="J1546">
            <v>32000</v>
          </cell>
        </row>
        <row r="1547">
          <cell r="I1547" t="str">
            <v>유리IT0012R</v>
          </cell>
          <cell r="J1547">
            <v>32000</v>
          </cell>
        </row>
        <row r="1548">
          <cell r="I1548" t="str">
            <v>유리IT0116</v>
          </cell>
          <cell r="J1548">
            <v>38000</v>
          </cell>
        </row>
        <row r="1549">
          <cell r="I1549" t="str">
            <v>유리IT0118</v>
          </cell>
          <cell r="J1549">
            <v>40000</v>
          </cell>
        </row>
        <row r="1550">
          <cell r="I1550" t="str">
            <v>유리IT5066</v>
          </cell>
          <cell r="J1550">
            <v>42000</v>
          </cell>
        </row>
        <row r="1551">
          <cell r="I1551" t="str">
            <v>유리IT5077</v>
          </cell>
          <cell r="J1551">
            <v>45000</v>
          </cell>
        </row>
        <row r="1552">
          <cell r="I1552" t="str">
            <v>유리IT912</v>
          </cell>
          <cell r="J1552">
            <v>27000</v>
          </cell>
        </row>
        <row r="1553">
          <cell r="I1553" t="str">
            <v>유리IT916</v>
          </cell>
          <cell r="J1553">
            <v>43000</v>
          </cell>
        </row>
        <row r="1554">
          <cell r="I1554" t="str">
            <v>유리IT966</v>
          </cell>
          <cell r="J1554">
            <v>28000</v>
          </cell>
        </row>
        <row r="1555">
          <cell r="I1555" t="str">
            <v>유리IT977</v>
          </cell>
          <cell r="J1555">
            <v>43000</v>
          </cell>
        </row>
        <row r="1556">
          <cell r="I1556" t="str">
            <v>유리IT926L</v>
          </cell>
          <cell r="J1556">
            <v>43000</v>
          </cell>
        </row>
        <row r="1557">
          <cell r="I1557" t="str">
            <v>유리IT926R</v>
          </cell>
          <cell r="J1557">
            <v>43000</v>
          </cell>
        </row>
        <row r="1558">
          <cell r="I1558" t="str">
            <v>유리IT927L</v>
          </cell>
          <cell r="J1558">
            <v>43000</v>
          </cell>
        </row>
        <row r="1559">
          <cell r="I1559" t="str">
            <v>유리IT927R</v>
          </cell>
          <cell r="J1559">
            <v>43000</v>
          </cell>
        </row>
        <row r="1560">
          <cell r="I1560" t="str">
            <v>유리IT912DL</v>
          </cell>
          <cell r="J1560">
            <v>38000</v>
          </cell>
        </row>
        <row r="1561">
          <cell r="I1561" t="str">
            <v>유리IT912DR</v>
          </cell>
          <cell r="J1561">
            <v>38000</v>
          </cell>
        </row>
        <row r="1562">
          <cell r="I1562" t="str">
            <v>유리IT918DL</v>
          </cell>
          <cell r="J1562">
            <v>43000</v>
          </cell>
        </row>
        <row r="1563">
          <cell r="I1563" t="str">
            <v>유리IT918DR</v>
          </cell>
          <cell r="J1563">
            <v>43000</v>
          </cell>
        </row>
        <row r="1564">
          <cell r="I1564" t="str">
            <v>유리IT912CL</v>
          </cell>
          <cell r="J1564">
            <v>38000</v>
          </cell>
        </row>
        <row r="1565">
          <cell r="I1565" t="str">
            <v>유리IT912CR</v>
          </cell>
          <cell r="J1565">
            <v>38000</v>
          </cell>
        </row>
        <row r="1566">
          <cell r="I1566" t="str">
            <v>유리IT918CL</v>
          </cell>
          <cell r="J1566">
            <v>43000</v>
          </cell>
        </row>
        <row r="1567">
          <cell r="I1567" t="str">
            <v>유리IT918CR</v>
          </cell>
          <cell r="J1567">
            <v>43000</v>
          </cell>
        </row>
        <row r="1568">
          <cell r="I1568" t="str">
            <v>유리IT2004</v>
          </cell>
          <cell r="J1568">
            <v>15000</v>
          </cell>
        </row>
        <row r="1569">
          <cell r="I1569" t="str">
            <v>유리IT2005</v>
          </cell>
          <cell r="J1569">
            <v>15000</v>
          </cell>
        </row>
        <row r="1570">
          <cell r="I1570" t="str">
            <v>유리IT2006</v>
          </cell>
          <cell r="J1570">
            <v>15000</v>
          </cell>
        </row>
        <row r="1571">
          <cell r="I1571" t="str">
            <v>유리IT2007</v>
          </cell>
          <cell r="J1571">
            <v>17000</v>
          </cell>
        </row>
        <row r="1572">
          <cell r="I1572" t="str">
            <v>유리IT2008</v>
          </cell>
          <cell r="J1572">
            <v>20000</v>
          </cell>
        </row>
        <row r="1573">
          <cell r="I1573" t="str">
            <v>유리IT2010</v>
          </cell>
          <cell r="J1573">
            <v>20000</v>
          </cell>
        </row>
        <row r="1574">
          <cell r="I1574" t="str">
            <v>유리IT2012</v>
          </cell>
          <cell r="J1574">
            <v>22000</v>
          </cell>
        </row>
        <row r="1575">
          <cell r="I1575" t="str">
            <v>유리IT2014</v>
          </cell>
          <cell r="J1575">
            <v>25000</v>
          </cell>
        </row>
        <row r="1576">
          <cell r="I1576" t="str">
            <v>유리IT2016</v>
          </cell>
          <cell r="J1576">
            <v>28000</v>
          </cell>
        </row>
        <row r="1577">
          <cell r="I1577" t="str">
            <v>유리IT2122</v>
          </cell>
          <cell r="J1577">
            <v>15000</v>
          </cell>
        </row>
        <row r="1578">
          <cell r="I1578" t="str">
            <v>유리IT2204</v>
          </cell>
          <cell r="J1578">
            <v>15000</v>
          </cell>
        </row>
        <row r="1579">
          <cell r="I1579" t="str">
            <v>유리IT2205</v>
          </cell>
          <cell r="J1579">
            <v>15000</v>
          </cell>
        </row>
        <row r="1580">
          <cell r="I1580" t="str">
            <v>유리IT2206</v>
          </cell>
          <cell r="J1580">
            <v>18000</v>
          </cell>
        </row>
        <row r="1581">
          <cell r="I1581" t="str">
            <v>유리IT2207</v>
          </cell>
          <cell r="J1581">
            <v>20000</v>
          </cell>
        </row>
        <row r="1582">
          <cell r="I1582" t="str">
            <v>유리IT2208</v>
          </cell>
          <cell r="J1582">
            <v>22000</v>
          </cell>
        </row>
        <row r="1583">
          <cell r="I1583" t="str">
            <v>유리IT2210</v>
          </cell>
          <cell r="J1583">
            <v>22000</v>
          </cell>
        </row>
        <row r="1584">
          <cell r="I1584" t="str">
            <v>유리IT2212</v>
          </cell>
          <cell r="J1584">
            <v>25000</v>
          </cell>
        </row>
        <row r="1585">
          <cell r="I1585" t="str">
            <v>유리PL0904</v>
          </cell>
          <cell r="J1585">
            <v>18000</v>
          </cell>
        </row>
        <row r="1586">
          <cell r="I1586" t="str">
            <v>유리PL0908</v>
          </cell>
          <cell r="J1586">
            <v>28000</v>
          </cell>
        </row>
        <row r="1587">
          <cell r="I1587" t="str">
            <v>유리PL0912</v>
          </cell>
          <cell r="J1587">
            <v>30000</v>
          </cell>
        </row>
        <row r="1588">
          <cell r="I1588" t="str">
            <v>유리PL0914</v>
          </cell>
          <cell r="J1588">
            <v>34000</v>
          </cell>
        </row>
        <row r="1589">
          <cell r="I1589" t="str">
            <v>유리CR2008</v>
          </cell>
          <cell r="J1589">
            <v>28000</v>
          </cell>
        </row>
        <row r="1590">
          <cell r="I1590" t="str">
            <v>유리CR2590</v>
          </cell>
          <cell r="J1590">
            <v>28000</v>
          </cell>
        </row>
        <row r="1591">
          <cell r="I1591" t="str">
            <v>유리CR2016</v>
          </cell>
          <cell r="J1591">
            <v>42000</v>
          </cell>
        </row>
        <row r="1592">
          <cell r="I1592" t="str">
            <v>유리CC1083</v>
          </cell>
          <cell r="J1592">
            <v>18000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RAHMEN"/>
      <sheetName val="BID"/>
      <sheetName val="기초공"/>
      <sheetName val="기둥(원형)"/>
      <sheetName val="내역서"/>
      <sheetName val="입출재고현황 (2)"/>
      <sheetName val="TEL"/>
      <sheetName val="공사개요"/>
      <sheetName val="대비"/>
      <sheetName val="견적서"/>
      <sheetName val="공사비집계"/>
      <sheetName val="Sheet2"/>
      <sheetName val="현장"/>
      <sheetName val="일위대가"/>
      <sheetName val="DATA"/>
      <sheetName val="8공구투찰내역서"/>
      <sheetName val="98지급계획"/>
      <sheetName val="DATE"/>
      <sheetName val="ABUT수량-A1"/>
      <sheetName val="I.설계조건"/>
      <sheetName val="인사자료총집계"/>
      <sheetName val="부대대비"/>
      <sheetName val="냉연집계"/>
      <sheetName val="경비2내역"/>
      <sheetName val="CAPVC"/>
      <sheetName val="노원열병합  건축공사기성내역서"/>
      <sheetName val="세부내역"/>
      <sheetName val="설 계"/>
      <sheetName val="단가조건"/>
      <sheetName val="hvac내역서(제어동)"/>
      <sheetName val="조명시설"/>
      <sheetName val="터파기및재료"/>
      <sheetName val="전기일위대가"/>
      <sheetName val="말뚝지지력산정"/>
      <sheetName val="계약내역서"/>
      <sheetName val="코드표"/>
      <sheetName val="출력표"/>
      <sheetName val="공사내역"/>
      <sheetName val="단면가정"/>
      <sheetName val="설계조건"/>
      <sheetName val="접속 SLAB,BRACKET 설계"/>
      <sheetName val="구미4단2"/>
      <sheetName val="노임단가"/>
      <sheetName val="1련박스"/>
      <sheetName val="일위대가목차"/>
      <sheetName val="데이타"/>
      <sheetName val="type-F"/>
      <sheetName val="design criteria"/>
      <sheetName val="working load at the btm ft."/>
      <sheetName val="plan&amp;section of foundation"/>
      <sheetName val="member design"/>
      <sheetName val="전체"/>
      <sheetName val="옹벽"/>
      <sheetName val="내역"/>
      <sheetName val="1.설계조건"/>
      <sheetName val="6.OUTPUT"/>
      <sheetName val="#REF"/>
      <sheetName val="지급자재"/>
      <sheetName val="Macro1"/>
      <sheetName val="Proposal"/>
      <sheetName val="2000년1차"/>
      <sheetName val="영업.일"/>
      <sheetName val="단면검토"/>
      <sheetName val="Total"/>
      <sheetName val="수량산출"/>
      <sheetName val="Customer Databas"/>
      <sheetName val="예산M12A"/>
      <sheetName val="BSD (2)"/>
      <sheetName val="가로등기초"/>
      <sheetName val="설계명세서"/>
      <sheetName val="1단계"/>
      <sheetName val="총괄"/>
      <sheetName val="EKOG10건축"/>
      <sheetName val="단위중기"/>
      <sheetName val="산출기준(파견전산실)"/>
      <sheetName val="본부소개"/>
      <sheetName val="M1"/>
      <sheetName val="2.대외공문"/>
      <sheetName val="예산변경사항"/>
      <sheetName val="청천내"/>
      <sheetName val="내역서(총)"/>
      <sheetName val="EACT10"/>
      <sheetName val="실행철강하도"/>
      <sheetName val="2000.05"/>
      <sheetName val="물가"/>
      <sheetName val="BOQ건축"/>
      <sheetName val="BSD _2_"/>
      <sheetName val="soil bearing check"/>
      <sheetName val="Sheet3"/>
      <sheetName val="토목주소"/>
      <sheetName val="프랜트면허"/>
      <sheetName val="Sheet1"/>
      <sheetName val="품종별-이름"/>
      <sheetName val="기계내역"/>
      <sheetName val="Budget 2004(DW)"/>
      <sheetName val="첨"/>
      <sheetName val="9-1차이내역"/>
      <sheetName val="표지"/>
      <sheetName val="보도경계블럭"/>
      <sheetName val="공사비예산서(토목분)"/>
      <sheetName val="1.우편집중내역서"/>
      <sheetName val="부대내역"/>
      <sheetName val="수량산출서"/>
      <sheetName val="내역(입찰)"/>
      <sheetName val="danga"/>
      <sheetName val="ilch"/>
      <sheetName val="Y-WORK"/>
      <sheetName val="을"/>
      <sheetName val="날개벽(좌,우=45도,75도)"/>
      <sheetName val="정부노임단가"/>
      <sheetName val="가격조사서"/>
      <sheetName val="첨부파일"/>
      <sheetName val="토공계산서(부체도로)"/>
      <sheetName val="1호맨홀토공"/>
      <sheetName val="말뚝물량"/>
      <sheetName val="협조전"/>
      <sheetName val="정보매체A동"/>
      <sheetName val="ITB COST"/>
      <sheetName val="시멘트"/>
      <sheetName val="조명율표"/>
      <sheetName val="가정급수관"/>
      <sheetName val="11"/>
      <sheetName val="음료실행"/>
      <sheetName val="결과조달"/>
      <sheetName val="토공(완충)"/>
      <sheetName val="연결임시"/>
      <sheetName val="날개벽"/>
      <sheetName val="TB-내역서"/>
      <sheetName val="교각1"/>
      <sheetName val="포장공"/>
      <sheetName val="토공"/>
      <sheetName val="기계"/>
      <sheetName val="UNIT"/>
      <sheetName val="PUMP"/>
      <sheetName val="집계표"/>
      <sheetName val="MOTOR"/>
      <sheetName val="일위목록"/>
      <sheetName val="공통가설"/>
      <sheetName val="산출근거"/>
      <sheetName val="대대터널 설계서"/>
      <sheetName val="내역표지"/>
      <sheetName val="일위대가표"/>
      <sheetName val="INPUT"/>
      <sheetName val="전기"/>
      <sheetName val="자재단가비교표"/>
      <sheetName val="보온자재단가표"/>
      <sheetName val="조경"/>
      <sheetName val="Front"/>
      <sheetName val="wall"/>
      <sheetName val="DESCRIPTION"/>
      <sheetName val="6호기"/>
      <sheetName val="2002상반기노임기준"/>
      <sheetName val="견적조건"/>
      <sheetName val="공사개요설명서"/>
      <sheetName val="예산M5A"/>
      <sheetName val="VENDOR LIST"/>
      <sheetName val="공통비"/>
      <sheetName val="Piping(Methanol)"/>
      <sheetName val="견적가 검토"/>
      <sheetName val="FUND"/>
      <sheetName val="FRT_O"/>
      <sheetName val="FAB_I"/>
      <sheetName val="토목내역"/>
      <sheetName val="안정검토"/>
      <sheetName val="6PILE  (돌출)"/>
      <sheetName val="중기사용료"/>
      <sheetName val="건축공사"/>
      <sheetName val="사용성검토"/>
      <sheetName val="CODE"/>
      <sheetName val="토공(우물통,기타) "/>
      <sheetName val="45,46"/>
      <sheetName val="공틀공사"/>
      <sheetName val="공통(20-91)"/>
      <sheetName val="건축내역"/>
      <sheetName val="노임이"/>
      <sheetName val=" 견적서"/>
      <sheetName val="소비자가"/>
      <sheetName val="기성내역서표지"/>
      <sheetName val="깨기"/>
      <sheetName val="골조시행"/>
      <sheetName val="COVER"/>
      <sheetName val="기초일위"/>
      <sheetName val="시설일위"/>
      <sheetName val="조명일위"/>
      <sheetName val="F4-F7"/>
      <sheetName val="직노"/>
      <sheetName val="공내역"/>
      <sheetName val="WORK"/>
      <sheetName val="토사(PE)"/>
      <sheetName val="건축원가계산서"/>
      <sheetName val="부재예실"/>
      <sheetName val="SUMMARY(S)"/>
      <sheetName val="담장산출"/>
      <sheetName val="퇴비산출근거"/>
      <sheetName val="99노임기준"/>
      <sheetName val="분석"/>
      <sheetName val="첨부1"/>
      <sheetName val="설비내역서"/>
      <sheetName val="건축내역서"/>
      <sheetName val="전기내역서"/>
      <sheetName val="PROJECT BRIEF(EX.NEW)"/>
      <sheetName val="Sheet4"/>
      <sheetName val="재무가정"/>
      <sheetName val="hvac(제어동)"/>
      <sheetName val="보일러"/>
      <sheetName val="배수통관(좌)"/>
      <sheetName val="포장복구집계"/>
      <sheetName val="적용환율"/>
      <sheetName val="관리비"/>
      <sheetName val="갑지"/>
      <sheetName val="현금"/>
      <sheetName val="실행"/>
      <sheetName val="하도급기성_(2)"/>
      <sheetName val="하도급단가산출_(2)"/>
      <sheetName val="입출재고현황_(2)"/>
      <sheetName val="design_criteria"/>
      <sheetName val="working_load_at_the_btm_ft_"/>
      <sheetName val="plan&amp;section_of_foundation"/>
      <sheetName val="member_design"/>
      <sheetName val="1_설계조건"/>
      <sheetName val="6_OUTPUT"/>
      <sheetName val="설_계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대로근거"/>
      <sheetName val="중로근거"/>
      <sheetName val="간접경상비"/>
      <sheetName val="갑지(추정)"/>
      <sheetName val="설계예산"/>
      <sheetName val="건축"/>
      <sheetName val="공문"/>
      <sheetName val="CAL"/>
      <sheetName val="1. 설계조건 2.단면가정 3. 하중계산"/>
      <sheetName val="DATA 입력란"/>
      <sheetName val="단면 (2)"/>
      <sheetName val="combi(wall)"/>
      <sheetName val="J"/>
      <sheetName val="진행 DATA (2)"/>
      <sheetName val="MAT_N048"/>
      <sheetName val="소업1교"/>
      <sheetName val="단가조사"/>
      <sheetName val="6-2차"/>
      <sheetName val="도"/>
      <sheetName val="재집"/>
      <sheetName val="직재"/>
      <sheetName val="BREAKDOWN(철거설치)"/>
      <sheetName val="분류작업"/>
      <sheetName val="1.설계기준"/>
      <sheetName val="설계"/>
      <sheetName val="교량전기"/>
      <sheetName val="FB25JN"/>
      <sheetName val="한강운반비"/>
      <sheetName val="eq_data"/>
      <sheetName val="5사남"/>
      <sheetName val="1-1"/>
      <sheetName val="전체도급"/>
      <sheetName val="AP1"/>
      <sheetName val="96수출"/>
      <sheetName val="FAB별"/>
      <sheetName val="경비_원본"/>
      <sheetName val="3차토목내역"/>
      <sheetName val="인건비"/>
      <sheetName val="갑지1"/>
      <sheetName val="맨홀수량산출"/>
      <sheetName val="가감수량"/>
      <sheetName val="재1"/>
      <sheetName val="소운반"/>
      <sheetName val="설비원가"/>
      <sheetName val="전신환매도율"/>
      <sheetName val="바닥판"/>
      <sheetName val="입력DATA"/>
      <sheetName val="변경내역대비표(2)"/>
      <sheetName val="설계서"/>
      <sheetName val="96까지"/>
      <sheetName val="97년"/>
      <sheetName val="98이후"/>
      <sheetName val="1"/>
      <sheetName val="부대공자재집계표"/>
      <sheetName val="unitpric"/>
      <sheetName val="날개벽수량표"/>
      <sheetName val="Discount Group"/>
      <sheetName val="토적1"/>
      <sheetName val="12용지"/>
      <sheetName val="Main"/>
      <sheetName val="토적"/>
      <sheetName val="공종별 집계"/>
      <sheetName val="TEST1"/>
      <sheetName val="SIL98"/>
      <sheetName val="일위_파일"/>
      <sheetName val="여과지동"/>
      <sheetName val="기초자료"/>
      <sheetName val="일집"/>
      <sheetName val="일위"/>
      <sheetName val="바.한일양산"/>
      <sheetName val="단면치수"/>
      <sheetName val="계약내력"/>
      <sheetName val="Sheet1 (2)"/>
      <sheetName val="삼성전기"/>
      <sheetName val="토목"/>
      <sheetName val="내역서 "/>
      <sheetName val="설계내역서"/>
      <sheetName val="주식"/>
      <sheetName val="노임"/>
      <sheetName val="정렬"/>
      <sheetName val="투찰금액"/>
      <sheetName val="요율"/>
      <sheetName val="소방"/>
      <sheetName val="산출"/>
      <sheetName val="안정계산"/>
      <sheetName val="8.PILE  (돌출)"/>
      <sheetName val="입력값"/>
      <sheetName val="간선계산"/>
      <sheetName val="인건비 "/>
      <sheetName val="Budget 2005(DW)"/>
      <sheetName val="숙소"/>
      <sheetName val="마산월령동골조물량변경"/>
      <sheetName val="근고 블록 유형별 수량"/>
      <sheetName val="당진생산팀"/>
      <sheetName val="대차대조표"/>
      <sheetName val="역T형"/>
      <sheetName val="CTEMCOST"/>
      <sheetName val="영업소실적"/>
      <sheetName val="건축(충일분)"/>
      <sheetName val="가시설단위수량"/>
      <sheetName val="통계연보"/>
      <sheetName val="업무분장"/>
      <sheetName val="대전21토목내역서"/>
      <sheetName val="개요"/>
      <sheetName val="자재단가"/>
      <sheetName val="진주방향"/>
      <sheetName val="2000전체분"/>
      <sheetName val="crude.SLAB RE-bar"/>
      <sheetName val="예산내역서"/>
      <sheetName val="설계예산서"/>
      <sheetName val="총계"/>
      <sheetName val="수문일1"/>
      <sheetName val="COPING"/>
      <sheetName val="하중계산"/>
      <sheetName val="J直材4"/>
      <sheetName val="자단"/>
      <sheetName val="인공산출"/>
      <sheetName val="가로등내역서"/>
      <sheetName val="woo(mac)"/>
      <sheetName val="보고서"/>
      <sheetName val="주관사업"/>
      <sheetName val="000000"/>
      <sheetName val="20관리비율"/>
      <sheetName val="도대하도변경최종정산조경"/>
      <sheetName val="원가계산서구조조정"/>
      <sheetName val="서울산업대(토)"/>
      <sheetName val="DATA1"/>
      <sheetName val="SLAB&quot;1&quot;"/>
      <sheetName val="단가조사서"/>
      <sheetName val="유출부"/>
      <sheetName val="A"/>
      <sheetName val="단가표"/>
      <sheetName val="노무비단가"/>
      <sheetName val="1.관로"/>
      <sheetName val="모델링"/>
      <sheetName val="INPUT(덕도방향-시점)"/>
      <sheetName val="통합"/>
      <sheetName val="전기공사"/>
      <sheetName val="건축공사 집계표"/>
      <sheetName val="골조"/>
      <sheetName val="Sheet5"/>
      <sheetName val="기본"/>
      <sheetName val="물가자료"/>
      <sheetName val="123"/>
      <sheetName val="ERECTION"/>
      <sheetName val="POL설치공정"/>
      <sheetName val="공정양식"/>
      <sheetName val="간접재료비산출표-27-30"/>
      <sheetName val="UR2-Calculation"/>
      <sheetName val="3본사"/>
      <sheetName val="조도계산서 (도서)"/>
      <sheetName val="산출내역서집계표"/>
      <sheetName val="방송(체육관)"/>
      <sheetName val="신우"/>
      <sheetName val="설계개요"/>
      <sheetName val="배수공 시멘트 및 골재량 산출"/>
      <sheetName val="금액내역서"/>
      <sheetName val="횡날개수집"/>
      <sheetName val="Material Specification"/>
      <sheetName val="#34 CIVL_Original"/>
      <sheetName val="TOEC"/>
      <sheetName val="INDIRECT"/>
      <sheetName val="calculation-1"/>
      <sheetName val="MCC제원"/>
      <sheetName val="c_balju"/>
      <sheetName val="내역(전체)"/>
      <sheetName val="토공정보"/>
      <sheetName val="기성내역서"/>
      <sheetName val="수량 산출서(당초)"/>
      <sheetName val="물량표"/>
      <sheetName val="원형1호맨홀토공수량"/>
      <sheetName val="예가표"/>
      <sheetName val="부표총괄"/>
      <sheetName val="빈"/>
      <sheetName val="기초목"/>
      <sheetName val="비용"/>
      <sheetName val="CAT_5"/>
      <sheetName val="1월"/>
      <sheetName val="VXXXXXXX"/>
      <sheetName val="#3E1_GCR"/>
      <sheetName val="품종코드"/>
      <sheetName val="견적집계표"/>
      <sheetName val="손익(10월)"/>
      <sheetName val="항목"/>
      <sheetName val="간접비"/>
      <sheetName val="노무단가"/>
      <sheetName val="상가지급현황"/>
      <sheetName val="유림골조"/>
      <sheetName val="4)유동표"/>
      <sheetName val="총괄표"/>
      <sheetName val="3BL공동구 수량"/>
      <sheetName val="시설물"/>
      <sheetName val="설산1.나"/>
      <sheetName val="본사S"/>
      <sheetName val="계산근거"/>
      <sheetName val="직접기초설계"/>
      <sheetName val="방식총괄"/>
      <sheetName val="일위대가(계측기설치)"/>
      <sheetName val="Ⅴ-2.공종별내역"/>
      <sheetName val="기본DATA"/>
      <sheetName val="ITEM"/>
      <sheetName val="SG"/>
      <sheetName val="전기BOX내역서"/>
      <sheetName val="일위(설)"/>
      <sheetName val="기기리스트"/>
      <sheetName val="Macro(전선)"/>
      <sheetName val="dtxl"/>
      <sheetName val="예정공정표(도급)"/>
      <sheetName val="가공비"/>
      <sheetName val="준검 내역서"/>
      <sheetName val="OD"/>
      <sheetName val="수량산출서 갑지"/>
      <sheetName val="A-4"/>
      <sheetName val="오억미만"/>
      <sheetName val="증감대비"/>
      <sheetName val="기본입력표"/>
      <sheetName val="건축집계표"/>
      <sheetName val="일위대가표(DEEP)"/>
      <sheetName val="sheets"/>
      <sheetName val="환률"/>
      <sheetName val="9811"/>
      <sheetName val="9509"/>
      <sheetName val="품셈1-17"/>
      <sheetName val="SLAB근거-1"/>
      <sheetName val="추가예산"/>
      <sheetName val="3차준공"/>
      <sheetName val="토 적 표"/>
      <sheetName val="투찰"/>
      <sheetName val="참조"/>
      <sheetName val="P&amp;L01-02GR"/>
      <sheetName val="수목데이타 "/>
      <sheetName val="Ext. Stone-P"/>
      <sheetName val="전 기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차수"/>
      <sheetName val="내역서2안"/>
      <sheetName val="별표집계"/>
      <sheetName val="과거교육훈련비"/>
      <sheetName val="총 원가계산"/>
      <sheetName val="케이블및전선관규격표"/>
      <sheetName val="좌측"/>
      <sheetName val="2.하자처리현황(CS)"/>
      <sheetName val="본장"/>
      <sheetName val="GAEYO"/>
      <sheetName val="실행견적"/>
      <sheetName val="6공구(당초)"/>
      <sheetName val="APT내역"/>
      <sheetName val="입력"/>
      <sheetName val="약품설비"/>
      <sheetName val="변화치수"/>
      <sheetName val="수목표준대가"/>
      <sheetName val="정읍농소"/>
      <sheetName val="지주목시비량산출서"/>
      <sheetName val="자재표"/>
      <sheetName val="설계예시"/>
      <sheetName val="TABLE"/>
      <sheetName val="Sheet15"/>
      <sheetName val="교통시설 표지판"/>
      <sheetName val="Sheet14"/>
      <sheetName val="Sheet13"/>
      <sheetName val="T13(P68~72,78)"/>
      <sheetName val="투자양식"/>
      <sheetName val="실행내역"/>
      <sheetName val="3.하중산정4.지지력"/>
      <sheetName val="PO-BOQ"/>
      <sheetName val="TYPE-A"/>
      <sheetName val="예산서"/>
      <sheetName val="AABS내역"/>
      <sheetName val="일위대가목록"/>
      <sheetName val="손익분석"/>
      <sheetName val="soil_bearing_check"/>
      <sheetName val="노원열병합__건축공사기성내역서"/>
      <sheetName val="깨기집계"/>
      <sheetName val="3련 BOX"/>
      <sheetName val="총집계표"/>
      <sheetName val="보통예금"/>
      <sheetName val="FOB발"/>
      <sheetName val="단가비교"/>
      <sheetName val="h-013211-2"/>
      <sheetName val="TYPE별집계"/>
      <sheetName val="국내총괄"/>
      <sheetName val="목차"/>
      <sheetName val="배수내역 (2)"/>
      <sheetName val="LinerWt"/>
      <sheetName val="대림경상68억"/>
      <sheetName val="일위대가(1)"/>
      <sheetName val="9GNG운반"/>
      <sheetName val="일위대가표 (2)"/>
      <sheetName val="냉천부속동"/>
      <sheetName val="98수문일위"/>
      <sheetName val="회사기본자료"/>
      <sheetName val="2000년 임금추정"/>
      <sheetName val="REINF."/>
      <sheetName val="LOADS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갑지(비계타입)"/>
      <sheetName val="기성2"/>
      <sheetName val="2F 회의실견적(5_14 일대)"/>
      <sheetName val="페이징 배관배선"/>
      <sheetName val="KMT물량"/>
      <sheetName val="NS"/>
      <sheetName val="1근거"/>
      <sheetName val="수량명세서"/>
      <sheetName val="실정보고내역서"/>
      <sheetName val="자판실행"/>
      <sheetName val="저판(버림100)"/>
      <sheetName val="신규일위대가"/>
      <sheetName val="교각계산"/>
      <sheetName val="자료"/>
      <sheetName val="작성"/>
      <sheetName val="수원공공사비"/>
      <sheetName val="F-Assump"/>
      <sheetName val="산출근거1"/>
      <sheetName val="2.단면가정"/>
      <sheetName val="4.말뚝설계"/>
      <sheetName val="N賃率-職"/>
      <sheetName val="내역서(당초변경)"/>
      <sheetName val="직접비"/>
      <sheetName val="하조서"/>
      <sheetName val="원형맨홀수량"/>
      <sheetName val="준공조서갑지"/>
      <sheetName val="변경비교-을"/>
      <sheetName val="Breakdown"/>
      <sheetName val="3.공통공사대비"/>
      <sheetName val="견적내역서"/>
      <sheetName val="흄관기초"/>
      <sheetName val="플랜트 설치"/>
      <sheetName val="물량표S"/>
      <sheetName val="CHECK1"/>
      <sheetName val="계수시트"/>
      <sheetName val="원가계산서"/>
      <sheetName val="TAIHAN"/>
      <sheetName val="AILC004"/>
      <sheetName val="금액집계"/>
      <sheetName val="36+45-113-18+19+20I"/>
      <sheetName val="ins"/>
      <sheetName val="초기화면"/>
      <sheetName val="이름정의"/>
      <sheetName val="원가계산서(건축)"/>
      <sheetName val="당진1,2호기전선관설치및접지4차공사내역서-을지"/>
      <sheetName val="터널조도"/>
      <sheetName val="실행내역서 "/>
      <sheetName val="guard(mac)"/>
      <sheetName val="기초설계"/>
      <sheetName val="라멘"/>
      <sheetName val="라멘수량"/>
      <sheetName val="구분자"/>
      <sheetName val="공조기휀"/>
      <sheetName val="측구터파기공수량집계"/>
      <sheetName val="구조물터파기수량집계"/>
      <sheetName val="unit 4"/>
      <sheetName val="CAUDIT"/>
      <sheetName val="품의"/>
      <sheetName val="전체현황"/>
      <sheetName val="2003.4.1."/>
      <sheetName val="토적계산"/>
      <sheetName val="신규품셈목차"/>
      <sheetName val="시중노임단가"/>
      <sheetName val="JUCKEYK"/>
      <sheetName val="적용기준"/>
      <sheetName val="물량"/>
      <sheetName val="MM"/>
      <sheetName val="재료집계"/>
      <sheetName val="내역을"/>
      <sheetName val="960318-1"/>
      <sheetName val="산출내역서"/>
      <sheetName val="평가데이터"/>
      <sheetName val="구성비"/>
      <sheetName val="VOR"/>
      <sheetName val="노임,재료비"/>
      <sheetName val="외주비"/>
      <sheetName val="설비"/>
      <sheetName val="견적3"/>
      <sheetName val="내역(2000년)"/>
      <sheetName val="단가"/>
      <sheetName val="토공사"/>
      <sheetName val="6.일위대가"/>
      <sheetName val="토량1-1"/>
      <sheetName val="도급정산"/>
      <sheetName val="경산"/>
      <sheetName val="외자배분"/>
      <sheetName val="횡배수관토공수량"/>
      <sheetName val="Galaxy 소비자가격표"/>
      <sheetName val="_산근2_"/>
      <sheetName val="_산근4_"/>
      <sheetName val="_산근5_"/>
      <sheetName val="DI1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Sheet10"/>
      <sheetName val="견적대비표"/>
      <sheetName val="과천MAIN"/>
      <sheetName val="주소(한문)"/>
      <sheetName val="NEYOK"/>
      <sheetName val="설비2차"/>
      <sheetName val="중동공구"/>
      <sheetName val="2-3.V.D일위"/>
      <sheetName val="1차 내역서"/>
      <sheetName val="CLAUSE"/>
      <sheetName val="직접재료비"/>
      <sheetName val="옹벽1"/>
      <sheetName val="CRUDE RE-bar"/>
      <sheetName val="날개벽(TYPE3)"/>
      <sheetName val="SLAB"/>
      <sheetName val="약품공급2"/>
      <sheetName val="가시설(TYPE-A)"/>
      <sheetName val="1호맨홀가감수량"/>
      <sheetName val="1-1평균터파기고(1)"/>
      <sheetName val="1호맨홀수량산출"/>
      <sheetName val="간지"/>
      <sheetName val="기안"/>
      <sheetName val="11.자재단가"/>
      <sheetName val="표  지"/>
      <sheetName val="날개벽(시점좌측)"/>
      <sheetName val="유화"/>
      <sheetName val="토공집계"/>
      <sheetName val="기둥(하중)"/>
      <sheetName val="서울대규장각(가시설흙막이)"/>
      <sheetName val="간접"/>
      <sheetName val="총괄내역서"/>
      <sheetName val="매크로"/>
      <sheetName val="외주가공"/>
      <sheetName val="취수탑"/>
      <sheetName val="Pengalaman Per"/>
      <sheetName val="FIRE FIGHTING"/>
      <sheetName val="단중표"/>
      <sheetName val="BEND LOSS"/>
      <sheetName val="기계내역서"/>
      <sheetName val="1.설계설명서"/>
      <sheetName val="Load Total"/>
      <sheetName val="시행후면적"/>
      <sheetName val="중간부"/>
      <sheetName val="개소별수량산출"/>
      <sheetName val="가도공"/>
      <sheetName val="static.cal"/>
      <sheetName val="Sheet9"/>
      <sheetName val="교통대책내역"/>
      <sheetName val="장외반출및폐기물 "/>
      <sheetName val="준공평가"/>
      <sheetName val="crude_SLAB_RE-bar"/>
      <sheetName val="설직재-1"/>
      <sheetName val="제-노임"/>
      <sheetName val="I一般比"/>
      <sheetName val="운반"/>
      <sheetName val="품셈TABLE"/>
      <sheetName val="부하계산서"/>
      <sheetName val="집수정수량총집계"/>
      <sheetName val="단면 Ȩ_x0000_栀"/>
      <sheetName val="base"/>
      <sheetName val="빙설"/>
      <sheetName val="Basic Input"/>
      <sheetName val="Notes "/>
      <sheetName val="Bank charge"/>
      <sheetName val="Notes_"/>
      <sheetName val="Bank_charge"/>
      <sheetName val="콤보박스와 리스트박스의 연결"/>
      <sheetName val="SKETCH"/>
      <sheetName val="견적총괄표"/>
      <sheetName val="PROCESS"/>
      <sheetName val="사통"/>
      <sheetName val="설계내역(2001)"/>
      <sheetName val="내역서(기성청구)"/>
      <sheetName val="3.현장배치"/>
      <sheetName val="현장배치"/>
      <sheetName val="역T형교대-2수량"/>
      <sheetName val="이토변실(A3-LINE)"/>
      <sheetName val="품셈"/>
      <sheetName val="현황산출서"/>
      <sheetName val="반중력식옹벽3.5"/>
      <sheetName val="금_x0000__x0000__x0005_"/>
      <sheetName val="70%"/>
      <sheetName val="골재산출"/>
      <sheetName val="COVER-P"/>
      <sheetName val="AHU집계"/>
      <sheetName val="공조기"/>
      <sheetName val="PIPE"/>
      <sheetName val="견적대비"/>
      <sheetName val="gvl"/>
      <sheetName val="우수"/>
      <sheetName val="성남여성복지내역"/>
      <sheetName val="단위중량"/>
      <sheetName val="식재인부"/>
      <sheetName val="교대(A1)"/>
      <sheetName val="정산입력"/>
      <sheetName val="기별수량산출서"/>
      <sheetName val="설계서(7)"/>
      <sheetName val="견적의뢰"/>
      <sheetName val="inter"/>
      <sheetName val="EQUIP-H"/>
      <sheetName val="건축-물가변동"/>
      <sheetName val="기계설비-물가변동"/>
      <sheetName val="토공총괄표"/>
      <sheetName val="인천제철"/>
      <sheetName val="FAX"/>
      <sheetName val="연습"/>
      <sheetName val="보험료"/>
      <sheetName val="부전지"/>
      <sheetName val="규격"/>
      <sheetName val="기초코드"/>
      <sheetName val="대운산출"/>
      <sheetName val="Regenerator  Concrete Structure"/>
      <sheetName val="예산M2"/>
      <sheetName val="기초대가"/>
      <sheetName val="예산"/>
      <sheetName val="평택고렴산업단지(토목견적).xlsx"/>
      <sheetName val="10월"/>
      <sheetName val="2공구산출내역"/>
      <sheetName val="HP1AMLIST"/>
      <sheetName val="분양가"/>
      <sheetName val="대가단최종"/>
      <sheetName val="분양금할인"/>
      <sheetName val="공사비산출내역"/>
      <sheetName val="ML"/>
      <sheetName val="SUMMARY"/>
      <sheetName val="PAINT"/>
      <sheetName val="실행대비"/>
      <sheetName val="강북라우터"/>
      <sheetName val="일위대가(가설)"/>
      <sheetName val="cost9702"/>
      <sheetName val="업체별기성내역"/>
      <sheetName val="단면"/>
      <sheetName val="국영"/>
      <sheetName val="품의서"/>
      <sheetName val="A3.공사비 검토"/>
      <sheetName val="C3.토목_옹벽"/>
      <sheetName val="3.건축(현장안)"/>
      <sheetName val="2.냉난방설비공사"/>
      <sheetName val="배수내역"/>
      <sheetName val="패널"/>
      <sheetName val="BOX규격및 설계조건입력"/>
      <sheetName val="서식"/>
      <sheetName val="장비비"/>
      <sheetName val="화전내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공통가설공사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비교1"/>
      <sheetName val="완성차 미수금"/>
      <sheetName val="Mc1"/>
      <sheetName val="외주"/>
      <sheetName val="개산공사비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SILICATE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1"/>
      <sheetName val="Sheet12"/>
      <sheetName val="Sheet16"/>
      <sheetName val="단가일람표"/>
      <sheetName val="물량내역서"/>
      <sheetName val="PI"/>
      <sheetName val="현장관리비"/>
      <sheetName val="database"/>
      <sheetName val="현장경비"/>
      <sheetName val="단가목록"/>
      <sheetName val="조도"/>
      <sheetName val="옥내아파트(전기)"/>
      <sheetName val="견적시담(송포2공구)"/>
      <sheetName val=" 자재물류센터 증축공사 중 철근콘크리트 공사.xlsx"/>
      <sheetName val="부서별(배부후)_계획"/>
      <sheetName val="정산내역서"/>
      <sheetName val="소요자재"/>
      <sheetName val="Setting"/>
      <sheetName val="시행예산"/>
      <sheetName val="접속슬래브"/>
      <sheetName val="찍기"/>
      <sheetName val="SANBAISU"/>
      <sheetName val="FD"/>
      <sheetName val="LD"/>
      <sheetName val="감가상각"/>
      <sheetName val="EE-PROP"/>
      <sheetName val="CON포장수량"/>
      <sheetName val="ACUNIT"/>
      <sheetName val="CONUNIT"/>
      <sheetName val="변수2"/>
      <sheetName val="저항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식재가격"/>
      <sheetName val="식재총괄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보할공정"/>
      <sheetName val="남양주댠가표"/>
      <sheetName val="굴화내역"/>
      <sheetName val="전선 및 전선관"/>
      <sheetName val="기계설비"/>
      <sheetName val="공용정보"/>
      <sheetName val="예산대비표(현장작성)"/>
      <sheetName val="자탐수량산출서"/>
      <sheetName val="산근목록"/>
      <sheetName val="가설공사"/>
      <sheetName val="TCA"/>
      <sheetName val="시설물일위"/>
      <sheetName val="목표"/>
      <sheetName val="영업-1"/>
      <sheetName val="LEGEND"/>
      <sheetName val="수입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POL6차-PIPING"/>
      <sheetName val="생산매출 (4)"/>
      <sheetName val="1_설계조건1"/>
      <sheetName val="6_OUTPUT1"/>
      <sheetName val="Customer_Databas1"/>
      <sheetName val="영업_일1"/>
      <sheetName val="2000_051"/>
      <sheetName val="2_대외공문1"/>
      <sheetName val="BSD_(2)1"/>
      <sheetName val="BSD__2_1"/>
      <sheetName val="1_우편집중내역서1"/>
      <sheetName val="ITB_COST1"/>
      <sheetName val="2-3_V_D일위"/>
      <sheetName val="1차_내역서"/>
      <sheetName val="Ⅴ-2_공종별내역"/>
      <sheetName val="Budget_2005(DW)"/>
      <sheetName val="근고_블록_유형별_수량"/>
      <sheetName val="공종별_집계"/>
      <sheetName val="1_설계기준"/>
      <sheetName val="인건비_"/>
      <sheetName val="1__설계조건_2_단면가정_3__하중계산"/>
      <sheetName val="DATA_입력란"/>
      <sheetName val="Ext__Stone-P"/>
      <sheetName val="수목데이타_"/>
      <sheetName val="Material_Specification"/>
      <sheetName val="Sheet1_(2)"/>
      <sheetName val="8_PILE__(돌출)"/>
      <sheetName val="내역서_"/>
      <sheetName val="진행_DATA_(2)"/>
      <sheetName val="건축공사_집계표"/>
      <sheetName val="2_하자처리현황(CS)"/>
      <sheetName val="총_원가계산"/>
      <sheetName val="Discount_Group"/>
      <sheetName val="바_한일양산"/>
      <sheetName val="수지예산"/>
      <sheetName val="UNSTEADY"/>
      <sheetName val="2.고용보험료산출근거"/>
      <sheetName val="단위세대"/>
      <sheetName val="원가"/>
      <sheetName val="인원현황"/>
      <sheetName val="PRO_A"/>
      <sheetName val="PRO"/>
      <sheetName val="잡재료비"/>
      <sheetName val="수량집계표"/>
      <sheetName val="사급분 설계내역서"/>
      <sheetName val="단관비계수량"/>
      <sheetName val="수로BOX(시점부)"/>
      <sheetName val="7.PILE  (돌출)"/>
      <sheetName val="사방수량"/>
      <sheetName val="원가서"/>
      <sheetName val="증감내역서"/>
      <sheetName val="DATE2001"/>
      <sheetName val="공사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 refreshError="1"/>
      <sheetData sheetId="778"/>
      <sheetData sheetId="779" refreshError="1"/>
      <sheetData sheetId="780"/>
      <sheetData sheetId="78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/>
      <sheetData sheetId="994"/>
      <sheetData sheetId="995"/>
      <sheetData sheetId="996"/>
      <sheetData sheetId="997" refreshError="1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F 회의실견적(5_14 일대)"/>
      <sheetName val="정부노임단가"/>
      <sheetName val="예산서"/>
      <sheetName val="아산의전"/>
      <sheetName val="변화치수"/>
      <sheetName val="설계명세서"/>
      <sheetName val="직노"/>
      <sheetName val="민속촌메뉴"/>
      <sheetName val="20관리비율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nga"/>
      <sheetName val="ilch"/>
      <sheetName val="단면가정"/>
      <sheetName val="공통가설"/>
      <sheetName val="Y-WORK"/>
      <sheetName val="일위대가목차"/>
      <sheetName val="맨홀수량집계"/>
      <sheetName val="2F 회의실견적(5_14 일대)"/>
      <sheetName val="교각계산"/>
      <sheetName val="정부노임단가"/>
      <sheetName val="을"/>
      <sheetName val="토목내역"/>
      <sheetName val="3BL공동구 수량"/>
      <sheetName val="JUCKEYK"/>
      <sheetName val="일위대가"/>
      <sheetName val="LEGEND"/>
      <sheetName val="직공비"/>
      <sheetName val="내역서"/>
      <sheetName val="평가데이터"/>
      <sheetName val="DATA"/>
      <sheetName val="기본단가표"/>
      <sheetName val="직노"/>
      <sheetName val="계화배수"/>
      <sheetName val="I一般比"/>
      <sheetName val="일위대가표"/>
      <sheetName val="INPUT(덕도방향-시점)"/>
      <sheetName val="기둥(원형)"/>
      <sheetName val="토공"/>
      <sheetName val="code"/>
      <sheetName val="VXXXXXXX"/>
      <sheetName val="SLAB&quot;1&quot;"/>
      <sheetName val="품셈"/>
      <sheetName val="내역"/>
      <sheetName val="일반물자(한국통신)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COPING"/>
      <sheetName val="3.하중산정4.지지력"/>
      <sheetName val="TABLE"/>
      <sheetName val="전기"/>
      <sheetName val="연령현황"/>
      <sheetName val="토공(완충)"/>
      <sheetName val="input"/>
      <sheetName val="1-1"/>
      <sheetName val="Sheet5"/>
      <sheetName val="현장"/>
      <sheetName val=" 견적서"/>
      <sheetName val="총괄-1"/>
      <sheetName val="SORCE1"/>
      <sheetName val="가시설단위수량"/>
      <sheetName val="원형맨홀수량"/>
      <sheetName val="수량3"/>
      <sheetName val="차액보증"/>
      <sheetName val="투찰"/>
      <sheetName val="교각1"/>
      <sheetName val="96수출"/>
      <sheetName val="공사비명세서"/>
      <sheetName val="단위수량"/>
      <sheetName val="집계표"/>
      <sheetName val="열린교실"/>
      <sheetName val="TB-내역서"/>
      <sheetName val="설산1.나"/>
      <sheetName val="본사S"/>
      <sheetName val="증감분석"/>
      <sheetName val="변화치수"/>
      <sheetName val="가설건물"/>
      <sheetName val="공사비예산서(토목분)"/>
      <sheetName val="공통부대비"/>
      <sheetName val="부대내역"/>
      <sheetName val="표지"/>
      <sheetName val="대비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가공비"/>
      <sheetName val="작성"/>
      <sheetName val="산출내역"/>
      <sheetName val="ABUT수량-A1"/>
      <sheetName val="노임단가"/>
      <sheetName val="품목"/>
      <sheetName val="N賃率-職"/>
      <sheetName val="물량산출근거"/>
      <sheetName val="공사개요"/>
      <sheetName val="예산서"/>
      <sheetName val="b_gunmul"/>
      <sheetName val="b_balju (2)"/>
      <sheetName val="J直材4"/>
      <sheetName val="연부97-1"/>
      <sheetName val="갑지1"/>
      <sheetName val="공정집계_국별"/>
      <sheetName val="적용률"/>
      <sheetName val="#REF"/>
      <sheetName val="기본일위"/>
      <sheetName val="총괄"/>
      <sheetName val="토목품셈"/>
      <sheetName val="기초공"/>
      <sheetName val="2.가정단면"/>
      <sheetName val="설계"/>
      <sheetName val="RING WALL"/>
      <sheetName val="DATA1"/>
      <sheetName val="Sheet1"/>
      <sheetName val="TYPE-A"/>
      <sheetName val="설계명세서"/>
      <sheetName val="하중계산"/>
      <sheetName val="우각부보강"/>
      <sheetName val="부재력정리"/>
      <sheetName val="제원.설계조건"/>
      <sheetName val="마산방향철근집계"/>
      <sheetName val="진주방향"/>
      <sheetName val="마산방향"/>
      <sheetName val="단가"/>
      <sheetName val="2F_회의실견적(5_14_일대)"/>
      <sheetName val="3BL공동구_수량"/>
      <sheetName val="D-3503"/>
      <sheetName val="전기품산출"/>
      <sheetName val="깨기"/>
      <sheetName val="주경기-오배수"/>
      <sheetName val="간노_콘"/>
      <sheetName val="자재단가비교표"/>
      <sheetName val="woo(mac)"/>
      <sheetName val="입찰안"/>
      <sheetName val="기계내역"/>
      <sheetName val="CIVIL"/>
      <sheetName val="단면검토"/>
      <sheetName val="전압강하계산"/>
      <sheetName val="노단"/>
      <sheetName val="경산"/>
      <sheetName val="공사비"/>
      <sheetName val="6.수량산출서(설치공사)"/>
      <sheetName val="기별(종합)"/>
      <sheetName val="Sheet2"/>
      <sheetName val="기계경비"/>
      <sheetName val="인건비(환율)"/>
      <sheetName val="간선계산"/>
      <sheetName val="내역1"/>
      <sheetName val="건축내역"/>
      <sheetName val="CAT_5"/>
      <sheetName val="방송노임"/>
      <sheetName val="단가산출2"/>
      <sheetName val="단가표 "/>
      <sheetName val="TEL"/>
      <sheetName val="수량산출"/>
      <sheetName val="공구원가계산"/>
      <sheetName val="부속동"/>
      <sheetName val="방송일위대가"/>
      <sheetName val="SILICATE"/>
      <sheetName val="guard(mac)"/>
      <sheetName val="06-BATCH "/>
      <sheetName val="백암비스타내역"/>
      <sheetName val="내역서2안"/>
      <sheetName val="월선수금"/>
      <sheetName val="Tables"/>
      <sheetName val="금액내역서"/>
      <sheetName val="영업.일1"/>
      <sheetName val="광혁기성"/>
      <sheetName val="DATA(BAC)"/>
      <sheetName val="FRT_O"/>
      <sheetName val="FAB_I"/>
      <sheetName val="국별인원"/>
      <sheetName val="전기일위대가"/>
      <sheetName val="단가표"/>
      <sheetName val="단가조사"/>
      <sheetName val="세부내역"/>
      <sheetName val="일위대가목록"/>
      <sheetName val="정렬"/>
      <sheetName val="DATE"/>
      <sheetName val="제품"/>
      <sheetName val="식재품셈"/>
      <sheetName val="지장물C"/>
      <sheetName val="원가계산서"/>
      <sheetName val="type-F"/>
      <sheetName val="일위"/>
      <sheetName val="P.M 별"/>
      <sheetName val="Customer Databas"/>
      <sheetName val="b_balju"/>
      <sheetName val="와동25-3(변경)"/>
      <sheetName val="SLAB"/>
      <sheetName val="금액집계"/>
      <sheetName val="공주-교대(A1)"/>
      <sheetName val="ITB COST"/>
      <sheetName val="공통가설공사"/>
      <sheetName val="BEND LOSS"/>
      <sheetName val="집1"/>
      <sheetName val="남양시작동자105노65기1.3화1.2"/>
      <sheetName val="CPM챠트"/>
      <sheetName val="단가조사서"/>
      <sheetName val="1.우편집중내역서"/>
      <sheetName val="내역서(갑)"/>
      <sheetName val="기초자료"/>
      <sheetName val="견적집계표"/>
      <sheetName val="L형옹벽(key)"/>
      <sheetName val="허용전류-IEC"/>
      <sheetName val="허용전류-IEC DATA"/>
      <sheetName val="상호참고자료"/>
      <sheetName val="11.우각부 보강"/>
      <sheetName val="플랜트 설치"/>
      <sheetName val="옹벽"/>
      <sheetName val="기흥하도용"/>
      <sheetName val="단면(RW1)"/>
      <sheetName val="BSD (2)"/>
      <sheetName val="WORK"/>
      <sheetName val="A"/>
      <sheetName val="경비2내역"/>
      <sheetName val="배수장공사비명세서"/>
      <sheetName val="1단계"/>
      <sheetName val="소비자가"/>
      <sheetName val="입찰보고"/>
      <sheetName val="A-4"/>
      <sheetName val="관람석제출"/>
      <sheetName val="현장관리비내역서"/>
      <sheetName val="cross beam"/>
      <sheetName val="산출근거"/>
      <sheetName val="안정검토"/>
      <sheetName val="슬래브"/>
      <sheetName val="SANTOGO"/>
      <sheetName val="SANBAISU"/>
      <sheetName val="현장관리비집계표"/>
      <sheetName val="중기사용료산출근거"/>
      <sheetName val="단가 및 재료비"/>
      <sheetName val="기계경비일람"/>
      <sheetName val="비교표"/>
      <sheetName val="배수관공"/>
      <sheetName val="실행내역"/>
      <sheetName val="KMT물량"/>
      <sheetName val="목표세부명세"/>
      <sheetName val="공문"/>
      <sheetName val="전장품(관리용)"/>
      <sheetName val="97년추정손익계산서"/>
      <sheetName val="케이블"/>
      <sheetName val="기둥"/>
      <sheetName val="저판(버림100)"/>
      <sheetName val="내역서-CCTV"/>
      <sheetName val="인테리어세부내역"/>
      <sheetName val="피엘"/>
      <sheetName val="공종집계"/>
      <sheetName val="ETC"/>
      <sheetName val="2공구산출내역"/>
      <sheetName val="Macro1"/>
      <sheetName val="설직재-1"/>
      <sheetName val="제직재"/>
      <sheetName val="제-노임"/>
      <sheetName val="부하"/>
      <sheetName val="960318-1"/>
      <sheetName val="단중표"/>
      <sheetName val="날개벽"/>
      <sheetName val="CONCRETE"/>
      <sheetName val="EACT10"/>
      <sheetName val="자재"/>
      <sheetName val="삼성전기"/>
      <sheetName val="Sheet1 (2)"/>
      <sheetName val="2.냉난방설비공사"/>
      <sheetName val="민속촌메뉴"/>
      <sheetName val="C-직노1"/>
      <sheetName val="보차도경계석"/>
      <sheetName val="설계명세서(선로)"/>
      <sheetName val="보도경계블럭"/>
      <sheetName val="특2호하천산근"/>
      <sheetName val="특2호부관하천산근"/>
      <sheetName val="산근(PE,300)"/>
      <sheetName val="기초1"/>
      <sheetName val="토사(PE)"/>
      <sheetName val="공사요율"/>
      <sheetName val="적용기준"/>
      <sheetName val="물가자료"/>
      <sheetName val="11.자재단가"/>
      <sheetName val="_산근2_"/>
      <sheetName val="_산근4_"/>
      <sheetName val="_산근5_"/>
      <sheetName val="XL4Poppy"/>
      <sheetName val="원형1호맨홀토공수량"/>
      <sheetName val="조명시설"/>
      <sheetName val="B부대공"/>
      <sheetName val="배수공"/>
      <sheetName val="원가"/>
      <sheetName val="실행"/>
      <sheetName val="대전21토목내역서"/>
      <sheetName val="조명율표"/>
      <sheetName val="말뚝지지력산정"/>
      <sheetName val="치수표"/>
      <sheetName val="FAB별"/>
      <sheetName val="도장수량(하1)"/>
      <sheetName val="주형"/>
      <sheetName val="대전월평내역"/>
      <sheetName val="을지"/>
      <sheetName val="심사내역서(선감길외).xlsx"/>
      <sheetName val="일위_파일"/>
      <sheetName val="연결임시"/>
      <sheetName val="산출금액내역"/>
      <sheetName val="내역서1999.8최종"/>
      <sheetName val="신우"/>
      <sheetName val="운임"/>
      <sheetName val="충주"/>
      <sheetName val="과천MAIN"/>
      <sheetName val="ITEM"/>
      <sheetName val="일 위 대 가 표"/>
      <sheetName val="6PILE  (돌출)"/>
      <sheetName val="4.2유효폭의 계산"/>
      <sheetName val="총계"/>
      <sheetName val="단면 (2)"/>
      <sheetName val="계산근거"/>
      <sheetName val="단가견적조사표"/>
      <sheetName val="수량산출서"/>
      <sheetName val="방음벽기초-수량"/>
      <sheetName val="COPING-1"/>
      <sheetName val="역T형교대-2수량"/>
      <sheetName val="토공(우물통,기타) "/>
      <sheetName val="1.설계조건"/>
      <sheetName val="갑지(추정)"/>
      <sheetName val="실행내역 "/>
      <sheetName val="출력X"/>
      <sheetName val="도급"/>
      <sheetName val="폐토수익화 "/>
      <sheetName val="종합일지"/>
      <sheetName val="금액"/>
      <sheetName val="1을"/>
      <sheetName val="copy"/>
      <sheetName val="서식"/>
      <sheetName val="FACTOR"/>
      <sheetName val="공사비 내역 (가)"/>
      <sheetName val="공사비내역서"/>
      <sheetName val="마감물량3"/>
      <sheetName val="빙장비사양"/>
      <sheetName val="장비사양"/>
      <sheetName val="월별수입"/>
      <sheetName val="샘플표지"/>
      <sheetName val="감시제어"/>
      <sheetName val="목차임시"/>
      <sheetName val="견적대비"/>
      <sheetName val="시설물일위"/>
      <sheetName val="계수시트"/>
      <sheetName val="단가대비표"/>
      <sheetName val="CABdata"/>
      <sheetName val="일반수량집계표"/>
      <sheetName val="횡분배정리(DB)"/>
      <sheetName val="직재"/>
      <sheetName val="ASP"/>
      <sheetName val="BLOCK(1)"/>
      <sheetName val="대,유,램"/>
      <sheetName val="단가산출1"/>
      <sheetName val="Sheet3"/>
      <sheetName val="3_하중산정4_지지력"/>
      <sheetName val="_견적서"/>
      <sheetName val="설산1_나"/>
      <sheetName val="일반맨홀수량집계(A-7_LINE)"/>
      <sheetName val="b_balju_(2)"/>
      <sheetName val="2F_회의실견적(5_14_일대)1"/>
      <sheetName val="3_하중산정4_지지력1"/>
      <sheetName val="3BL공동구_수량1"/>
      <sheetName val="_견적서1"/>
      <sheetName val="설산1_나1"/>
      <sheetName val="일반맨홀수량집계(A-7_LINE)1"/>
      <sheetName val="b_balju_(2)1"/>
      <sheetName val="단가표_"/>
      <sheetName val="영업_일1"/>
      <sheetName val="BSD_(2)"/>
      <sheetName val="BEND_LOSS"/>
      <sheetName val="1_우편집중내역서"/>
      <sheetName val="06-BATCH_"/>
      <sheetName val="RING_WALL"/>
      <sheetName val="허용전류-IEC_DATA"/>
      <sheetName val="ITB_COST"/>
      <sheetName val="P_M_별"/>
      <sheetName val="남양시작동자105노65기1_3화1_2"/>
      <sheetName val="Sheet1_(2)"/>
      <sheetName val="2_냉난방설비공사"/>
      <sheetName val="별표"/>
      <sheetName val="wall"/>
      <sheetName val="내역(입찰)"/>
      <sheetName val="별표집계"/>
      <sheetName val="식재인부"/>
      <sheetName val="견적대비표"/>
      <sheetName val="말뚝물량"/>
      <sheetName val="부표총괄"/>
      <sheetName val="품셈1-17"/>
      <sheetName val="사급자재"/>
      <sheetName val="특별교실"/>
      <sheetName val="Mc1"/>
      <sheetName val="Facility Information"/>
      <sheetName val="General"/>
      <sheetName val="Instructions"/>
      <sheetName val="People"/>
      <sheetName val="Quality"/>
      <sheetName val="Risk"/>
      <sheetName val="Training"/>
      <sheetName val="부대비율"/>
      <sheetName val="단"/>
      <sheetName val="단가일람"/>
      <sheetName val="송라터널총괄"/>
      <sheetName val="PRE"/>
      <sheetName val="PLCAL"/>
      <sheetName val="경비_원본"/>
      <sheetName val="설비내역서"/>
      <sheetName val="건축내역서"/>
      <sheetName val="전기내역서"/>
      <sheetName val="전체"/>
      <sheetName val="근고 블록 유형별 수량"/>
      <sheetName val="2000.05"/>
      <sheetName val="내역서form"/>
      <sheetName val="항목별"/>
      <sheetName val="합천내역"/>
      <sheetName val="내외국인총괄"/>
      <sheetName val="주관사업"/>
      <sheetName val="Sheet6"/>
      <sheetName val="지중자재단가"/>
      <sheetName val="UserData"/>
      <sheetName val="11.단가비교표_"/>
      <sheetName val="16.기계경비산출내역_"/>
      <sheetName val="리터팬내장형"/>
      <sheetName val="0"/>
      <sheetName val="가압장(토목)"/>
      <sheetName val="단면치수"/>
      <sheetName val="기본"/>
      <sheetName val="CABLE SIZE-3"/>
      <sheetName val="06 일위대가목록"/>
      <sheetName val="토공대가"/>
      <sheetName val="구조대가"/>
      <sheetName val="포설대가1"/>
      <sheetName val="부대대가"/>
      <sheetName val="공통자료"/>
      <sheetName val="참조"/>
      <sheetName val="모래운반"/>
      <sheetName val="타공종이기"/>
      <sheetName val="대전-교대(A1-A2)"/>
      <sheetName val="수량산출내역1115"/>
      <sheetName val="공사비증감"/>
      <sheetName val="입출재고현황 (2)"/>
      <sheetName val="토공연장"/>
      <sheetName val="배"/>
      <sheetName val="5지구단위"/>
      <sheetName val="각종양식"/>
      <sheetName val="터파기및재료"/>
      <sheetName val="골재산출"/>
      <sheetName val="자재대"/>
      <sheetName val="설비"/>
      <sheetName val="협조전"/>
      <sheetName val="세부내역(직접인건비)"/>
      <sheetName val="F-Assump"/>
      <sheetName val="흄관기초"/>
      <sheetName val="점수계산1-2"/>
      <sheetName val="재집"/>
      <sheetName val="dg"/>
      <sheetName val="IMPEADENCE MAP 취수장"/>
      <sheetName val="PAINT"/>
      <sheetName val="손익분석"/>
      <sheetName val="인건-측정"/>
      <sheetName val="차수"/>
      <sheetName val="인건비"/>
      <sheetName val="자재단가"/>
      <sheetName val="기타 정보통신공사"/>
      <sheetName val="원가입력"/>
      <sheetName val="CAL."/>
      <sheetName val="건설노임"/>
      <sheetName val="집수정"/>
      <sheetName val="토공총괄표"/>
      <sheetName val="교각1(좌)"/>
      <sheetName val="소모"/>
      <sheetName val="재료집계"/>
      <sheetName val="2F È¸ÀÇ½Ç°ßÀû(5_14 ÀÏ´ë)"/>
      <sheetName val="À»"/>
      <sheetName val="ÀÏÀ§´ë°¡"/>
      <sheetName val="´Ü¸é°¡Á¤"/>
      <sheetName val="Á÷°øºñ"/>
      <sheetName val="³»¿ª¼­"/>
      <sheetName val="Á÷³ë"/>
      <sheetName val="°èÈ­¹è¼ö"/>
      <sheetName val="IìéÚõÝï"/>
      <sheetName val="1¿ù"/>
      <sheetName val="Á¤º¸¸ÅÃ¼Aµ¿"/>
      <sheetName val="±âº»´Ü°¡Ç¥"/>
      <sheetName val="20°ü¸®ºñÀ²"/>
      <sheetName val="Æò°¡µ¥ÀÌÅÍ"/>
      <sheetName val="³¯°³º®(½ÃÁ¡ÁÂÃø)"/>
      <sheetName val="Á¤ºÎ³ëÀÓ´Ü°¡"/>
      <sheetName val="°øÅë°¡¼³"/>
      <sheetName val="ÀÏÀ§´ë°¡¸ñÂ÷"/>
      <sheetName val="¸ÇÈ¦¼ö·®Áý°è"/>
      <sheetName val="¹°·®»êÃâ±Ù°Å"/>
      <sheetName val="°ø»ç°³¿ä"/>
      <sheetName val="TB-³»¿ª¼­"/>
      <sheetName val="INPUT(´öµµ¹æÇâ-½ÃÁ¡)"/>
      <sheetName val="³»¿ª"/>
      <sheetName val="Åä¸ñ³»¿ª"/>
      <sheetName val="3BL°øµ¿±¸ ¼ö·®"/>
      <sheetName val="ÀÏÀ§´ë°¡Ç¥"/>
      <sheetName val="±³°¢°è»ê"/>
      <sheetName val="±âµÕ(¿øÇü)"/>
      <sheetName val="Åä°ø"/>
      <sheetName val="Áý°èÇ¥"/>
      <sheetName val="ÀÏ¹Ý¹°ÀÚ(ÇÑ±¹Åë½Å)"/>
      <sheetName val="3.ÇÏÁß»êÁ¤4.ÁöÁö·Â"/>
      <sheetName val="°ø»çºñ¸í¼¼¼­"/>
      <sheetName val="Æ÷ÀåÀý´Ü"/>
      <sheetName val="Àü±â"/>
      <sheetName val="¿¬·ÉÇöÈ²"/>
      <sheetName val="¿­¸°±³½Ç"/>
      <sheetName val="버스운행안내"/>
      <sheetName val="예방접종계획"/>
      <sheetName val="근태계획서"/>
      <sheetName val="계단수량집계"/>
      <sheetName val="Macro(전선)"/>
      <sheetName val="기둥(하중)"/>
      <sheetName val="간접재료비산출표-27-30"/>
      <sheetName val="약품공급2"/>
      <sheetName val="개요"/>
      <sheetName val="심사계산"/>
      <sheetName val="심사물량"/>
      <sheetName val="갑지"/>
      <sheetName val="재1"/>
      <sheetName val="MATRLDATA"/>
      <sheetName val="견적"/>
      <sheetName val="Baby일위대가"/>
      <sheetName val="공종별 집계"/>
      <sheetName val="석축단"/>
      <sheetName val="법면수집"/>
      <sheetName val="석축설면"/>
      <sheetName val="법면단"/>
      <sheetName val="LABTOTAL"/>
      <sheetName val="견"/>
      <sheetName val="DESIGN"/>
      <sheetName val="파일의이용"/>
      <sheetName val="1공구 건정토건 토공"/>
      <sheetName val="예산M12A"/>
      <sheetName val="준검 내역서"/>
      <sheetName val="매장-시행견적"/>
      <sheetName val="조직"/>
      <sheetName val="수리결과"/>
      <sheetName val="BS Prior"/>
      <sheetName val="Threshold Table"/>
      <sheetName val="sum"/>
      <sheetName val="재료-CODE"/>
      <sheetName val="내역_FILE"/>
      <sheetName val="9.2단가산출서"/>
      <sheetName val="손료"/>
      <sheetName val="archi(본사)"/>
      <sheetName val="이토변실제원"/>
      <sheetName val="가정단면"/>
      <sheetName val="관리비"/>
      <sheetName val="Parts"/>
      <sheetName val="Menu A"/>
      <sheetName val="98수문일위"/>
      <sheetName val="Proposal"/>
      <sheetName val="plan&amp;section of foundation"/>
      <sheetName val="전신환매도율"/>
    </sheetNames>
    <sheetDataSet>
      <sheetData sheetId="0">
        <row r="3">
          <cell r="A3" t="str">
            <v>t0001</v>
          </cell>
        </row>
      </sheetData>
      <sheetData sheetId="1" refreshError="1"/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-RMIL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단가"/>
      <sheetName val="공사표지"/>
      <sheetName val="품산출서"/>
      <sheetName val="물가비교표"/>
      <sheetName val="설계명세서"/>
      <sheetName val="터파기량집계"/>
      <sheetName val="터파기(차도)"/>
      <sheetName val="핸드홀맨홀부표"/>
      <sheetName val="작업부산물"/>
      <sheetName val="공사비예산서"/>
      <sheetName val="공사설명서"/>
      <sheetName val="공사계획서"/>
      <sheetName val="수량산출서"/>
      <sheetName val="Sheet11"/>
      <sheetName val="Sheet12"/>
      <sheetName val="Sheet14"/>
      <sheetName val="Sheet15"/>
      <sheetName val="Sheet16"/>
      <sheetName val="Module4"/>
      <sheetName val="Module5"/>
      <sheetName val="실행철강하도"/>
      <sheetName val="data"/>
      <sheetName val="남부산SS"/>
      <sheetName val="Sheet1"/>
      <sheetName val="부하계산서"/>
      <sheetName val="조도계산서 (도서)"/>
      <sheetName val="일위대가"/>
      <sheetName val="단가비교표"/>
    </sheetNames>
    <definedNames>
      <definedName name="KYNGSAD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표지"/>
      <sheetName val="미금OPGW"/>
      <sheetName val="MOTOR"/>
      <sheetName val="ITEM"/>
      <sheetName val="일위대가-1"/>
      <sheetName val="데이타"/>
      <sheetName val="DATA"/>
    </sheetNames>
    <definedNames>
      <definedName name="KYNGSAY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NIT-QT"/>
    </sheetNames>
    <definedNames>
      <definedName name="Macro1"/>
      <definedName name="Macro11"/>
      <definedName name="Macro3"/>
      <definedName name="Macro4"/>
    </definedNames>
    <sheetDataSet>
      <sheetData sheetId="0">
        <row r="4">
          <cell r="A4" t="str">
            <v>A</v>
          </cell>
          <cell r="B4">
            <v>3000</v>
          </cell>
          <cell r="C4">
            <v>1500</v>
          </cell>
          <cell r="D4">
            <v>1800</v>
          </cell>
          <cell r="E4">
            <v>634.54</v>
          </cell>
          <cell r="F4">
            <v>141</v>
          </cell>
          <cell r="G4">
            <v>20.8</v>
          </cell>
        </row>
        <row r="5">
          <cell r="A5" t="str">
            <v>B</v>
          </cell>
          <cell r="B5">
            <v>3000</v>
          </cell>
          <cell r="C5">
            <v>2400</v>
          </cell>
          <cell r="D5">
            <v>1800</v>
          </cell>
          <cell r="E5">
            <v>705.14</v>
          </cell>
          <cell r="F5">
            <v>274.27999999999997</v>
          </cell>
          <cell r="G5">
            <v>102.24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(한양)"/>
      <sheetName val="일반관리비비율산출표"/>
      <sheetName val="일반관리및이윤율"/>
      <sheetName val="손익계산서(한양)"/>
      <sheetName val="제조원가명세서(한양)"/>
      <sheetName val="일위대가"/>
      <sheetName val="단가비교표"/>
      <sheetName val="노임단가"/>
      <sheetName val="일반문틀 설치"/>
      <sheetName val="샌딩 에폭시 도장"/>
      <sheetName val="스텐문틀설치"/>
      <sheetName val="일위대가표"/>
      <sheetName val="공사원가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1"/>
      <sheetName val="NOMUBI"/>
      <sheetName val="sheet1"/>
      <sheetName val="2공구산출내역"/>
      <sheetName val="일위대가"/>
      <sheetName val="단가"/>
      <sheetName val="1,2공구원가계산서"/>
      <sheetName val="일위대가(1)"/>
      <sheetName val="1공구산출내역서"/>
      <sheetName val="2차기성"/>
      <sheetName val="제직재"/>
      <sheetName val="설직재-1"/>
      <sheetName val="WORK"/>
      <sheetName val="조명율표"/>
      <sheetName val="1단계"/>
      <sheetName val="터파기및재료"/>
      <sheetName val="관급"/>
      <sheetName val="#REF"/>
      <sheetName val="산수배수"/>
      <sheetName val="자재단가"/>
      <sheetName val="단가조사서"/>
      <sheetName val="약품공급2"/>
      <sheetName val="화재 탐지 설비"/>
      <sheetName val="원가계산서"/>
      <sheetName val="(당평)자재"/>
      <sheetName val="당초명세(평)"/>
      <sheetName val="도장"/>
      <sheetName val="투자효율분석"/>
      <sheetName val="내역서 "/>
      <sheetName val="약품설비"/>
      <sheetName val="밸브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관내역"/>
    </sheetNames>
    <sheetDataSet>
      <sheetData sheetId="0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명세서"/>
      <sheetName val="공사표지"/>
      <sheetName val="노임단가"/>
      <sheetName val="품산출서"/>
      <sheetName val="지입자재단가"/>
      <sheetName val="9809-9909노임"/>
      <sheetName val="9909노임"/>
      <sheetName val="9901노임"/>
      <sheetName val="노임단가표"/>
      <sheetName val="xxxxxx"/>
      <sheetName val="설명서"/>
      <sheetName val="공종"/>
      <sheetName val="회선설계서"/>
      <sheetName val="울연기별"/>
      <sheetName val="본사자재"/>
      <sheetName val="OPG일위"/>
      <sheetName val="운반비집계"/>
      <sheetName val="공사계획서"/>
      <sheetName val="드럼조장"/>
      <sheetName val="발받침"/>
      <sheetName val="발받침 (2)"/>
      <sheetName val="정산"/>
      <sheetName val="준공검사"/>
      <sheetName val="세부공정"/>
      <sheetName val="공정표"/>
      <sheetName val="목차"/>
      <sheetName val="설계"/>
      <sheetName val="예산서"/>
      <sheetName val="공사비총괄표"/>
      <sheetName val="자재집결소"/>
      <sheetName val="측정기"/>
      <sheetName val="운반거리집계"/>
      <sheetName val="운반비"/>
      <sheetName val="가선장비"/>
      <sheetName val="발전기"/>
      <sheetName val="기타내역"/>
      <sheetName val="제경비 산출"/>
      <sheetName val="산출적용근거"/>
      <sheetName val="Sheet1"/>
      <sheetName val="개략도"/>
      <sheetName val="하조서"/>
      <sheetName val="단가"/>
      <sheetName val="OPGW기별"/>
      <sheetName val="고신북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품셈TABLE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전선 및 전선관"/>
      <sheetName val="20관리비율"/>
      <sheetName val="일위대가"/>
      <sheetName val="노무비단가"/>
      <sheetName val="내역1"/>
      <sheetName val="중기사용료"/>
      <sheetName val="시설물일위"/>
      <sheetName val="내역서"/>
      <sheetName val="옥외 전력간선공사"/>
      <sheetName val="경율산정.XLS"/>
      <sheetName val="#REF"/>
      <sheetName val="공조기휀"/>
      <sheetName val="N賃率_職"/>
      <sheetName val="노임단가"/>
      <sheetName val="노무비"/>
      <sheetName val="노임"/>
      <sheetName val="동원(3)"/>
      <sheetName val="화해(함평)"/>
      <sheetName val="화해(장성)"/>
      <sheetName val="제작비추산총괄표"/>
      <sheetName val="b_balju_cho"/>
      <sheetName val="수량산출1"/>
      <sheetName val="자재단가표"/>
      <sheetName val="일위대가(가설)"/>
      <sheetName val="내역"/>
      <sheetName val="C-직노1"/>
      <sheetName val="집계"/>
      <sheetName val="Baby일위대가"/>
      <sheetName val="중기일위대가"/>
      <sheetName val="토공"/>
      <sheetName val="인부임"/>
      <sheetName val="산경"/>
      <sheetName val="순공사비"/>
      <sheetName val="단가조사"/>
      <sheetName val="단"/>
      <sheetName val="전기공사일위대가"/>
      <sheetName val="KCS-CA"/>
      <sheetName val="새공통"/>
      <sheetName val="공사원가계산서"/>
      <sheetName val="직노"/>
      <sheetName val="을-ATYPE"/>
      <sheetName val="다곡2교"/>
      <sheetName val="DATE"/>
      <sheetName val="조건표"/>
      <sheetName val="날개벽수량표"/>
      <sheetName val="원형맨홀수량"/>
      <sheetName val="이토변실"/>
      <sheetName val="문산"/>
      <sheetName val="을지"/>
      <sheetName val="Sheet1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총괄표"/>
      <sheetName val="Data"/>
      <sheetName val="지급자재"/>
      <sheetName val="공통가설"/>
      <sheetName val="샌딩 에폭시 도장"/>
      <sheetName val="일반문틀 설치"/>
      <sheetName val="총괄내역서"/>
      <sheetName val="수량산출"/>
      <sheetName val="일위대가목록"/>
      <sheetName val="교각1"/>
      <sheetName val="유림골조"/>
      <sheetName val="기본일위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96노임기준"/>
      <sheetName val="CTEMCOST"/>
      <sheetName val="차액보증"/>
      <sheetName val="인사자료총집계"/>
      <sheetName val="WATER"/>
      <sheetName val="차도부연장현황"/>
      <sheetName val="2.수량조서(발주용)"/>
      <sheetName val="Galaxy 소비자가격표"/>
      <sheetName val="6PILE  (돌출)"/>
      <sheetName val="목록"/>
      <sheetName val="공종별수량집계"/>
      <sheetName val="담장산출"/>
      <sheetName val="70%"/>
      <sheetName val="단위수량"/>
      <sheetName val="견적"/>
      <sheetName val="P&amp;L(Ahn)"/>
      <sheetName val="포장공"/>
      <sheetName val="배수공"/>
      <sheetName val="약전설비"/>
      <sheetName val="업체명"/>
      <sheetName val="관리"/>
      <sheetName val="절감효과"/>
      <sheetName val="설계예시"/>
      <sheetName val="간접비총괄 (2)"/>
      <sheetName val="구조물공"/>
      <sheetName val="부대공"/>
      <sheetName val="적현로"/>
      <sheetName val="아파트"/>
      <sheetName val="EQT-ESTN"/>
      <sheetName val="중기사용료산출근거"/>
      <sheetName val="단가 및 재료비"/>
      <sheetName val="소비자가"/>
      <sheetName val="설직재-1"/>
      <sheetName val="B1(반포1차)"/>
      <sheetName val="기술부 VENDOR LIST"/>
      <sheetName val="D-경비1"/>
      <sheetName val="건축내역"/>
      <sheetName val="원가계산서"/>
      <sheetName val="일위목록"/>
      <sheetName val="1차설계변경내역"/>
      <sheetName val="8.수량산출서"/>
      <sheetName val="9.단가조사서"/>
      <sheetName val="6.일위목록"/>
      <sheetName val="증감대비"/>
      <sheetName val="단위단가"/>
      <sheetName val="전기"/>
      <sheetName val="요율"/>
      <sheetName val="하도관리"/>
      <sheetName val="확약서"/>
      <sheetName val="000000"/>
      <sheetName val="Sheet9"/>
      <sheetName val="건축-물가변동"/>
      <sheetName val="퇴직영수증"/>
      <sheetName val="COST"/>
      <sheetName val="Sheet4"/>
      <sheetName val="을_ATYPE"/>
      <sheetName val="견적서"/>
      <sheetName val="합천내역"/>
      <sheetName val="guard(mac)"/>
      <sheetName val="조명시설"/>
      <sheetName val="인건비"/>
      <sheetName val="아파트_9"/>
      <sheetName val="대목"/>
      <sheetName val="정부노임단가"/>
      <sheetName val="4. 자재단가비교표"/>
      <sheetName val="4. 일위대가"/>
      <sheetName val="일위대가표(유단가)"/>
      <sheetName val="노임단가(일반)"/>
      <sheetName val="전기일위대가"/>
      <sheetName val="시설물기초"/>
      <sheetName val="단1"/>
      <sheetName val="내역서(실)"/>
      <sheetName val="단가산출"/>
      <sheetName val="경산"/>
      <sheetName val="변압기 및 발전기 용량"/>
      <sheetName val="5사남"/>
      <sheetName val="dt0301"/>
      <sheetName val="dtt0301"/>
      <sheetName val="지수"/>
      <sheetName val="갑지(추정)"/>
      <sheetName val="Sheet5"/>
      <sheetName val="FACTOR"/>
      <sheetName val="소화설비"/>
      <sheetName val="가설대가"/>
      <sheetName val="토공대가"/>
      <sheetName val="구조대가"/>
      <sheetName val="포설대가1"/>
      <sheetName val="부대대가"/>
      <sheetName val="공정집계_국별"/>
      <sheetName val="MOKDONG(1)"/>
      <sheetName val="준검 내역서"/>
      <sheetName val="설계명세서"/>
      <sheetName val="Sheet3"/>
      <sheetName val="대구-교대(A1)"/>
      <sheetName val="기존단가 (2)"/>
      <sheetName val="자료입력"/>
      <sheetName val="예산명세서"/>
      <sheetName val="시행후면적"/>
      <sheetName val="일위대가표"/>
      <sheetName val="工관리비율"/>
      <sheetName val="工완성공사율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해창정"/>
      <sheetName val="기본단가표"/>
      <sheetName val="기계설비"/>
      <sheetName val="(변경계약)총괄내역"/>
      <sheetName val="설계내역서"/>
      <sheetName val="공사개요"/>
      <sheetName val="대전-교대(A1-A2)"/>
      <sheetName val="Total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설계내역2"/>
      <sheetName val="기초단가"/>
      <sheetName val="설계내역(2001)"/>
      <sheetName val="원가_(2)1"/>
      <sheetName val="전선_및_전선관1"/>
      <sheetName val="아스콘포장 (5t)"/>
      <sheetName val="사용성검토"/>
      <sheetName val="4)유동표"/>
      <sheetName val="ABUT수량-A1"/>
      <sheetName val="POL6차-PIPING"/>
      <sheetName val="시공변경 설명서"/>
      <sheetName val="공사비증감내역"/>
      <sheetName val="변경조서"/>
      <sheetName val="362품셈"/>
      <sheetName val="Sheet2"/>
      <sheetName val="수량산출서"/>
      <sheetName val="1호철근량"/>
      <sheetName val="1. 설계조건 2.단면가정 3. 하중계산"/>
      <sheetName val="DATA 입력란"/>
      <sheetName val="수공기"/>
      <sheetName val="중기"/>
      <sheetName val="CAUDIT"/>
      <sheetName val="토적계산"/>
      <sheetName val="목차"/>
      <sheetName val="수지예산"/>
      <sheetName val="전선"/>
      <sheetName val="CABLE"/>
      <sheetName val="마포토정"/>
      <sheetName val="10월"/>
      <sheetName val="신천3호용수로"/>
      <sheetName val="2공구산출내역"/>
      <sheetName val="식재일위대가"/>
      <sheetName val="실행대비"/>
      <sheetName val="패널"/>
      <sheetName val="광양방향"/>
      <sheetName val="BOX전기내역"/>
      <sheetName val="물가자료"/>
      <sheetName val="기자재비"/>
      <sheetName val="노임이"/>
      <sheetName val="공예을"/>
      <sheetName val="골조시행"/>
      <sheetName val="45,46"/>
      <sheetName val="사업성분석"/>
      <sheetName val="실행내역"/>
      <sheetName val="백호우계수"/>
      <sheetName val="총괄갑 "/>
      <sheetName val="99년신청"/>
      <sheetName val="표준내역"/>
      <sheetName val="대운산출"/>
      <sheetName val="SANTOGO"/>
      <sheetName val="SANBAISU"/>
      <sheetName val="날개벽"/>
      <sheetName val="계림(함평)"/>
      <sheetName val="계림(장성)"/>
      <sheetName val="상부수량집계표"/>
      <sheetName val="비탈면보호공수량산출"/>
      <sheetName val="수목표준대가"/>
      <sheetName val="(A)내역서"/>
      <sheetName val="내역단위"/>
      <sheetName val="woo(mac)"/>
      <sheetName val="갑지"/>
      <sheetName val="집계표"/>
      <sheetName val="포승(S+H)"/>
      <sheetName val="포승(SHEET)"/>
      <sheetName val="기성내역서"/>
      <sheetName val="변경내역서"/>
      <sheetName val="인건-측정"/>
      <sheetName val="횡배수관집현황(2공구)"/>
      <sheetName val="환율"/>
      <sheetName val="내역서1999.8최종"/>
      <sheetName val="b_balju-단가단가단가"/>
      <sheetName val="6호기"/>
      <sheetName val="방식총괄"/>
      <sheetName val="단가목록"/>
      <sheetName val="내역을"/>
      <sheetName val="건축"/>
      <sheetName val="을"/>
      <sheetName val="금융비용"/>
      <sheetName val="ERL_TBL"/>
      <sheetName val="펀칭"/>
      <sheetName val="EXPENSE"/>
      <sheetName val="물량"/>
      <sheetName val="COVER"/>
      <sheetName val="내역서2안"/>
      <sheetName val="건축공사실행"/>
      <sheetName val="건축원가"/>
      <sheetName val="7.수지"/>
      <sheetName val="estimate(TOTAL) (2)"/>
      <sheetName val="estimate"/>
      <sheetName val="기계실"/>
      <sheetName val="b_sul"/>
      <sheetName val="전체"/>
      <sheetName val="기기리스트"/>
      <sheetName val="8.PILE  (돌출)"/>
      <sheetName val="입찰안"/>
      <sheetName val="전국현황"/>
      <sheetName val="MOTOR"/>
      <sheetName val="일위대가(출입)"/>
      <sheetName val="sw1"/>
      <sheetName val="JUCK"/>
      <sheetName val="부대내역"/>
      <sheetName val="모래기초"/>
      <sheetName val="산근"/>
      <sheetName val="도급내역(금차분)"/>
      <sheetName val="메서,변+증"/>
      <sheetName val="DATA1"/>
      <sheetName val="노임변동률"/>
      <sheetName val="OPGW기별"/>
      <sheetName val="별첨1-4"/>
      <sheetName val="이천변압기운반비"/>
      <sheetName val="지시서"/>
      <sheetName val="아파트건축"/>
      <sheetName val="Sheet13"/>
      <sheetName val="배전KT"/>
      <sheetName val="성서방향-교대(A2)"/>
      <sheetName val="부하계산서"/>
      <sheetName val="도로단위당"/>
      <sheetName val="내역서(기성청구)"/>
      <sheetName val="원형1호맨홀토공수량"/>
      <sheetName val="상행-교대(A1-A2)"/>
      <sheetName val="I.설계조건"/>
      <sheetName val="경율산정"/>
      <sheetName val="투찰가"/>
      <sheetName val="평균높이산출근거"/>
      <sheetName val="횡배수관위치조서"/>
      <sheetName val="자재집계"/>
      <sheetName val="9GNG운반"/>
      <sheetName val="3.건축(현장안)"/>
      <sheetName val="3F"/>
      <sheetName val="기별"/>
      <sheetName val="단가명령서"/>
      <sheetName val="3"/>
      <sheetName val="대창(장성)"/>
      <sheetName val="대창(함평)-창열"/>
      <sheetName val="방지책개소별명세"/>
      <sheetName val="설계서(1)"/>
      <sheetName val="실행철강하도"/>
      <sheetName val="계수원본(99.2.28)"/>
      <sheetName val="제품별구성표"/>
      <sheetName val="Sheet1 (2)"/>
      <sheetName val="Macro1"/>
      <sheetName val="Macro3"/>
      <sheetName val="Macro2"/>
      <sheetName val="암거단위"/>
      <sheetName val="역T형"/>
      <sheetName val="토사(PE)"/>
      <sheetName val="시멘트 및 골재량산출"/>
      <sheetName val="신우"/>
      <sheetName val="단가표"/>
      <sheetName val="Y-WORK"/>
      <sheetName val="청천내"/>
      <sheetName val="터파기및재료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하수급견적대비"/>
      <sheetName val="spec1"/>
      <sheetName val="II손익관리"/>
      <sheetName val="산출근거"/>
      <sheetName val="부대시설"/>
      <sheetName val="공문"/>
      <sheetName val="원가계산 (2)"/>
      <sheetName val="마산월령동골조물량변경"/>
      <sheetName val="기계경비(시간당)"/>
      <sheetName val="램머"/>
      <sheetName val="대로근거"/>
      <sheetName val="교대(A1-A2)"/>
      <sheetName val="철거산출근거"/>
      <sheetName val="1-최종안"/>
      <sheetName val="사업분석-분양가결정"/>
      <sheetName val="토목검측서"/>
      <sheetName val="C-노임단가"/>
      <sheetName val="경제성분석"/>
      <sheetName val="급여대장출력"/>
      <sheetName val="인원계획-미화"/>
      <sheetName val="자재단가"/>
      <sheetName val="asd"/>
      <sheetName val="1차_내역서"/>
      <sheetName val="8_수량산출서"/>
      <sheetName val="9_단가조사서"/>
      <sheetName val="6_일위목록"/>
      <sheetName val="기존단가_(2)"/>
      <sheetName val="Key Data"/>
      <sheetName val="Tool"/>
      <sheetName val="제2~7호표"/>
      <sheetName val="예산내역서"/>
      <sheetName val="설계예산서"/>
      <sheetName val="PAC"/>
      <sheetName val="실행내역 "/>
      <sheetName val="재료비"/>
      <sheetName val="sst,stl창호"/>
      <sheetName val="돈암사업"/>
      <sheetName val="단면치수"/>
      <sheetName val="명단"/>
      <sheetName val="손익현황"/>
      <sheetName val="unit 4"/>
      <sheetName val="시설장비"/>
      <sheetName val="직접경비"/>
      <sheetName val="BOX-1510"/>
      <sheetName val="5Strand-장기처짐PCI"/>
      <sheetName val="도근좌표"/>
      <sheetName val="자재표"/>
      <sheetName val="BEND LOSS"/>
      <sheetName val="설계서"/>
      <sheetName val="결선list"/>
      <sheetName val="백암비스타내역"/>
      <sheetName val="danga"/>
      <sheetName val="ilch"/>
      <sheetName val="기둥(원형)"/>
      <sheetName val="암거공"/>
      <sheetName val="부대집계1"/>
      <sheetName val="가도단위"/>
      <sheetName val="3련 BOX"/>
      <sheetName val="설계조건"/>
      <sheetName val="공비대비"/>
      <sheetName val="건축토목내역"/>
      <sheetName val="A"/>
      <sheetName val="대비"/>
      <sheetName val="제출내역서"/>
      <sheetName val="내역서(실행)"/>
      <sheetName val="내역서 (원본)"/>
      <sheetName val="내역서(실행)3"/>
      <sheetName val="보증금(전신전화가입권)"/>
      <sheetName val="98년BS"/>
      <sheetName val="잉여금"/>
      <sheetName val="(10) 단가산출결과"/>
      <sheetName val="노원열병합  건축공사기성내역서"/>
      <sheetName val="BOX(상시)"/>
      <sheetName val="REINF."/>
      <sheetName val="LOADS"/>
      <sheetName val="말뚝지지력산정"/>
      <sheetName val="산출내역 (월기성)"/>
      <sheetName val="건축기성"/>
      <sheetName val="공량예산"/>
      <sheetName val="PIPE(인수본)"/>
      <sheetName val="기준표"/>
      <sheetName val="국소별수량산출"/>
      <sheetName val="BID"/>
      <sheetName val="물가기준년"/>
      <sheetName val="장비기준"/>
      <sheetName val=""/>
      <sheetName val="물가"/>
      <sheetName val="205동"/>
      <sheetName val="6공구(당초)"/>
      <sheetName val=" FURNACE현설"/>
      <sheetName val="명세서(을)"/>
      <sheetName val="환경기계공정표 (3)"/>
      <sheetName val="combi(wall)"/>
      <sheetName val="수량산출서(보강)"/>
      <sheetName val="중기솔뇨"/>
      <sheetName val="금액내역서"/>
      <sheetName val="개별직종노임단가(2002.5)"/>
      <sheetName val="깨기"/>
      <sheetName val="basic_info"/>
      <sheetName val="Macro(차단기)"/>
      <sheetName val="물량표"/>
      <sheetName val="조도계산(1)"/>
      <sheetName val="수량집계"/>
      <sheetName val="내역서 업체견적단가"/>
      <sheetName val="건축일"/>
      <sheetName val="몰운대초견적"/>
      <sheetName val="투찰"/>
      <sheetName val="설계개요"/>
      <sheetName val="DAN"/>
      <sheetName val="4__자재단가비교표"/>
      <sheetName val="4__일위대가"/>
      <sheetName val="준검_내역서"/>
      <sheetName val="변압기_및_발전기_용량"/>
      <sheetName val="업체코드"/>
      <sheetName val="토공집계"/>
      <sheetName val="1.우편집중내역서"/>
      <sheetName val="현장관리비"/>
      <sheetName val="본체"/>
      <sheetName val="보조셀"/>
      <sheetName val="품셈표"/>
      <sheetName val="BM"/>
      <sheetName val="갑지1"/>
      <sheetName val="남양시작동010313100%"/>
      <sheetName val="Option"/>
      <sheetName val="공예율"/>
      <sheetName val="98수문일위"/>
      <sheetName val="종배수관"/>
      <sheetName val="REACTION(USE평시)"/>
      <sheetName val="REACTION(USD지진시)"/>
      <sheetName val="갑1"/>
      <sheetName val="경계석수량집계"/>
      <sheetName val="1.설계조건"/>
      <sheetName val="배관배선내역"/>
      <sheetName val="J"/>
      <sheetName val="대차대조표"/>
      <sheetName val="배수관접합및부설  "/>
      <sheetName val="기계내역"/>
      <sheetName val="조직"/>
      <sheetName val="빗물받이(910-510-410)"/>
      <sheetName val="상세내역서"/>
      <sheetName val="#2-3 일위대가"/>
      <sheetName val="#2-4 단가대비표"/>
      <sheetName val="동원인원"/>
      <sheetName val="자재단가비교표"/>
      <sheetName val="9811"/>
      <sheetName val="금액"/>
      <sheetName val="전기자료"/>
      <sheetName val="Sheet14"/>
      <sheetName val="Sheet10"/>
      <sheetName val="견적990322"/>
      <sheetName val="SAMPLE"/>
      <sheetName val="O＆P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단가산출1"/>
      <sheetName val="가로등기초"/>
      <sheetName val="3CHBDC"/>
      <sheetName val="CON'C"/>
      <sheetName val="1호맨홀토공"/>
      <sheetName val="가로등내역서"/>
      <sheetName val="공조기(삭제)"/>
      <sheetName val="고등학교"/>
      <sheetName val="단가조사서"/>
      <sheetName val="가도공"/>
      <sheetName val="1.설계기준"/>
      <sheetName val="도수로(총)"/>
      <sheetName val="단위량"/>
      <sheetName val="재료집계표2"/>
      <sheetName val="토적집계표"/>
      <sheetName val="제-노임"/>
      <sheetName val="제직재"/>
      <sheetName val="목표세부명세"/>
      <sheetName val="화전내"/>
      <sheetName val="SULKEA"/>
      <sheetName val="공사비산출서"/>
      <sheetName val="우각부보강"/>
      <sheetName val="포장총괄집계표"/>
      <sheetName val="삭제금지단가"/>
      <sheetName val="work"/>
      <sheetName val="단가표 (2)"/>
      <sheetName val="절탄기단관교체공량"/>
      <sheetName val="이종재질교체공량"/>
      <sheetName val="Final SH Loose Tube 교체공량"/>
      <sheetName val="사업부배부A"/>
      <sheetName val="코드"/>
      <sheetName val="정화조동내역"/>
      <sheetName val="심사"/>
      <sheetName val="설계서(8)"/>
      <sheetName val="매출처비중(2)"/>
      <sheetName val="인천제철"/>
      <sheetName val="관리,공감"/>
      <sheetName val="개산공사비"/>
      <sheetName val="간접비"/>
      <sheetName val="안정검토"/>
      <sheetName val="7.PILE  (돌출)"/>
      <sheetName val="샤워실위생"/>
      <sheetName val="2-1. 경관조명 내역총괄표"/>
      <sheetName val="간접"/>
      <sheetName val="수로교총재료집계"/>
      <sheetName val="확산동"/>
      <sheetName val="조건"/>
      <sheetName val="예산"/>
      <sheetName val="2005년6월김문환"/>
      <sheetName val="정산ISSUE(T)"/>
      <sheetName val="영동(D)"/>
      <sheetName val="토목주소"/>
      <sheetName val="배수내역"/>
      <sheetName val="대구은행"/>
      <sheetName val="C.배수관공"/>
      <sheetName val="역T형옹벽(3.0)"/>
      <sheetName val="1안"/>
      <sheetName val="교대(A1)"/>
      <sheetName val="단면가정"/>
      <sheetName val="구조물터파기수량집계"/>
      <sheetName val="배수공 시멘트 및 골재량 산출"/>
      <sheetName val="기준FACTOR"/>
      <sheetName val="H-pile(298x299)"/>
      <sheetName val="H-pile(250x250)"/>
      <sheetName val="덕전리"/>
      <sheetName val="설치조서"/>
      <sheetName val="내역5"/>
      <sheetName val="Customer Databas"/>
      <sheetName val="item"/>
      <sheetName val="B"/>
      <sheetName val="유림콘도"/>
      <sheetName val="가시설수량"/>
      <sheetName val="용산1(해보)"/>
      <sheetName val="9-1차이내역"/>
      <sheetName val="1st"/>
      <sheetName val="간지"/>
      <sheetName val="일위목록표"/>
      <sheetName val="    "/>
      <sheetName val="수량산출서_천안"/>
      <sheetName val="수량산출서_아산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노임단가표"/>
      <sheetName val="   "/>
      <sheetName val="계수"/>
      <sheetName val="용어"/>
      <sheetName val="연습"/>
      <sheetName val="배수공집계표"/>
      <sheetName val="예정공정표"/>
      <sheetName val="프랜트면허"/>
      <sheetName val="YM-IL1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당사수지비교표"/>
      <sheetName val="당사수지"/>
      <sheetName val="120대형 환기량PK-1"/>
      <sheetName val="급수 (LPM)"/>
      <sheetName val="기계공사"/>
      <sheetName val="충주"/>
      <sheetName val="공사내역서"/>
      <sheetName val="노임목록"/>
      <sheetName val="중기목록"/>
      <sheetName val="자재목록"/>
      <sheetName val="조사표"/>
      <sheetName val=" 견적서"/>
      <sheetName val="중동공구"/>
      <sheetName val="횡배수관토공수량"/>
      <sheetName val="3.하중산정4.지지력"/>
      <sheetName val="FAB별"/>
      <sheetName val="front"/>
      <sheetName val="길어깨(현황)"/>
      <sheetName val="ASP"/>
      <sheetName val="물가변동대가세부내역서"/>
      <sheetName val="원가산출근거"/>
      <sheetName val="단가입력창"/>
      <sheetName val="계약내역(갑지)"/>
      <sheetName val="남양시작동자105노65기1.3화1.2"/>
      <sheetName val="실행내역서"/>
      <sheetName val="주요기준"/>
      <sheetName val="대공종"/>
      <sheetName val="국영"/>
      <sheetName val="판가반영"/>
      <sheetName val="6F8"/>
      <sheetName val="구성비"/>
      <sheetName val="賃料等一覧"/>
      <sheetName val="S&amp;R"/>
      <sheetName val="리츠"/>
      <sheetName val="RCF CLAIMED"/>
      <sheetName val="Cost Reduction"/>
      <sheetName val="포장단가"/>
      <sheetName val="품명별원가"/>
      <sheetName val="단가산출서"/>
      <sheetName val="30신설일위대가"/>
      <sheetName val="원가_(2)3"/>
      <sheetName val="전선_및_전선관3"/>
      <sheetName val="옥외_전력간선공사3"/>
      <sheetName val="경율산정_XLS3"/>
      <sheetName val="2_수량조서(발주용)2"/>
      <sheetName val="CT_2"/>
      <sheetName val="간접비총괄_(2)2"/>
      <sheetName val="샌딩_에폭시_도장2"/>
      <sheetName val="일반문틀_설치2"/>
      <sheetName val="6PILE__(돌출)2"/>
      <sheetName val="Galaxy_소비자가격표2"/>
      <sheetName val="기술부_VENDOR_LIST2"/>
      <sheetName val="기존단가_(2)2"/>
      <sheetName val="1차_내역서2"/>
      <sheetName val="8_수량산출서2"/>
      <sheetName val="9_단가조사서2"/>
      <sheetName val="6_일위목록2"/>
      <sheetName val="단가_및_재료비2"/>
      <sheetName val="4__자재단가비교표1"/>
      <sheetName val="4__일위대가1"/>
      <sheetName val="준검_내역서1"/>
      <sheetName val="변압기_및_발전기_용량1"/>
      <sheetName val="8_PILE__(돌출)1"/>
      <sheetName val="estimate(TOTAL)_(2)1"/>
      <sheetName val="7_수지1"/>
      <sheetName val="시공변경_설명서1"/>
      <sheetName val="아스콘포장_(5t)1"/>
      <sheetName val="총괄갑_1"/>
      <sheetName val="원가계산_(2)1"/>
      <sheetName val="계수원본(99_2_28)2"/>
      <sheetName val="실행내역_1"/>
      <sheetName val="Key_Data1"/>
      <sheetName val="unit_41"/>
      <sheetName val="Sheet1_(2)1"/>
      <sheetName val="3_건축(현장안)"/>
      <sheetName val="내역서_(원본)"/>
      <sheetName val="내역서1999_8최종1"/>
      <sheetName val="노원열병합__건축공사기성내역서"/>
      <sheetName val="BEND_LOSS"/>
      <sheetName val="(10)_단가산출결과"/>
      <sheetName val="산출내역_(월기성)"/>
      <sheetName val="_FURNACE현설"/>
      <sheetName val="환경기계공정표_(3)"/>
      <sheetName val="I_설계조건"/>
      <sheetName val="1_우편집중내역서"/>
      <sheetName val="3련_BOX"/>
      <sheetName val="1__설계조건_2_단면가정_3__하중계산1"/>
      <sheetName val="DATA_입력란1"/>
      <sheetName val="#2-3_일위대가"/>
      <sheetName val="#2-4_단가대비표"/>
      <sheetName val="내역서_업체견적단가"/>
      <sheetName val="REINF_"/>
      <sheetName val="Final_SH_Loose_Tube_교체공량"/>
      <sheetName val="배수관접합및부설__"/>
      <sheetName val="개별직종노임단가(2002_5)"/>
      <sheetName val="Customer_Databas"/>
      <sheetName val="시멘트_및_골재량산출"/>
      <sheetName val="단가표_(2)"/>
      <sheetName val="1_설계조건"/>
      <sheetName val="1_설계기준"/>
      <sheetName val="____"/>
      <sheetName val="기계경비손료_및_운전경비_산출"/>
      <sheetName val="기계경비_손료_및_운전경비_산출기준"/>
      <sheetName val="___"/>
      <sheetName val="2-1__경관조명_내역총괄표"/>
      <sheetName val="RCF_CLAIMED"/>
      <sheetName val="2004일위대가"/>
      <sheetName val="연장및면적(좌측)"/>
      <sheetName val="맨홀"/>
      <sheetName val="대가목록"/>
      <sheetName val="참고"/>
      <sheetName val="표지 (2)"/>
      <sheetName val="데리네이타현황"/>
      <sheetName val="각사별공사비분개 "/>
      <sheetName val="노임,기계단가"/>
      <sheetName val="산출내역서"/>
      <sheetName val="집계표(육상)"/>
      <sheetName val="암거"/>
      <sheetName val="대여현황"/>
      <sheetName val="노임9월"/>
      <sheetName val="NYS"/>
      <sheetName val="HVAC"/>
      <sheetName val="BM_NEW2"/>
      <sheetName val="토공유동표"/>
      <sheetName val="Earthwork"/>
      <sheetName val="데이타"/>
      <sheetName val="특판제외"/>
      <sheetName val="특수선일위대가"/>
      <sheetName val="특별교실"/>
      <sheetName val="냉천부속동"/>
      <sheetName val="장비 (2)"/>
      <sheetName val="4품목조정률"/>
      <sheetName val="할증 "/>
      <sheetName val="[N賃率-職.xls]B__OFFICE____N_____3"/>
      <sheetName val="[N賃率-職.xls]B__OFFICE____N_____2"/>
      <sheetName val="물가시세"/>
      <sheetName val="Sheet15"/>
      <sheetName val="관로수량산출집계"/>
      <sheetName val="한전수탁공사비내역서"/>
      <sheetName val="pldt"/>
      <sheetName val="표지"/>
      <sheetName val="설계서표지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심사계산"/>
      <sheetName val="심사물량"/>
      <sheetName val="각입중량산출서"/>
      <sheetName val="입찰보고"/>
      <sheetName val="효성CB 1P기초"/>
      <sheetName val="DBL LPG시험"/>
      <sheetName val="현장경상비"/>
      <sheetName val="공정량산출내역서 "/>
      <sheetName val="중기단가산출근거"/>
      <sheetName val="일용노임단가2001상"/>
      <sheetName val="Quantity"/>
      <sheetName val="계산근거"/>
      <sheetName val="조명일위"/>
      <sheetName val="주관사업"/>
      <sheetName val="가시설단위수량"/>
      <sheetName val="소업1교"/>
      <sheetName val="원가_(2)4"/>
      <sheetName val="전선_및_전선관4"/>
      <sheetName val="옥외_전력간선공사4"/>
      <sheetName val="경율산정_XLS4"/>
      <sheetName val="2_수량조서(발주용)3"/>
      <sheetName val="CT_3"/>
      <sheetName val="간접비총괄_(2)3"/>
      <sheetName val="기존단가_(2)3"/>
      <sheetName val="샌딩_에폭시_도장3"/>
      <sheetName val="일반문틀_설치3"/>
      <sheetName val="1차_내역서3"/>
      <sheetName val="6PILE__(돌출)3"/>
      <sheetName val="Galaxy_소비자가격표3"/>
      <sheetName val="기술부_VENDOR_LIST3"/>
      <sheetName val="8_수량산출서3"/>
      <sheetName val="9_단가조사서3"/>
      <sheetName val="6_일위목록3"/>
      <sheetName val="단가_및_재료비3"/>
      <sheetName val="4__자재단가비교표2"/>
      <sheetName val="4__일위대가2"/>
      <sheetName val="변압기_및_발전기_용량2"/>
      <sheetName val="준검_내역서2"/>
      <sheetName val="7_수지2"/>
      <sheetName val="8_PILE__(돌출)2"/>
      <sheetName val="원가계산_(2)2"/>
      <sheetName val="계수원본(99_2_28)3"/>
      <sheetName val="estimate(TOTAL)_(2)2"/>
      <sheetName val="시공변경_설명서2"/>
      <sheetName val="아스콘포장_(5t)2"/>
      <sheetName val="총괄갑_2"/>
      <sheetName val="실행내역_2"/>
      <sheetName val="Key_Data2"/>
      <sheetName val="내역서1999_8최종2"/>
      <sheetName val="unit_42"/>
      <sheetName val="Sheet1_(2)2"/>
      <sheetName val="3_건축(현장안)1"/>
      <sheetName val="(10)_단가산출결과1"/>
      <sheetName val="노원열병합__건축공사기성내역서1"/>
      <sheetName val="내역서_(원본)1"/>
      <sheetName val="3련_BOX1"/>
      <sheetName val="산출내역_(월기성)1"/>
      <sheetName val="BEND_LOSS1"/>
      <sheetName val="_FURNACE현설1"/>
      <sheetName val="환경기계공정표_(3)1"/>
      <sheetName val="I_설계조건1"/>
      <sheetName val="1_우편집중내역서1"/>
      <sheetName val="1__설계조건_2_단면가정_3__하중계산2"/>
      <sheetName val="DATA_입력란2"/>
      <sheetName val="#2-3_일위대가1"/>
      <sheetName val="#2-4_단가대비표1"/>
      <sheetName val="내역서_업체견적단가1"/>
      <sheetName val="REINF_1"/>
      <sheetName val="Final_SH_Loose_Tube_교체공량1"/>
      <sheetName val="배수관접합및부설__1"/>
      <sheetName val="시멘트_및_골재량산출1"/>
      <sheetName val="개별직종노임단가(2002_5)1"/>
      <sheetName val="2-1__경관조명_내역총괄표1"/>
      <sheetName val="1_설계조건1"/>
      <sheetName val="단가표_(2)1"/>
      <sheetName val="Customer_Databas1"/>
      <sheetName val="1_설계기준1"/>
      <sheetName val="____1"/>
      <sheetName val="기계경비손료_및_운전경비_산출1"/>
      <sheetName val="기계경비_손료_및_운전경비_산출기준1"/>
      <sheetName val="___1"/>
      <sheetName val="C_배수관공"/>
      <sheetName val="7_PILE__(돌출)"/>
      <sheetName val="RCF_CLAIMED1"/>
      <sheetName val="Cost_Reduction"/>
      <sheetName val="업무분장"/>
      <sheetName val="C_d"/>
      <sheetName val="차이내역"/>
      <sheetName val="우수"/>
      <sheetName val="SOURCE"/>
      <sheetName val="여과지동"/>
      <sheetName val="기초자료"/>
      <sheetName val="INPUT"/>
      <sheetName val="유림총괄"/>
      <sheetName val="공사예산하조서(O.K)"/>
      <sheetName val="연결관암거"/>
      <sheetName val="산출"/>
      <sheetName val="FRP내역서"/>
      <sheetName val="유통조직현황"/>
      <sheetName val="AHU-701(2)"/>
      <sheetName val="플랜트 설치"/>
      <sheetName val="산출서"/>
      <sheetName val="LH3 동양시스템"/>
      <sheetName val=" 냉각수펌프"/>
      <sheetName val="#2_일위대가목록"/>
      <sheetName val="계수시트"/>
      <sheetName val="중기조종사 단위단가"/>
      <sheetName val="철거공-조경"/>
      <sheetName val="전기변내역"/>
      <sheetName val="토적계산서"/>
      <sheetName val="TYPE1"/>
      <sheetName val="철근량"/>
      <sheetName val="변경내역대비표(2)"/>
      <sheetName val="상세내역,전력산출서"/>
      <sheetName val="매부산출"/>
      <sheetName val="현관"/>
      <sheetName val="저"/>
      <sheetName val="IMPEADENCE MAP 취수장"/>
      <sheetName val="SLAB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>
        <row r="5">
          <cell r="I5">
            <v>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>
        <row r="7">
          <cell r="I7">
            <v>0</v>
          </cell>
        </row>
      </sheetData>
      <sheetData sheetId="517">
        <row r="7">
          <cell r="I7">
            <v>0</v>
          </cell>
        </row>
      </sheetData>
      <sheetData sheetId="518">
        <row r="7">
          <cell r="I7">
            <v>0</v>
          </cell>
        </row>
      </sheetData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7">
          <cell r="I7">
            <v>0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>
        <row r="7">
          <cell r="I7">
            <v>0</v>
          </cell>
        </row>
      </sheetData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>
        <row r="7">
          <cell r="I7" t="str">
            <v/>
          </cell>
        </row>
      </sheetData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>
        <row r="5">
          <cell r="I5">
            <v>1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갑지"/>
      <sheetName val="건설을지"/>
      <sheetName val="CCTV설치&amp;시운전"/>
      <sheetName val="공사비"/>
      <sheetName val="Sheet11"/>
      <sheetName val="Sheet12"/>
      <sheetName val="Sheet13"/>
      <sheetName val="Sheet14"/>
      <sheetName val="Sheet15"/>
      <sheetName val="Sheet16"/>
      <sheetName val="을지"/>
      <sheetName val="일위대가"/>
      <sheetName val="효성CB 1P기초"/>
      <sheetName val="소운반"/>
      <sheetName val="기본자료"/>
      <sheetName val="요율"/>
      <sheetName val="자재대"/>
      <sheetName val="평가데이터"/>
      <sheetName val="순공사비"/>
      <sheetName val="N賃率-職"/>
      <sheetName val="일위목차"/>
      <sheetName val="일위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팀별8"/>
    </sheetNames>
    <definedNames>
      <definedName name="보이기"/>
      <definedName name="숨기기비고"/>
      <definedName name="숨기기총괄"/>
      <definedName name="숨기기팀별"/>
      <definedName name="인쇄용"/>
    </defined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현황산출서"/>
      <sheetName val="단가산출서"/>
      <sheetName val="Sheet1"/>
      <sheetName val="마산방향"/>
      <sheetName val="진주방향"/>
      <sheetName val="단위수량"/>
      <sheetName val="동원(3)"/>
      <sheetName val="수량산출"/>
      <sheetName val="Sheet1 (2)"/>
      <sheetName val="확약서"/>
      <sheetName val="노무비단가"/>
      <sheetName val="총괄내역"/>
      <sheetName val="#REF"/>
      <sheetName val="총집계표"/>
      <sheetName val="DAN"/>
      <sheetName val="터파기및재료"/>
      <sheetName val="수자재단위당"/>
      <sheetName val="원가계산서"/>
      <sheetName val="시운전연료"/>
      <sheetName val="내역(중앙)"/>
      <sheetName val="인상효1"/>
      <sheetName val="노임단가"/>
      <sheetName val="수토공단위당"/>
      <sheetName val="Sheet2"/>
      <sheetName val="새공통"/>
      <sheetName val="현장관리비"/>
      <sheetName val="내부마감"/>
      <sheetName val="45,46"/>
      <sheetName val="BID"/>
      <sheetName val="간지"/>
      <sheetName val="총괄내역서"/>
      <sheetName val="일반수량총괄집계"/>
      <sheetName val="변화치수"/>
      <sheetName val="조명율표"/>
      <sheetName val="70%"/>
      <sheetName val="TYPE-A"/>
      <sheetName val="단가표"/>
      <sheetName val="PAINT"/>
      <sheetName val="식재가격"/>
      <sheetName val="식재총괄"/>
      <sheetName val="일위목록"/>
      <sheetName val="설비"/>
      <sheetName val="맨홀수량"/>
      <sheetName val="DATE"/>
      <sheetName val="단위중량"/>
      <sheetName val="본공사"/>
      <sheetName val="건축"/>
      <sheetName val="제품표준규격"/>
      <sheetName val="사용자정의"/>
      <sheetName val="토공정보"/>
      <sheetName val="여과지동"/>
      <sheetName val="기초자료"/>
      <sheetName val="표지 (2)"/>
      <sheetName val="AS포장복구 "/>
      <sheetName val="일위대가"/>
      <sheetName val="단가 및 재료비"/>
      <sheetName val="공양식"/>
      <sheetName val="기성명세서(직영분)"/>
      <sheetName val="직영공사"/>
      <sheetName val="일위대가표"/>
      <sheetName val="공사개요"/>
      <sheetName val="조직"/>
      <sheetName val="토사(PE)"/>
      <sheetName val="분전함신설"/>
      <sheetName val="접지1종"/>
      <sheetName val="갑지(추정)"/>
      <sheetName val="집계"/>
      <sheetName val="단가결정"/>
      <sheetName val="자재(원원+원대)"/>
      <sheetName val="기초코드"/>
      <sheetName val="내역표지"/>
      <sheetName val="설계조건"/>
      <sheetName val="안정계산"/>
      <sheetName val="단면검토"/>
      <sheetName val="설계산출표지"/>
      <sheetName val="을부담운반비"/>
      <sheetName val="부대공사비"/>
      <sheetName val="준검 내역서"/>
      <sheetName val="시점교대"/>
      <sheetName val="수량집계"/>
      <sheetName val="일위대가(가설)"/>
      <sheetName val="식재일위대가"/>
      <sheetName val="포장공수량집계표"/>
      <sheetName val="노무비"/>
      <sheetName val="계수시트"/>
      <sheetName val="사  업  비  수  지  예  산  서"/>
      <sheetName val="1,2공구원가계산서"/>
      <sheetName val="2공구산출내역"/>
      <sheetName val="1공구산출내역서"/>
      <sheetName val="내역서 (2)"/>
      <sheetName val="6PILE  (돌출)"/>
      <sheetName val="제잡비"/>
      <sheetName val="실행"/>
      <sheetName val="입찰"/>
      <sheetName val="현경"/>
      <sheetName val="4차원가계산서"/>
      <sheetName val="투찰추정"/>
      <sheetName val="가도공"/>
      <sheetName val="일위대가목차"/>
      <sheetName val="cp1"/>
      <sheetName val="참조"/>
      <sheetName val="산출내역서집계표"/>
      <sheetName val="공통자료"/>
      <sheetName val="설계예산서(2_소천우회토목)"/>
      <sheetName val="관거공사비"/>
      <sheetName val="플랜트 설치"/>
      <sheetName val="교통대책내역"/>
      <sheetName val="지하발전소수량집계"/>
      <sheetName val="기계경비(시간당)"/>
      <sheetName val="램머"/>
      <sheetName val="요율"/>
      <sheetName val="자재대"/>
      <sheetName val="단가조사"/>
      <sheetName val="기초단가"/>
      <sheetName val="N賃率-職"/>
      <sheetName val="설비내역"/>
      <sheetName val="설계기준"/>
      <sheetName val="내역1"/>
      <sheetName val="HVAC"/>
      <sheetName val="교대(A1-A2)"/>
      <sheetName val="장비가동"/>
      <sheetName val="3월내역"/>
      <sheetName val="진천방향"/>
      <sheetName val="경영상태"/>
      <sheetName val="하중계산"/>
      <sheetName val="내역(창신)"/>
      <sheetName val="조명시설"/>
      <sheetName val="심사물량"/>
      <sheetName val="기초공"/>
      <sheetName val="기둥(원형)"/>
      <sheetName val="산출근거"/>
      <sheetName val="배수공 내역서 적용수량"/>
      <sheetName val="자재단가"/>
      <sheetName val="품셈"/>
      <sheetName val="BOX복구단위수량"/>
      <sheetName val="빗물받이(910-510-410)"/>
      <sheetName val="보완토적"/>
      <sheetName val="소비자가"/>
      <sheetName val="일반공사"/>
      <sheetName val="C.배수관공"/>
      <sheetName val="시설수량표"/>
      <sheetName val="완도-군외"/>
      <sheetName val="Total"/>
      <sheetName val="자료"/>
      <sheetName val="배수관토공산출"/>
      <sheetName val="슬래브수량"/>
      <sheetName val="수량산출서"/>
      <sheetName val="밸브설치"/>
      <sheetName val="민감도"/>
      <sheetName val="MOKDONG(1)"/>
      <sheetName val="금액결정"/>
      <sheetName val="전차선로 물량표"/>
      <sheetName val="한강운반비"/>
      <sheetName val="자재"/>
      <sheetName val="ysn"/>
      <sheetName val="DATA"/>
      <sheetName val="b_balju_cho"/>
      <sheetName val="9GNG운반"/>
      <sheetName val="9811"/>
      <sheetName val="DANGA"/>
      <sheetName val="설계"/>
      <sheetName val="남평내역"/>
      <sheetName val="총괄"/>
      <sheetName val="TOTAL3"/>
      <sheetName val="공비대비"/>
      <sheetName val="토적표"/>
      <sheetName val="맨홀수량산출"/>
      <sheetName val="수량산출서-2"/>
      <sheetName val="대비"/>
      <sheetName val="2. 종합시운전비"/>
      <sheetName val="Y-WORK"/>
      <sheetName val="Sheet4"/>
      <sheetName val="목차임시"/>
      <sheetName val="견적대비"/>
      <sheetName val="감시제어"/>
      <sheetName val="가격조사서"/>
      <sheetName val="상하차비용(기계상차)"/>
      <sheetName val="수간보호"/>
      <sheetName val="운반비"/>
      <sheetName val="덕전리"/>
      <sheetName val="유림총괄"/>
      <sheetName val="대창(장성)"/>
      <sheetName val="관급"/>
      <sheetName val="7+160암거변경"/>
      <sheetName val="공사요율"/>
      <sheetName val="일위대가목록"/>
      <sheetName val="0"/>
      <sheetName val="실행갑지"/>
      <sheetName val="영업소실적"/>
      <sheetName val="Eq. Mobilization"/>
      <sheetName val="MYUN(MAC)"/>
      <sheetName val="제출내역 (2)"/>
      <sheetName val="파일의이용"/>
      <sheetName val="종배수관"/>
      <sheetName val="96노임기준"/>
      <sheetName val="앵커설치(590)"/>
      <sheetName val="토공수량산출"/>
      <sheetName val="토적계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FAB별"/>
      <sheetName val="일위_파일"/>
      <sheetName val="교각토공"/>
      <sheetName val="총괄-1"/>
      <sheetName val="수주현황2월"/>
      <sheetName val="설계예산서"/>
      <sheetName val="시중노임"/>
      <sheetName val="관급자재"/>
      <sheetName val="ABUT수량-A1"/>
      <sheetName val="1.설계조건"/>
      <sheetName val="단면 (2)"/>
      <sheetName val="CODE"/>
      <sheetName val="위치조서"/>
      <sheetName val="상촌2교-일반수량집계"/>
      <sheetName val="공사기본내용입력"/>
      <sheetName val="04_1"/>
      <sheetName val="Sheet1_(2)"/>
      <sheetName val="Sheet6"/>
      <sheetName val="수목단가"/>
      <sheetName val="식재수량표"/>
      <sheetName val="남양주부대"/>
      <sheetName val="시장성초안camera"/>
      <sheetName val="교각1"/>
      <sheetName val="공제량"/>
      <sheetName val="대로근거"/>
      <sheetName val="중로근거"/>
      <sheetName val="XL4Poppy"/>
      <sheetName val="DB구축"/>
      <sheetName val="예측단가간지"/>
      <sheetName val="1.3.1절점좌표"/>
      <sheetName val="1.1설계기준"/>
      <sheetName val="구조물토적"/>
      <sheetName val="도로횡단-D300"/>
      <sheetName val="실행대비"/>
      <sheetName val="수흄관단위당"/>
      <sheetName val="배관단가"/>
      <sheetName val="일위집계"/>
      <sheetName val="중기손료"/>
      <sheetName val="단위단가"/>
      <sheetName val="예가표"/>
      <sheetName val="북방3터널"/>
      <sheetName val="교대시점"/>
      <sheetName val="공통비(전체)"/>
      <sheetName val="변압기 및 발전기 용량"/>
      <sheetName val="소방사항"/>
      <sheetName val="BSD (2)"/>
      <sheetName val="이토변실(A3-LINE)"/>
      <sheetName val="근로자자료입력"/>
      <sheetName val="참고자료"/>
      <sheetName val="8.수량산출 (2)"/>
      <sheetName val="12호기내역서(건축분)"/>
      <sheetName val="대창(함평)-창열"/>
      <sheetName val="시설물일위"/>
      <sheetName val="A-4"/>
      <sheetName val="가계부"/>
      <sheetName val="제품목록"/>
      <sheetName val="매입매출관리"/>
      <sheetName val="가시설흙막이"/>
      <sheetName val="입력데이타(비인쇄용)"/>
      <sheetName val="간접비계산"/>
      <sheetName val="사업성분석"/>
      <sheetName val="기초일위"/>
      <sheetName val="시설일위"/>
      <sheetName val="조명일위"/>
      <sheetName val="guard(mac)"/>
      <sheetName val="1"/>
      <sheetName val="본부장"/>
      <sheetName val="1995년 섹터별 매출"/>
      <sheetName val="설-원가"/>
      <sheetName val="설치자재"/>
      <sheetName val="단중"/>
      <sheetName val="1차3회-개소별명세서-빨간색-인쇄용(21873)"/>
      <sheetName val="수량총괄"/>
      <sheetName val="Macro(차단기)"/>
      <sheetName val="건축내역"/>
      <sheetName val="집수정"/>
      <sheetName val="노단"/>
      <sheetName val="중사"/>
      <sheetName val="분양금할인"/>
      <sheetName val="Summary Sheets"/>
      <sheetName val="비탈면보호공수량산출"/>
      <sheetName val="냉천부속동"/>
      <sheetName val="전체분2회변경"/>
      <sheetName val="BOX(1.5X1.5)"/>
      <sheetName val="GT 1050x650"/>
      <sheetName val="시멘,골재"/>
      <sheetName val="콘크집계"/>
      <sheetName val="낙차공"/>
      <sheetName val="자재집계1"/>
      <sheetName val="측구날개벽"/>
      <sheetName val="공통(20-91)"/>
      <sheetName val="입찰안"/>
      <sheetName val="woo(mac)"/>
      <sheetName val="수목표준대가"/>
      <sheetName val="을"/>
      <sheetName val="차선유도선 설치현황"/>
      <sheetName val="관로토공"/>
      <sheetName val="시멘트,모래산출표"/>
      <sheetName val="인수공"/>
      <sheetName val="평가데이터"/>
      <sheetName val="골재"/>
      <sheetName val="기계경비"/>
      <sheetName val="ⴭⴭⴭⴭⴭ"/>
      <sheetName val="포장수량집계표"/>
      <sheetName val="가감수량"/>
      <sheetName val="자재단가 "/>
      <sheetName val="기계내역"/>
      <sheetName val="INPUT"/>
      <sheetName val="진상-금이"/>
      <sheetName val="목록"/>
      <sheetName val="지급자재"/>
      <sheetName val="2.대외공문"/>
      <sheetName val="99 조정금액"/>
      <sheetName val="도급"/>
      <sheetName val="장비집계"/>
      <sheetName val="말뚝지지력산정"/>
      <sheetName val="산출내역서"/>
      <sheetName val="보도포장연장조서-표준차도부"/>
      <sheetName val="표준차도부연장조서-ASP"/>
      <sheetName val="슬라임운반단가"/>
      <sheetName val="4.2.1 마루높이 검토"/>
      <sheetName val="J直材4"/>
      <sheetName val="세부내역"/>
      <sheetName val="설비비4"/>
      <sheetName val="간접비"/>
      <sheetName val="토목주소"/>
      <sheetName val="프랜트면허"/>
      <sheetName val="주요자재집계표"/>
      <sheetName val="4)유동표"/>
      <sheetName val="01AC"/>
      <sheetName val="차액보증"/>
      <sheetName val="용수간선"/>
      <sheetName val="keyword"/>
      <sheetName val="조건"/>
      <sheetName val="투찰"/>
      <sheetName val=" "/>
      <sheetName val="SLAB"/>
      <sheetName val="전국현황"/>
      <sheetName val="실행철강하도"/>
      <sheetName val="설내역서 "/>
      <sheetName val="변경후-SHEET"/>
      <sheetName val="설계내역서"/>
      <sheetName val="식대_내역"/>
      <sheetName val="건축공사"/>
      <sheetName val="WORK"/>
      <sheetName val="L_RPTA05_목록"/>
      <sheetName val="가압장구체수량산출서"/>
      <sheetName val="Baby일위대가"/>
      <sheetName val="98NS-N"/>
      <sheetName val="4.2유효폭의 계산"/>
      <sheetName val="도근좌표"/>
      <sheetName val="일반부표"/>
      <sheetName val="중기일위대가"/>
      <sheetName val="갑지"/>
      <sheetName val="토목수량(공정)"/>
      <sheetName val="4.환경"/>
      <sheetName val="입력란"/>
      <sheetName val="배관내역"/>
      <sheetName val="재료값"/>
      <sheetName val="A4"/>
      <sheetName val="대형원계"/>
      <sheetName val="FRC"/>
      <sheetName val="인천_계획"/>
      <sheetName val="Key assumption"/>
      <sheetName val="5.1 본사"/>
      <sheetName val="A-LINE"/>
      <sheetName val="2공구자재집"/>
      <sheetName val="물집"/>
      <sheetName val="지장물원본(안뽑기)"/>
      <sheetName val="6공구(당초)"/>
      <sheetName val="암거 제원표"/>
      <sheetName val="시선유도봉,충격흡수시설물량"/>
      <sheetName val="표지병물량"/>
      <sheetName val="임대견적서"/>
    </sheetNames>
    <sheetDataSet>
      <sheetData sheetId="0">
        <row r="1">
          <cell r="A1" t="str">
            <v>*규격별 식재품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*규격별 식재품</v>
          </cell>
        </row>
        <row r="2">
          <cell r="A2" t="str">
            <v>코드</v>
          </cell>
          <cell r="B2" t="str">
            <v>내용</v>
          </cell>
          <cell r="C2" t="str">
            <v>단위</v>
          </cell>
          <cell r="D2" t="str">
            <v>조경공</v>
          </cell>
          <cell r="E2" t="str">
            <v>보통인부</v>
          </cell>
          <cell r="F2" t="str">
            <v>단위</v>
          </cell>
        </row>
        <row r="3">
          <cell r="A3" t="str">
            <v>H010</v>
          </cell>
          <cell r="B3" t="str">
            <v>1.0이하</v>
          </cell>
          <cell r="C3" t="str">
            <v>M</v>
          </cell>
          <cell r="D3">
            <v>5.6000000000000008E-2</v>
          </cell>
          <cell r="E3">
            <v>4.8000000000000001E-2</v>
          </cell>
          <cell r="F3" t="str">
            <v>지주목무</v>
          </cell>
        </row>
        <row r="4">
          <cell r="A4" t="str">
            <v>H015</v>
          </cell>
          <cell r="B4">
            <v>1.5</v>
          </cell>
          <cell r="D4">
            <v>7.1999999999999995E-2</v>
          </cell>
          <cell r="E4">
            <v>5.6000000000000008E-2</v>
          </cell>
          <cell r="F4" t="str">
            <v>지주목무</v>
          </cell>
        </row>
        <row r="5">
          <cell r="A5" t="str">
            <v>H020</v>
          </cell>
          <cell r="B5">
            <v>2</v>
          </cell>
          <cell r="D5">
            <v>8.8000000000000009E-2</v>
          </cell>
          <cell r="E5">
            <v>7.1999999999999995E-2</v>
          </cell>
          <cell r="F5" t="str">
            <v>지주목무</v>
          </cell>
        </row>
        <row r="6">
          <cell r="A6" t="str">
            <v>H025</v>
          </cell>
          <cell r="B6">
            <v>2.5</v>
          </cell>
          <cell r="D6">
            <v>0.15</v>
          </cell>
          <cell r="E6">
            <v>0.12</v>
          </cell>
        </row>
        <row r="7">
          <cell r="A7" t="str">
            <v>H030</v>
          </cell>
          <cell r="B7">
            <v>3</v>
          </cell>
          <cell r="D7">
            <v>0.19</v>
          </cell>
          <cell r="E7">
            <v>0.14000000000000001</v>
          </cell>
        </row>
        <row r="8">
          <cell r="A8" t="str">
            <v>H035</v>
          </cell>
          <cell r="B8">
            <v>3.5</v>
          </cell>
          <cell r="D8">
            <v>0.23</v>
          </cell>
          <cell r="E8">
            <v>0.17</v>
          </cell>
        </row>
        <row r="9">
          <cell r="A9" t="str">
            <v>H040</v>
          </cell>
          <cell r="B9">
            <v>4</v>
          </cell>
          <cell r="D9">
            <v>0.28999999999999998</v>
          </cell>
          <cell r="E9">
            <v>0.2</v>
          </cell>
        </row>
        <row r="10">
          <cell r="A10" t="str">
            <v>H045</v>
          </cell>
          <cell r="B10">
            <v>4.5</v>
          </cell>
          <cell r="D10">
            <v>0.33</v>
          </cell>
          <cell r="E10">
            <v>0.23</v>
          </cell>
        </row>
        <row r="11">
          <cell r="A11" t="str">
            <v>H050</v>
          </cell>
          <cell r="B11">
            <v>5</v>
          </cell>
          <cell r="D11">
            <v>0.38</v>
          </cell>
          <cell r="E11">
            <v>0.27</v>
          </cell>
        </row>
        <row r="12">
          <cell r="A12" t="str">
            <v>H055</v>
          </cell>
          <cell r="B12">
            <v>5.5</v>
          </cell>
          <cell r="D12">
            <v>0.43</v>
          </cell>
          <cell r="E12">
            <v>0.31</v>
          </cell>
        </row>
        <row r="13">
          <cell r="A13" t="str">
            <v>H060</v>
          </cell>
          <cell r="B13">
            <v>6</v>
          </cell>
          <cell r="D13">
            <v>0.49</v>
          </cell>
          <cell r="E13">
            <v>0.36</v>
          </cell>
        </row>
        <row r="14">
          <cell r="A14" t="str">
            <v>B004</v>
          </cell>
          <cell r="B14">
            <v>4</v>
          </cell>
          <cell r="C14" t="str">
            <v>CM</v>
          </cell>
          <cell r="D14">
            <v>0.11200000000000002</v>
          </cell>
          <cell r="E14">
            <v>7.1999999999999995E-2</v>
          </cell>
          <cell r="F14" t="str">
            <v>지주목무</v>
          </cell>
        </row>
        <row r="15">
          <cell r="A15" t="str">
            <v>B005</v>
          </cell>
          <cell r="B15">
            <v>5</v>
          </cell>
          <cell r="D15">
            <v>0.23</v>
          </cell>
          <cell r="E15">
            <v>0.14000000000000001</v>
          </cell>
        </row>
        <row r="16">
          <cell r="A16" t="str">
            <v>B006</v>
          </cell>
          <cell r="B16">
            <v>6</v>
          </cell>
          <cell r="D16">
            <v>0.32</v>
          </cell>
          <cell r="E16">
            <v>0.19</v>
          </cell>
        </row>
        <row r="17">
          <cell r="A17" t="str">
            <v>B007</v>
          </cell>
          <cell r="B17">
            <v>7</v>
          </cell>
          <cell r="D17">
            <v>0.41</v>
          </cell>
          <cell r="E17">
            <v>0.24</v>
          </cell>
        </row>
        <row r="18">
          <cell r="A18" t="str">
            <v>B008</v>
          </cell>
          <cell r="B18">
            <v>8</v>
          </cell>
          <cell r="D18">
            <v>0.5</v>
          </cell>
          <cell r="E18">
            <v>0.28999999999999998</v>
          </cell>
        </row>
        <row r="19">
          <cell r="A19" t="str">
            <v>B009</v>
          </cell>
          <cell r="B19">
            <v>9</v>
          </cell>
          <cell r="D19">
            <v>0.59</v>
          </cell>
          <cell r="E19">
            <v>0.35</v>
          </cell>
        </row>
        <row r="20">
          <cell r="A20" t="str">
            <v>B010</v>
          </cell>
          <cell r="B20">
            <v>10</v>
          </cell>
          <cell r="D20">
            <v>0.68</v>
          </cell>
          <cell r="E20">
            <v>0.39</v>
          </cell>
        </row>
        <row r="21">
          <cell r="A21" t="str">
            <v>B011</v>
          </cell>
          <cell r="B21">
            <v>11</v>
          </cell>
          <cell r="D21">
            <v>0.77</v>
          </cell>
          <cell r="E21">
            <v>0.45</v>
          </cell>
        </row>
        <row r="22">
          <cell r="A22" t="str">
            <v>B012</v>
          </cell>
          <cell r="B22">
            <v>12</v>
          </cell>
          <cell r="D22">
            <v>0.86</v>
          </cell>
          <cell r="E22">
            <v>0.5</v>
          </cell>
        </row>
        <row r="23">
          <cell r="A23" t="str">
            <v>B013</v>
          </cell>
          <cell r="B23">
            <v>13</v>
          </cell>
          <cell r="D23">
            <v>0.95</v>
          </cell>
          <cell r="E23">
            <v>0.55000000000000004</v>
          </cell>
        </row>
        <row r="24">
          <cell r="A24" t="str">
            <v>B014</v>
          </cell>
          <cell r="B24">
            <v>14</v>
          </cell>
          <cell r="D24">
            <v>1.03</v>
          </cell>
          <cell r="E24">
            <v>0.61</v>
          </cell>
        </row>
        <row r="25">
          <cell r="A25" t="str">
            <v>B015</v>
          </cell>
          <cell r="B25">
            <v>15</v>
          </cell>
          <cell r="D25">
            <v>1.1200000000000001</v>
          </cell>
          <cell r="E25">
            <v>0.66</v>
          </cell>
        </row>
        <row r="26">
          <cell r="A26" t="str">
            <v>B016</v>
          </cell>
          <cell r="B26">
            <v>16</v>
          </cell>
          <cell r="D26">
            <v>1.21</v>
          </cell>
          <cell r="E26">
            <v>0.71</v>
          </cell>
        </row>
        <row r="27">
          <cell r="A27" t="str">
            <v>B017</v>
          </cell>
          <cell r="B27">
            <v>17</v>
          </cell>
          <cell r="D27">
            <v>1.3</v>
          </cell>
          <cell r="E27">
            <v>0.77</v>
          </cell>
        </row>
        <row r="28">
          <cell r="A28" t="str">
            <v>B018</v>
          </cell>
          <cell r="B28">
            <v>18</v>
          </cell>
          <cell r="D28">
            <v>1.39</v>
          </cell>
          <cell r="E28">
            <v>0.83</v>
          </cell>
        </row>
        <row r="29">
          <cell r="A29" t="str">
            <v>B019</v>
          </cell>
          <cell r="B29">
            <v>19</v>
          </cell>
          <cell r="D29">
            <v>1.48</v>
          </cell>
          <cell r="E29">
            <v>0.88</v>
          </cell>
        </row>
        <row r="30">
          <cell r="A30" t="str">
            <v>B020</v>
          </cell>
          <cell r="B30">
            <v>20</v>
          </cell>
          <cell r="D30">
            <v>1.57</v>
          </cell>
          <cell r="E30">
            <v>0.94</v>
          </cell>
        </row>
        <row r="31">
          <cell r="A31" t="str">
            <v>B021</v>
          </cell>
          <cell r="B31">
            <v>21</v>
          </cell>
          <cell r="D31">
            <v>1.66</v>
          </cell>
          <cell r="E31">
            <v>0.99</v>
          </cell>
        </row>
        <row r="32">
          <cell r="A32" t="str">
            <v>B022</v>
          </cell>
          <cell r="B32">
            <v>22</v>
          </cell>
          <cell r="D32">
            <v>1.75</v>
          </cell>
          <cell r="E32">
            <v>1.05</v>
          </cell>
        </row>
        <row r="33">
          <cell r="A33" t="str">
            <v>B023</v>
          </cell>
          <cell r="B33">
            <v>23</v>
          </cell>
          <cell r="D33">
            <v>1.84</v>
          </cell>
          <cell r="E33">
            <v>1.1000000000000001</v>
          </cell>
        </row>
        <row r="34">
          <cell r="A34" t="str">
            <v>B024</v>
          </cell>
          <cell r="B34">
            <v>24</v>
          </cell>
          <cell r="D34">
            <v>1.93</v>
          </cell>
          <cell r="E34">
            <v>1.1599999999999999</v>
          </cell>
        </row>
        <row r="35">
          <cell r="A35" t="str">
            <v>B025</v>
          </cell>
          <cell r="B35">
            <v>25</v>
          </cell>
          <cell r="D35">
            <v>2.0099999999999998</v>
          </cell>
          <cell r="E35">
            <v>1.22</v>
          </cell>
        </row>
        <row r="36">
          <cell r="A36" t="str">
            <v>B026</v>
          </cell>
          <cell r="B36">
            <v>26</v>
          </cell>
          <cell r="D36">
            <v>2.1</v>
          </cell>
          <cell r="E36">
            <v>1.28</v>
          </cell>
        </row>
        <row r="37">
          <cell r="A37" t="str">
            <v>B027</v>
          </cell>
          <cell r="B37">
            <v>27</v>
          </cell>
          <cell r="D37">
            <v>2.19</v>
          </cell>
          <cell r="E37">
            <v>1.33</v>
          </cell>
        </row>
        <row r="38">
          <cell r="A38" t="str">
            <v>B028</v>
          </cell>
          <cell r="B38">
            <v>28</v>
          </cell>
          <cell r="D38">
            <v>2.2799999999999998</v>
          </cell>
          <cell r="E38">
            <v>1.37</v>
          </cell>
        </row>
        <row r="39">
          <cell r="A39" t="str">
            <v>B029</v>
          </cell>
          <cell r="B39">
            <v>29</v>
          </cell>
          <cell r="D39">
            <v>2.34</v>
          </cell>
          <cell r="E39">
            <v>1.4</v>
          </cell>
        </row>
        <row r="40">
          <cell r="A40" t="str">
            <v>B030</v>
          </cell>
          <cell r="B40">
            <v>30</v>
          </cell>
          <cell r="D40">
            <v>2.39</v>
          </cell>
          <cell r="E40">
            <v>1.44</v>
          </cell>
        </row>
        <row r="41">
          <cell r="A41" t="str">
            <v>R004</v>
          </cell>
          <cell r="B41">
            <v>4</v>
          </cell>
          <cell r="C41" t="str">
            <v>CM</v>
          </cell>
          <cell r="D41">
            <v>8.8000000000000009E-2</v>
          </cell>
          <cell r="E41">
            <v>5.6000000000000008E-2</v>
          </cell>
          <cell r="F41" t="str">
            <v>지주목무</v>
          </cell>
        </row>
        <row r="42">
          <cell r="A42" t="str">
            <v>R005</v>
          </cell>
          <cell r="B42">
            <v>5</v>
          </cell>
          <cell r="D42">
            <v>0.13600000000000001</v>
          </cell>
          <cell r="E42">
            <v>8.0000000000000016E-2</v>
          </cell>
          <cell r="F42" t="str">
            <v>지주목무</v>
          </cell>
        </row>
        <row r="43">
          <cell r="A43" t="str">
            <v>R006</v>
          </cell>
          <cell r="B43">
            <v>6</v>
          </cell>
          <cell r="D43">
            <v>0.23</v>
          </cell>
          <cell r="E43">
            <v>0.14000000000000001</v>
          </cell>
        </row>
        <row r="44">
          <cell r="A44" t="str">
            <v>R007</v>
          </cell>
          <cell r="B44">
            <v>7</v>
          </cell>
          <cell r="D44">
            <v>0.3</v>
          </cell>
          <cell r="E44">
            <v>0.18</v>
          </cell>
        </row>
        <row r="45">
          <cell r="A45" t="str">
            <v>R008</v>
          </cell>
          <cell r="B45">
            <v>8</v>
          </cell>
          <cell r="D45">
            <v>0.37</v>
          </cell>
          <cell r="E45">
            <v>0.22</v>
          </cell>
        </row>
        <row r="46">
          <cell r="A46" t="str">
            <v>R009</v>
          </cell>
          <cell r="B46">
            <v>9</v>
          </cell>
          <cell r="D46">
            <v>0.44</v>
          </cell>
          <cell r="E46">
            <v>0.26</v>
          </cell>
        </row>
        <row r="47">
          <cell r="A47" t="str">
            <v>R010</v>
          </cell>
          <cell r="B47">
            <v>10</v>
          </cell>
          <cell r="D47">
            <v>0.51</v>
          </cell>
          <cell r="E47">
            <v>0.3</v>
          </cell>
        </row>
        <row r="48">
          <cell r="A48" t="str">
            <v>R011</v>
          </cell>
          <cell r="B48">
            <v>11</v>
          </cell>
          <cell r="D48">
            <v>0.57999999999999996</v>
          </cell>
          <cell r="E48">
            <v>0.35</v>
          </cell>
        </row>
        <row r="49">
          <cell r="A49" t="str">
            <v>R012</v>
          </cell>
          <cell r="B49">
            <v>12</v>
          </cell>
          <cell r="D49">
            <v>0.65</v>
          </cell>
          <cell r="E49">
            <v>0.39</v>
          </cell>
        </row>
        <row r="50">
          <cell r="A50" t="str">
            <v>R013</v>
          </cell>
          <cell r="B50">
            <v>13</v>
          </cell>
          <cell r="D50">
            <v>0.72</v>
          </cell>
          <cell r="E50">
            <v>0.43</v>
          </cell>
        </row>
        <row r="51">
          <cell r="A51" t="str">
            <v>R014</v>
          </cell>
          <cell r="B51">
            <v>14</v>
          </cell>
          <cell r="D51">
            <v>0.8</v>
          </cell>
          <cell r="E51">
            <v>0.48</v>
          </cell>
        </row>
        <row r="52">
          <cell r="A52" t="str">
            <v>R015</v>
          </cell>
          <cell r="B52">
            <v>15</v>
          </cell>
          <cell r="D52">
            <v>0.87</v>
          </cell>
          <cell r="E52">
            <v>0.52</v>
          </cell>
        </row>
        <row r="53">
          <cell r="A53" t="str">
            <v>R016</v>
          </cell>
          <cell r="B53">
            <v>16</v>
          </cell>
          <cell r="D53">
            <v>0.94</v>
          </cell>
          <cell r="E53">
            <v>0.56999999999999995</v>
          </cell>
        </row>
        <row r="54">
          <cell r="A54" t="str">
            <v>R017</v>
          </cell>
          <cell r="B54">
            <v>17</v>
          </cell>
          <cell r="D54">
            <v>1.02</v>
          </cell>
          <cell r="E54">
            <v>0.62</v>
          </cell>
        </row>
        <row r="55">
          <cell r="A55" t="str">
            <v>R018</v>
          </cell>
          <cell r="B55">
            <v>18</v>
          </cell>
          <cell r="D55">
            <v>1.0900000000000001</v>
          </cell>
          <cell r="E55">
            <v>0.66</v>
          </cell>
        </row>
        <row r="56">
          <cell r="A56" t="str">
            <v>R019</v>
          </cell>
          <cell r="B56">
            <v>19</v>
          </cell>
          <cell r="D56">
            <v>1.17</v>
          </cell>
          <cell r="E56">
            <v>0.71</v>
          </cell>
        </row>
        <row r="57">
          <cell r="A57" t="str">
            <v>R020</v>
          </cell>
          <cell r="B57">
            <v>20</v>
          </cell>
          <cell r="D57">
            <v>1.25</v>
          </cell>
          <cell r="E57">
            <v>0.76</v>
          </cell>
        </row>
        <row r="58">
          <cell r="A58" t="str">
            <v>R021</v>
          </cell>
          <cell r="B58">
            <v>21</v>
          </cell>
          <cell r="D58">
            <v>1.32</v>
          </cell>
          <cell r="E58">
            <v>0.8</v>
          </cell>
        </row>
        <row r="59">
          <cell r="A59" t="str">
            <v>R022</v>
          </cell>
          <cell r="B59">
            <v>22</v>
          </cell>
          <cell r="D59">
            <v>1.4</v>
          </cell>
          <cell r="E59">
            <v>0.85</v>
          </cell>
        </row>
        <row r="60">
          <cell r="A60" t="str">
            <v>R023</v>
          </cell>
          <cell r="B60">
            <v>23</v>
          </cell>
          <cell r="D60">
            <v>1.47</v>
          </cell>
          <cell r="E60">
            <v>0.89</v>
          </cell>
        </row>
        <row r="61">
          <cell r="A61" t="str">
            <v>R024</v>
          </cell>
          <cell r="B61">
            <v>24</v>
          </cell>
          <cell r="D61">
            <v>1.55</v>
          </cell>
          <cell r="E61">
            <v>0.94</v>
          </cell>
        </row>
        <row r="62">
          <cell r="A62" t="str">
            <v>R025</v>
          </cell>
          <cell r="B62">
            <v>25</v>
          </cell>
          <cell r="D62">
            <v>1.62</v>
          </cell>
          <cell r="E62">
            <v>0.99</v>
          </cell>
        </row>
        <row r="63">
          <cell r="A63" t="str">
            <v>R026</v>
          </cell>
          <cell r="B63">
            <v>26</v>
          </cell>
          <cell r="D63">
            <v>1.7</v>
          </cell>
          <cell r="E63">
            <v>1.04</v>
          </cell>
        </row>
        <row r="64">
          <cell r="A64" t="str">
            <v>R027</v>
          </cell>
          <cell r="B64">
            <v>27</v>
          </cell>
          <cell r="D64">
            <v>1.78</v>
          </cell>
          <cell r="E64">
            <v>1.07</v>
          </cell>
        </row>
        <row r="65">
          <cell r="A65" t="str">
            <v>R028</v>
          </cell>
          <cell r="B65">
            <v>28</v>
          </cell>
          <cell r="D65">
            <v>1.83</v>
          </cell>
          <cell r="E65">
            <v>1.0900000000000001</v>
          </cell>
        </row>
        <row r="66">
          <cell r="A66" t="str">
            <v>R029</v>
          </cell>
          <cell r="B66">
            <v>29</v>
          </cell>
          <cell r="D66">
            <v>1.87</v>
          </cell>
          <cell r="E66">
            <v>1.1200000000000001</v>
          </cell>
        </row>
        <row r="67">
          <cell r="A67" t="str">
            <v>R030</v>
          </cell>
          <cell r="B67">
            <v>30</v>
          </cell>
          <cell r="D67">
            <v>1.91</v>
          </cell>
          <cell r="E67">
            <v>1.1499999999999999</v>
          </cell>
        </row>
        <row r="68">
          <cell r="A68" t="str">
            <v>HH03</v>
          </cell>
          <cell r="B68">
            <v>0.3</v>
          </cell>
          <cell r="D68">
            <v>0.01</v>
          </cell>
          <cell r="E68">
            <v>0.01</v>
          </cell>
        </row>
        <row r="69">
          <cell r="A69" t="str">
            <v>HH07</v>
          </cell>
          <cell r="B69">
            <v>0.7</v>
          </cell>
          <cell r="D69">
            <v>0.03</v>
          </cell>
          <cell r="E69">
            <v>0.02</v>
          </cell>
        </row>
        <row r="70">
          <cell r="A70" t="str">
            <v>HH11</v>
          </cell>
          <cell r="B70">
            <v>1.1000000000000001</v>
          </cell>
          <cell r="D70">
            <v>0.05</v>
          </cell>
          <cell r="E70">
            <v>0.03</v>
          </cell>
        </row>
        <row r="71">
          <cell r="A71" t="str">
            <v>HH15</v>
          </cell>
          <cell r="B71">
            <v>1.5</v>
          </cell>
          <cell r="D71">
            <v>0.09</v>
          </cell>
          <cell r="E71">
            <v>0.05</v>
          </cell>
        </row>
      </sheetData>
      <sheetData sheetId="15"/>
      <sheetData sheetId="16"/>
      <sheetData sheetId="17"/>
      <sheetData sheetId="18">
        <row r="1">
          <cell r="A1" t="str">
            <v>*규격별 식재품</v>
          </cell>
        </row>
      </sheetData>
      <sheetData sheetId="19"/>
      <sheetData sheetId="20">
        <row r="1">
          <cell r="A1" t="str">
            <v>*규격별 식재품</v>
          </cell>
        </row>
      </sheetData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_공정입력"/>
      <sheetName val="공정집계_롯드별"/>
      <sheetName val="공정집계_국별"/>
      <sheetName val="자재집계_국별"/>
      <sheetName val="자재집계"/>
      <sheetName val="사급자재"/>
      <sheetName val="집중자재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피스표_File"/>
      <sheetName val="중량산출서"/>
      <sheetName val="회수물자"/>
      <sheetName val="지하포설"/>
      <sheetName val="가공가설"/>
      <sheetName val="전주건식"/>
      <sheetName val="강연선가설"/>
      <sheetName val="지선설치"/>
      <sheetName val="지하철거"/>
      <sheetName val="가공철거"/>
      <sheetName val="전주철거"/>
      <sheetName val="지선철거"/>
      <sheetName val="단자철거"/>
      <sheetName val="Sheet2"/>
    </sheetNames>
    <sheetDataSet>
      <sheetData sheetId="0"/>
      <sheetData sheetId="1"/>
      <sheetData sheetId="2" refreshError="1">
        <row r="3">
          <cell r="G3" t="str">
            <v>호  표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표"/>
      <sheetName val="단가표1"/>
      <sheetName val="목차"/>
      <sheetName val="간지"/>
      <sheetName val="공사설명서"/>
      <sheetName val="예정공정표"/>
      <sheetName val="동원인원"/>
      <sheetName val="총원가_총괄"/>
      <sheetName val="공사원가_총괄"/>
      <sheetName val="총원가"/>
      <sheetName val="공사원가"/>
      <sheetName val="내역서총괄"/>
      <sheetName val="내역서"/>
      <sheetName val="일위대가"/>
      <sheetName val="피스표총괄"/>
      <sheetName val="피스표"/>
      <sheetName val="자재비"/>
      <sheetName val="지입자재"/>
      <sheetName val="회수물자"/>
      <sheetName val="철거내역"/>
      <sheetName val="잔품내역"/>
      <sheetName val="품_산출근거"/>
      <sheetName val="소요노력"/>
      <sheetName val="공구손료"/>
      <sheetName val="공구_손료"/>
      <sheetName val="관급자재"/>
      <sheetName val="운반비1"/>
      <sheetName val="경비"/>
      <sheetName val="위험표시판"/>
      <sheetName val="공정집계"/>
      <sheetName val="File_관급"/>
      <sheetName val="File_Index"/>
      <sheetName val="File_제목"/>
      <sheetName val="일위대가_수정"/>
      <sheetName val="File_일위"/>
      <sheetName val="File_공정입력"/>
      <sheetName val="File_국명"/>
      <sheetName val="File_간선명"/>
      <sheetName val="File_집계"/>
      <sheetName val="File_피스표"/>
      <sheetName val="피스표_List"/>
      <sheetName val="File_인수공여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M3">
            <v>77</v>
          </cell>
        </row>
        <row r="6">
          <cell r="A6">
            <v>13</v>
          </cell>
          <cell r="M6">
            <v>3.85</v>
          </cell>
        </row>
        <row r="7">
          <cell r="A7">
            <v>15</v>
          </cell>
          <cell r="M7">
            <v>3.85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A22" t="str">
            <v>S1</v>
          </cell>
          <cell r="M22">
            <v>0</v>
          </cell>
        </row>
        <row r="25">
          <cell r="M25">
            <v>2.4</v>
          </cell>
        </row>
        <row r="28">
          <cell r="A28">
            <v>14</v>
          </cell>
          <cell r="M28">
            <v>4.68</v>
          </cell>
        </row>
        <row r="29">
          <cell r="A29">
            <v>111</v>
          </cell>
          <cell r="M29">
            <v>24</v>
          </cell>
        </row>
        <row r="30">
          <cell r="A30">
            <v>112</v>
          </cell>
          <cell r="M30">
            <v>24</v>
          </cell>
        </row>
        <row r="31">
          <cell r="M31">
            <v>0</v>
          </cell>
        </row>
        <row r="32">
          <cell r="M32">
            <v>0</v>
          </cell>
        </row>
        <row r="33">
          <cell r="M33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8">
          <cell r="M38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2">
          <cell r="M42">
            <v>0</v>
          </cell>
        </row>
        <row r="43">
          <cell r="M43">
            <v>0</v>
          </cell>
        </row>
        <row r="44">
          <cell r="A44" t="str">
            <v>S2</v>
          </cell>
          <cell r="M44">
            <v>0</v>
          </cell>
        </row>
        <row r="47">
          <cell r="M47">
            <v>102.8</v>
          </cell>
        </row>
        <row r="50">
          <cell r="A50">
            <v>13</v>
          </cell>
          <cell r="M50">
            <v>11.308</v>
          </cell>
        </row>
        <row r="51">
          <cell r="A51">
            <v>15</v>
          </cell>
          <cell r="M51">
            <v>1.028</v>
          </cell>
        </row>
        <row r="52">
          <cell r="A52">
            <v>66</v>
          </cell>
          <cell r="M52">
            <v>102.8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7">
          <cell r="M57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1">
          <cell r="M61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6">
          <cell r="A66" t="str">
            <v>S3</v>
          </cell>
          <cell r="M66">
            <v>0</v>
          </cell>
        </row>
        <row r="69">
          <cell r="M69">
            <v>18</v>
          </cell>
        </row>
        <row r="72">
          <cell r="A72">
            <v>14</v>
          </cell>
          <cell r="M72">
            <v>8.2800000000000011</v>
          </cell>
        </row>
        <row r="73">
          <cell r="A73">
            <v>67</v>
          </cell>
          <cell r="M73">
            <v>18</v>
          </cell>
        </row>
        <row r="74">
          <cell r="A74">
            <v>113</v>
          </cell>
          <cell r="M74">
            <v>18</v>
          </cell>
        </row>
        <row r="75">
          <cell r="A75">
            <v>50</v>
          </cell>
          <cell r="M75">
            <v>36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0</v>
          </cell>
        </row>
        <row r="79">
          <cell r="M79">
            <v>0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4">
          <cell r="M84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8">
          <cell r="A88" t="str">
            <v>S4</v>
          </cell>
          <cell r="M88">
            <v>0</v>
          </cell>
        </row>
        <row r="91">
          <cell r="M91">
            <v>11</v>
          </cell>
        </row>
        <row r="94">
          <cell r="A94">
            <v>71</v>
          </cell>
          <cell r="M94">
            <v>11</v>
          </cell>
        </row>
        <row r="95">
          <cell r="A95">
            <v>74</v>
          </cell>
          <cell r="M95">
            <v>88</v>
          </cell>
        </row>
        <row r="96">
          <cell r="M96">
            <v>0</v>
          </cell>
        </row>
        <row r="97">
          <cell r="M97">
            <v>0</v>
          </cell>
        </row>
        <row r="98">
          <cell r="M98">
            <v>0</v>
          </cell>
        </row>
        <row r="99">
          <cell r="M99">
            <v>0</v>
          </cell>
        </row>
        <row r="100">
          <cell r="M100">
            <v>0</v>
          </cell>
        </row>
        <row r="101">
          <cell r="M101">
            <v>0</v>
          </cell>
        </row>
        <row r="102">
          <cell r="M102">
            <v>0</v>
          </cell>
        </row>
        <row r="103">
          <cell r="M103">
            <v>0</v>
          </cell>
        </row>
        <row r="104">
          <cell r="M104">
            <v>0</v>
          </cell>
        </row>
        <row r="105">
          <cell r="M105">
            <v>0</v>
          </cell>
        </row>
        <row r="106">
          <cell r="M106">
            <v>0</v>
          </cell>
        </row>
        <row r="107">
          <cell r="M107">
            <v>0</v>
          </cell>
        </row>
        <row r="108">
          <cell r="M108">
            <v>0</v>
          </cell>
        </row>
        <row r="109">
          <cell r="M109">
            <v>0</v>
          </cell>
        </row>
        <row r="110">
          <cell r="A110" t="str">
            <v>S5</v>
          </cell>
          <cell r="M110">
            <v>0</v>
          </cell>
        </row>
        <row r="113">
          <cell r="M113">
            <v>23</v>
          </cell>
        </row>
        <row r="116">
          <cell r="A116">
            <v>113</v>
          </cell>
          <cell r="M116">
            <v>23</v>
          </cell>
        </row>
        <row r="117">
          <cell r="M117">
            <v>0</v>
          </cell>
        </row>
        <row r="118">
          <cell r="M118">
            <v>0</v>
          </cell>
        </row>
        <row r="119">
          <cell r="M119">
            <v>0</v>
          </cell>
        </row>
        <row r="120"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  <row r="124">
          <cell r="M124">
            <v>0</v>
          </cell>
        </row>
        <row r="125">
          <cell r="M125">
            <v>0</v>
          </cell>
        </row>
        <row r="126">
          <cell r="M126">
            <v>0</v>
          </cell>
        </row>
        <row r="127">
          <cell r="M127">
            <v>0</v>
          </cell>
        </row>
        <row r="128">
          <cell r="M128">
            <v>0</v>
          </cell>
        </row>
        <row r="129">
          <cell r="M129">
            <v>0</v>
          </cell>
        </row>
        <row r="130">
          <cell r="M130">
            <v>0</v>
          </cell>
        </row>
        <row r="131">
          <cell r="M131">
            <v>0</v>
          </cell>
        </row>
        <row r="132">
          <cell r="A132" t="str">
            <v>S6</v>
          </cell>
          <cell r="M132">
            <v>0</v>
          </cell>
        </row>
        <row r="135">
          <cell r="M135">
            <v>71</v>
          </cell>
        </row>
        <row r="138">
          <cell r="A138">
            <v>13</v>
          </cell>
          <cell r="M138">
            <v>17.04</v>
          </cell>
        </row>
        <row r="139">
          <cell r="A139">
            <v>15</v>
          </cell>
          <cell r="M139">
            <v>6.39</v>
          </cell>
        </row>
        <row r="140">
          <cell r="A140">
            <v>87</v>
          </cell>
          <cell r="M140">
            <v>71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0</v>
          </cell>
        </row>
        <row r="149">
          <cell r="M149">
            <v>0</v>
          </cell>
        </row>
        <row r="150">
          <cell r="M150">
            <v>0</v>
          </cell>
        </row>
        <row r="151">
          <cell r="M151">
            <v>0</v>
          </cell>
        </row>
        <row r="152">
          <cell r="M152">
            <v>0</v>
          </cell>
        </row>
        <row r="153">
          <cell r="M153">
            <v>0</v>
          </cell>
        </row>
        <row r="154">
          <cell r="A154" t="str">
            <v>S7</v>
          </cell>
          <cell r="M154">
            <v>0</v>
          </cell>
        </row>
        <row r="157">
          <cell r="M157">
            <v>5</v>
          </cell>
        </row>
        <row r="160">
          <cell r="A160">
            <v>14</v>
          </cell>
          <cell r="M160">
            <v>2.3000000000000003</v>
          </cell>
        </row>
        <row r="161">
          <cell r="A161">
            <v>92</v>
          </cell>
          <cell r="M161">
            <v>5</v>
          </cell>
        </row>
        <row r="162">
          <cell r="A162">
            <v>107</v>
          </cell>
          <cell r="M162">
            <v>10</v>
          </cell>
        </row>
        <row r="163">
          <cell r="A163">
            <v>50</v>
          </cell>
          <cell r="M163">
            <v>10</v>
          </cell>
        </row>
        <row r="164">
          <cell r="A164">
            <v>740</v>
          </cell>
          <cell r="M164">
            <v>10</v>
          </cell>
        </row>
        <row r="165">
          <cell r="A165">
            <v>71</v>
          </cell>
          <cell r="M165">
            <v>0.05</v>
          </cell>
        </row>
        <row r="166">
          <cell r="M166">
            <v>0</v>
          </cell>
        </row>
        <row r="167">
          <cell r="M167">
            <v>0</v>
          </cell>
        </row>
        <row r="168">
          <cell r="M168">
            <v>0</v>
          </cell>
        </row>
        <row r="169">
          <cell r="M169">
            <v>0</v>
          </cell>
        </row>
        <row r="170">
          <cell r="M170">
            <v>0</v>
          </cell>
        </row>
        <row r="171">
          <cell r="M171">
            <v>0</v>
          </cell>
        </row>
        <row r="172">
          <cell r="M172">
            <v>0</v>
          </cell>
        </row>
        <row r="173">
          <cell r="M173">
            <v>0</v>
          </cell>
        </row>
        <row r="174">
          <cell r="M174">
            <v>0</v>
          </cell>
        </row>
        <row r="175">
          <cell r="M175">
            <v>0</v>
          </cell>
        </row>
        <row r="176">
          <cell r="A176" t="str">
            <v>S8</v>
          </cell>
          <cell r="M176">
            <v>0</v>
          </cell>
        </row>
        <row r="179">
          <cell r="M179">
            <v>4</v>
          </cell>
        </row>
        <row r="182">
          <cell r="A182">
            <v>95</v>
          </cell>
          <cell r="M182">
            <v>8</v>
          </cell>
        </row>
        <row r="183">
          <cell r="A183">
            <v>113</v>
          </cell>
          <cell r="M183">
            <v>16</v>
          </cell>
        </row>
        <row r="184">
          <cell r="M184">
            <v>0</v>
          </cell>
        </row>
        <row r="185">
          <cell r="M185">
            <v>0</v>
          </cell>
        </row>
        <row r="186">
          <cell r="M186">
            <v>0</v>
          </cell>
        </row>
        <row r="187">
          <cell r="M187">
            <v>0</v>
          </cell>
        </row>
        <row r="188">
          <cell r="M188">
            <v>0</v>
          </cell>
        </row>
        <row r="189">
          <cell r="M189">
            <v>0</v>
          </cell>
        </row>
        <row r="190">
          <cell r="M190">
            <v>0</v>
          </cell>
        </row>
        <row r="191">
          <cell r="M191">
            <v>0</v>
          </cell>
        </row>
        <row r="192">
          <cell r="M192">
            <v>0</v>
          </cell>
        </row>
        <row r="193">
          <cell r="M193">
            <v>0</v>
          </cell>
        </row>
        <row r="194">
          <cell r="M194">
            <v>0</v>
          </cell>
        </row>
        <row r="195">
          <cell r="M195">
            <v>0</v>
          </cell>
        </row>
        <row r="196">
          <cell r="M196">
            <v>0</v>
          </cell>
        </row>
        <row r="197">
          <cell r="M197">
            <v>0</v>
          </cell>
        </row>
        <row r="198">
          <cell r="A198" t="str">
            <v>S9</v>
          </cell>
          <cell r="M198">
            <v>0</v>
          </cell>
        </row>
        <row r="201">
          <cell r="M201">
            <v>22</v>
          </cell>
        </row>
        <row r="204">
          <cell r="A204">
            <v>98</v>
          </cell>
          <cell r="M204">
            <v>44</v>
          </cell>
        </row>
        <row r="205">
          <cell r="M205">
            <v>0</v>
          </cell>
        </row>
        <row r="206">
          <cell r="M206">
            <v>0</v>
          </cell>
        </row>
        <row r="207">
          <cell r="M207">
            <v>0</v>
          </cell>
        </row>
        <row r="208">
          <cell r="M208">
            <v>0</v>
          </cell>
        </row>
        <row r="209">
          <cell r="M209">
            <v>0</v>
          </cell>
        </row>
        <row r="210">
          <cell r="M210">
            <v>0</v>
          </cell>
        </row>
        <row r="211">
          <cell r="M211">
            <v>0</v>
          </cell>
        </row>
        <row r="212">
          <cell r="M212">
            <v>0</v>
          </cell>
        </row>
        <row r="213">
          <cell r="M213">
            <v>0</v>
          </cell>
        </row>
        <row r="214">
          <cell r="M214">
            <v>0</v>
          </cell>
        </row>
        <row r="215">
          <cell r="M215">
            <v>0</v>
          </cell>
        </row>
        <row r="216">
          <cell r="M216">
            <v>0</v>
          </cell>
        </row>
        <row r="217">
          <cell r="M217">
            <v>0</v>
          </cell>
        </row>
        <row r="218">
          <cell r="M218">
            <v>0</v>
          </cell>
        </row>
        <row r="219">
          <cell r="M219">
            <v>0</v>
          </cell>
        </row>
        <row r="220">
          <cell r="A220" t="str">
            <v>S10</v>
          </cell>
          <cell r="M220">
            <v>0</v>
          </cell>
        </row>
        <row r="223">
          <cell r="M223">
            <v>2</v>
          </cell>
        </row>
        <row r="226">
          <cell r="A226">
            <v>101</v>
          </cell>
          <cell r="M226">
            <v>4</v>
          </cell>
        </row>
        <row r="227">
          <cell r="M227">
            <v>0</v>
          </cell>
        </row>
        <row r="228">
          <cell r="M228">
            <v>0</v>
          </cell>
        </row>
        <row r="229">
          <cell r="M229">
            <v>0</v>
          </cell>
        </row>
        <row r="230">
          <cell r="M230">
            <v>0</v>
          </cell>
        </row>
        <row r="231">
          <cell r="M231">
            <v>0</v>
          </cell>
        </row>
        <row r="232">
          <cell r="M232">
            <v>0</v>
          </cell>
        </row>
        <row r="233">
          <cell r="M233">
            <v>0</v>
          </cell>
        </row>
        <row r="234">
          <cell r="M234">
            <v>0</v>
          </cell>
        </row>
        <row r="235">
          <cell r="M235">
            <v>0</v>
          </cell>
        </row>
        <row r="236">
          <cell r="M236">
            <v>0</v>
          </cell>
        </row>
        <row r="237">
          <cell r="M237">
            <v>0</v>
          </cell>
        </row>
        <row r="238">
          <cell r="M238">
            <v>0</v>
          </cell>
        </row>
        <row r="239">
          <cell r="M239">
            <v>0</v>
          </cell>
        </row>
        <row r="240">
          <cell r="M240">
            <v>0</v>
          </cell>
        </row>
        <row r="241">
          <cell r="M241">
            <v>0</v>
          </cell>
        </row>
        <row r="242">
          <cell r="A242" t="str">
            <v>S11</v>
          </cell>
          <cell r="M242">
            <v>0</v>
          </cell>
        </row>
        <row r="245">
          <cell r="M245">
            <v>4</v>
          </cell>
        </row>
        <row r="248">
          <cell r="A248">
            <v>104</v>
          </cell>
          <cell r="M248">
            <v>8</v>
          </cell>
        </row>
        <row r="249">
          <cell r="A249">
            <v>113</v>
          </cell>
          <cell r="M249">
            <v>16</v>
          </cell>
        </row>
        <row r="250">
          <cell r="M250">
            <v>0</v>
          </cell>
        </row>
        <row r="251">
          <cell r="M251">
            <v>0</v>
          </cell>
        </row>
        <row r="252">
          <cell r="M252">
            <v>0</v>
          </cell>
        </row>
        <row r="253">
          <cell r="M253">
            <v>0</v>
          </cell>
        </row>
        <row r="254">
          <cell r="M254">
            <v>0</v>
          </cell>
        </row>
        <row r="255">
          <cell r="M255">
            <v>0</v>
          </cell>
        </row>
        <row r="256">
          <cell r="M256">
            <v>0</v>
          </cell>
        </row>
        <row r="257">
          <cell r="M257">
            <v>0</v>
          </cell>
        </row>
        <row r="258">
          <cell r="M258">
            <v>0</v>
          </cell>
        </row>
        <row r="259">
          <cell r="M259">
            <v>0</v>
          </cell>
        </row>
        <row r="260">
          <cell r="M260">
            <v>0</v>
          </cell>
        </row>
        <row r="261">
          <cell r="M261">
            <v>0</v>
          </cell>
        </row>
        <row r="262">
          <cell r="M262">
            <v>0</v>
          </cell>
        </row>
        <row r="263">
          <cell r="M263">
            <v>0</v>
          </cell>
        </row>
        <row r="264">
          <cell r="A264" t="str">
            <v>S12</v>
          </cell>
          <cell r="M264">
            <v>0</v>
          </cell>
        </row>
        <row r="267">
          <cell r="M267">
            <v>68.400000000000006</v>
          </cell>
        </row>
        <row r="270">
          <cell r="A270">
            <v>13</v>
          </cell>
          <cell r="M270">
            <v>3.4200000000000004</v>
          </cell>
        </row>
        <row r="271">
          <cell r="A271">
            <v>15</v>
          </cell>
          <cell r="M271">
            <v>3.4200000000000004</v>
          </cell>
        </row>
        <row r="272">
          <cell r="A272">
            <v>77</v>
          </cell>
          <cell r="M272">
            <v>68.400000000000006</v>
          </cell>
        </row>
        <row r="273">
          <cell r="M273">
            <v>0</v>
          </cell>
        </row>
        <row r="274">
          <cell r="M274">
            <v>0</v>
          </cell>
        </row>
        <row r="275">
          <cell r="M275">
            <v>0</v>
          </cell>
        </row>
        <row r="276">
          <cell r="M276">
            <v>0</v>
          </cell>
        </row>
        <row r="277">
          <cell r="M277">
            <v>0</v>
          </cell>
        </row>
        <row r="278">
          <cell r="M278">
            <v>0</v>
          </cell>
        </row>
        <row r="279">
          <cell r="M279">
            <v>0</v>
          </cell>
        </row>
        <row r="280">
          <cell r="M280">
            <v>0</v>
          </cell>
        </row>
        <row r="281">
          <cell r="M281">
            <v>0</v>
          </cell>
        </row>
        <row r="282">
          <cell r="M282">
            <v>0</v>
          </cell>
        </row>
        <row r="283">
          <cell r="M283">
            <v>0</v>
          </cell>
        </row>
        <row r="284">
          <cell r="M284">
            <v>0</v>
          </cell>
        </row>
        <row r="285">
          <cell r="M285">
            <v>0</v>
          </cell>
        </row>
        <row r="286">
          <cell r="A286" t="str">
            <v>S13</v>
          </cell>
          <cell r="M286">
            <v>0</v>
          </cell>
        </row>
        <row r="289">
          <cell r="M289">
            <v>2</v>
          </cell>
        </row>
        <row r="292">
          <cell r="A292">
            <v>74</v>
          </cell>
          <cell r="M292">
            <v>12</v>
          </cell>
        </row>
        <row r="293">
          <cell r="A293">
            <v>80</v>
          </cell>
          <cell r="M293">
            <v>2</v>
          </cell>
        </row>
        <row r="294">
          <cell r="M294">
            <v>0</v>
          </cell>
        </row>
        <row r="295">
          <cell r="M295">
            <v>0</v>
          </cell>
        </row>
        <row r="296">
          <cell r="M296">
            <v>0</v>
          </cell>
        </row>
        <row r="297">
          <cell r="M297">
            <v>0</v>
          </cell>
        </row>
        <row r="298">
          <cell r="M298">
            <v>0</v>
          </cell>
        </row>
        <row r="299">
          <cell r="M299">
            <v>0</v>
          </cell>
        </row>
        <row r="300">
          <cell r="M300">
            <v>0</v>
          </cell>
        </row>
        <row r="301">
          <cell r="M301">
            <v>0</v>
          </cell>
        </row>
        <row r="302">
          <cell r="M302">
            <v>0</v>
          </cell>
        </row>
        <row r="303">
          <cell r="M303">
            <v>0</v>
          </cell>
        </row>
        <row r="304">
          <cell r="M304">
            <v>0</v>
          </cell>
        </row>
        <row r="305">
          <cell r="M305">
            <v>0</v>
          </cell>
        </row>
        <row r="306">
          <cell r="M306">
            <v>0</v>
          </cell>
        </row>
        <row r="307">
          <cell r="M307">
            <v>0</v>
          </cell>
        </row>
        <row r="308">
          <cell r="A308" t="str">
            <v>S14</v>
          </cell>
          <cell r="M308">
            <v>0</v>
          </cell>
        </row>
        <row r="311">
          <cell r="M311">
            <v>40</v>
          </cell>
        </row>
        <row r="314">
          <cell r="A314">
            <v>116</v>
          </cell>
          <cell r="M314">
            <v>40</v>
          </cell>
        </row>
        <row r="315">
          <cell r="M315">
            <v>0</v>
          </cell>
        </row>
        <row r="316">
          <cell r="M316">
            <v>0</v>
          </cell>
        </row>
        <row r="317">
          <cell r="M317">
            <v>0</v>
          </cell>
        </row>
        <row r="318">
          <cell r="M318">
            <v>0</v>
          </cell>
        </row>
        <row r="319">
          <cell r="M319">
            <v>0</v>
          </cell>
        </row>
        <row r="320">
          <cell r="M320">
            <v>0</v>
          </cell>
        </row>
        <row r="321">
          <cell r="M321">
            <v>0</v>
          </cell>
        </row>
        <row r="322">
          <cell r="M322">
            <v>0</v>
          </cell>
        </row>
        <row r="323">
          <cell r="M323">
            <v>0</v>
          </cell>
        </row>
        <row r="324">
          <cell r="M324">
            <v>0</v>
          </cell>
        </row>
        <row r="325">
          <cell r="M325">
            <v>0</v>
          </cell>
        </row>
        <row r="326">
          <cell r="M326">
            <v>0</v>
          </cell>
        </row>
        <row r="327">
          <cell r="M327">
            <v>0</v>
          </cell>
        </row>
        <row r="328">
          <cell r="M328">
            <v>0</v>
          </cell>
        </row>
        <row r="329">
          <cell r="M329">
            <v>0</v>
          </cell>
        </row>
        <row r="330">
          <cell r="A330" t="str">
            <v>S15</v>
          </cell>
          <cell r="M330">
            <v>0</v>
          </cell>
        </row>
        <row r="333">
          <cell r="M333">
            <v>13</v>
          </cell>
        </row>
        <row r="336">
          <cell r="A336">
            <v>14</v>
          </cell>
          <cell r="M336">
            <v>0.41600000000000004</v>
          </cell>
        </row>
        <row r="337">
          <cell r="A337">
            <v>252</v>
          </cell>
          <cell r="M337">
            <v>6.5</v>
          </cell>
        </row>
        <row r="338">
          <cell r="A338">
            <v>254</v>
          </cell>
          <cell r="M338">
            <v>65</v>
          </cell>
        </row>
        <row r="339">
          <cell r="M339">
            <v>0</v>
          </cell>
        </row>
        <row r="340">
          <cell r="M340">
            <v>0</v>
          </cell>
        </row>
        <row r="341">
          <cell r="M341">
            <v>0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A352" t="str">
            <v>S16</v>
          </cell>
          <cell r="M352">
            <v>0</v>
          </cell>
        </row>
        <row r="355">
          <cell r="M355">
            <v>22</v>
          </cell>
        </row>
        <row r="358">
          <cell r="A358">
            <v>22</v>
          </cell>
          <cell r="M358">
            <v>6.71</v>
          </cell>
        </row>
        <row r="359">
          <cell r="A359">
            <v>114</v>
          </cell>
          <cell r="M359">
            <v>22</v>
          </cell>
        </row>
        <row r="360">
          <cell r="A360">
            <v>115</v>
          </cell>
          <cell r="M360">
            <v>44</v>
          </cell>
        </row>
        <row r="361">
          <cell r="A361">
            <v>117</v>
          </cell>
          <cell r="M361">
            <v>44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A374" t="str">
            <v>S17</v>
          </cell>
          <cell r="M374">
            <v>0</v>
          </cell>
        </row>
        <row r="377">
          <cell r="M377">
            <v>3</v>
          </cell>
        </row>
        <row r="380">
          <cell r="A380">
            <v>22</v>
          </cell>
          <cell r="M380">
            <v>1.44</v>
          </cell>
        </row>
        <row r="381">
          <cell r="A381">
            <v>324</v>
          </cell>
          <cell r="M381">
            <v>3</v>
          </cell>
        </row>
        <row r="382">
          <cell r="M382">
            <v>0</v>
          </cell>
        </row>
        <row r="383">
          <cell r="M383">
            <v>0</v>
          </cell>
        </row>
        <row r="384">
          <cell r="M384">
            <v>0</v>
          </cell>
        </row>
        <row r="385">
          <cell r="M385">
            <v>0</v>
          </cell>
        </row>
        <row r="386">
          <cell r="M386">
            <v>0</v>
          </cell>
        </row>
        <row r="387">
          <cell r="M387">
            <v>0</v>
          </cell>
        </row>
        <row r="388">
          <cell r="M388">
            <v>0</v>
          </cell>
        </row>
        <row r="389">
          <cell r="M389">
            <v>0</v>
          </cell>
        </row>
        <row r="390">
          <cell r="M390">
            <v>0</v>
          </cell>
        </row>
        <row r="391">
          <cell r="M391">
            <v>0</v>
          </cell>
        </row>
        <row r="392">
          <cell r="M392">
            <v>0</v>
          </cell>
        </row>
        <row r="393">
          <cell r="M393">
            <v>0</v>
          </cell>
        </row>
        <row r="394">
          <cell r="M394">
            <v>0</v>
          </cell>
        </row>
        <row r="395">
          <cell r="M395">
            <v>0</v>
          </cell>
        </row>
        <row r="396">
          <cell r="A396" t="str">
            <v>S18</v>
          </cell>
          <cell r="M396">
            <v>0</v>
          </cell>
        </row>
        <row r="399">
          <cell r="M399">
            <v>2</v>
          </cell>
        </row>
        <row r="402">
          <cell r="A402">
            <v>22</v>
          </cell>
          <cell r="M402">
            <v>0.13</v>
          </cell>
        </row>
        <row r="403">
          <cell r="A403">
            <v>119</v>
          </cell>
          <cell r="M403">
            <v>2</v>
          </cell>
        </row>
        <row r="404">
          <cell r="A404">
            <v>120</v>
          </cell>
          <cell r="M404">
            <v>2</v>
          </cell>
        </row>
        <row r="405">
          <cell r="A405">
            <v>108</v>
          </cell>
          <cell r="M405">
            <v>2</v>
          </cell>
        </row>
        <row r="406">
          <cell r="M406">
            <v>0</v>
          </cell>
        </row>
        <row r="407">
          <cell r="M407">
            <v>0</v>
          </cell>
        </row>
        <row r="408">
          <cell r="M408">
            <v>0</v>
          </cell>
        </row>
        <row r="409">
          <cell r="M409">
            <v>0</v>
          </cell>
        </row>
        <row r="410">
          <cell r="M410">
            <v>0</v>
          </cell>
        </row>
        <row r="411">
          <cell r="M411">
            <v>0</v>
          </cell>
        </row>
        <row r="412">
          <cell r="M412">
            <v>0</v>
          </cell>
        </row>
        <row r="413">
          <cell r="M413">
            <v>0</v>
          </cell>
        </row>
        <row r="414">
          <cell r="M414">
            <v>0</v>
          </cell>
        </row>
        <row r="415">
          <cell r="M415">
            <v>0</v>
          </cell>
        </row>
        <row r="416">
          <cell r="M416">
            <v>0</v>
          </cell>
        </row>
        <row r="417">
          <cell r="M417">
            <v>0</v>
          </cell>
        </row>
        <row r="418">
          <cell r="A418" t="str">
            <v>S19</v>
          </cell>
          <cell r="M418">
            <v>0</v>
          </cell>
        </row>
        <row r="421">
          <cell r="M421">
            <v>2</v>
          </cell>
        </row>
        <row r="424">
          <cell r="A424">
            <v>22</v>
          </cell>
          <cell r="M424">
            <v>0.13</v>
          </cell>
        </row>
        <row r="425">
          <cell r="A425">
            <v>118</v>
          </cell>
          <cell r="M425">
            <v>2</v>
          </cell>
        </row>
        <row r="426">
          <cell r="M426">
            <v>0</v>
          </cell>
        </row>
        <row r="427">
          <cell r="M427">
            <v>0</v>
          </cell>
        </row>
        <row r="428">
          <cell r="M428">
            <v>0</v>
          </cell>
        </row>
        <row r="429">
          <cell r="M429">
            <v>0</v>
          </cell>
        </row>
        <row r="430">
          <cell r="M430">
            <v>0</v>
          </cell>
        </row>
        <row r="431">
          <cell r="M431">
            <v>0</v>
          </cell>
        </row>
        <row r="432">
          <cell r="M432">
            <v>0</v>
          </cell>
        </row>
        <row r="433">
          <cell r="M433">
            <v>0</v>
          </cell>
        </row>
        <row r="434">
          <cell r="M434">
            <v>0</v>
          </cell>
        </row>
        <row r="435">
          <cell r="M435">
            <v>0</v>
          </cell>
        </row>
        <row r="436">
          <cell r="M436">
            <v>0</v>
          </cell>
        </row>
        <row r="437">
          <cell r="M437">
            <v>0</v>
          </cell>
        </row>
        <row r="438">
          <cell r="M438">
            <v>0</v>
          </cell>
        </row>
        <row r="439">
          <cell r="M439">
            <v>0</v>
          </cell>
        </row>
        <row r="440">
          <cell r="A440" t="str">
            <v>S20</v>
          </cell>
          <cell r="M440">
            <v>0</v>
          </cell>
        </row>
        <row r="443">
          <cell r="M443">
            <v>186</v>
          </cell>
        </row>
        <row r="446">
          <cell r="A446">
            <v>14</v>
          </cell>
          <cell r="M446">
            <v>24.18</v>
          </cell>
        </row>
        <row r="447">
          <cell r="A447">
            <v>125</v>
          </cell>
          <cell r="M447">
            <v>204.60000000000002</v>
          </cell>
        </row>
        <row r="448">
          <cell r="M448">
            <v>0</v>
          </cell>
        </row>
        <row r="449">
          <cell r="M449">
            <v>0</v>
          </cell>
        </row>
        <row r="450">
          <cell r="M450">
            <v>0</v>
          </cell>
        </row>
        <row r="451">
          <cell r="M451">
            <v>0</v>
          </cell>
        </row>
        <row r="452">
          <cell r="M452">
            <v>0</v>
          </cell>
        </row>
        <row r="453">
          <cell r="M453">
            <v>0</v>
          </cell>
        </row>
        <row r="454">
          <cell r="M454">
            <v>0</v>
          </cell>
        </row>
        <row r="455">
          <cell r="M455">
            <v>0</v>
          </cell>
        </row>
        <row r="456">
          <cell r="M456">
            <v>0</v>
          </cell>
        </row>
        <row r="457">
          <cell r="M457">
            <v>0</v>
          </cell>
        </row>
        <row r="458">
          <cell r="M458">
            <v>0</v>
          </cell>
        </row>
        <row r="459">
          <cell r="M459">
            <v>0</v>
          </cell>
        </row>
        <row r="460">
          <cell r="M460">
            <v>0</v>
          </cell>
        </row>
        <row r="461">
          <cell r="M461">
            <v>0</v>
          </cell>
        </row>
        <row r="462">
          <cell r="A462" t="str">
            <v>S21</v>
          </cell>
          <cell r="M462">
            <v>0</v>
          </cell>
        </row>
        <row r="465">
          <cell r="M465">
            <v>44</v>
          </cell>
        </row>
        <row r="468">
          <cell r="A468">
            <v>14</v>
          </cell>
          <cell r="M468">
            <v>4.0039999999999996</v>
          </cell>
        </row>
        <row r="469">
          <cell r="A469">
            <v>124</v>
          </cell>
          <cell r="M469">
            <v>48.400000000000006</v>
          </cell>
        </row>
        <row r="470">
          <cell r="M470">
            <v>0</v>
          </cell>
        </row>
        <row r="471">
          <cell r="M471">
            <v>0</v>
          </cell>
        </row>
        <row r="472">
          <cell r="M472">
            <v>0</v>
          </cell>
        </row>
        <row r="473">
          <cell r="M473">
            <v>0</v>
          </cell>
        </row>
        <row r="474">
          <cell r="M474">
            <v>0</v>
          </cell>
        </row>
        <row r="475">
          <cell r="M475">
            <v>0</v>
          </cell>
        </row>
        <row r="476">
          <cell r="M476">
            <v>0</v>
          </cell>
        </row>
        <row r="477">
          <cell r="M477">
            <v>0</v>
          </cell>
        </row>
        <row r="478">
          <cell r="M478">
            <v>0</v>
          </cell>
        </row>
        <row r="479">
          <cell r="M479">
            <v>0</v>
          </cell>
        </row>
        <row r="480">
          <cell r="M480">
            <v>0</v>
          </cell>
        </row>
        <row r="481">
          <cell r="M481">
            <v>0</v>
          </cell>
        </row>
        <row r="482">
          <cell r="M482">
            <v>0</v>
          </cell>
        </row>
        <row r="483">
          <cell r="M483">
            <v>0</v>
          </cell>
        </row>
        <row r="484">
          <cell r="A484" t="str">
            <v>S22</v>
          </cell>
          <cell r="M484">
            <v>0</v>
          </cell>
        </row>
        <row r="487">
          <cell r="M487">
            <v>40</v>
          </cell>
        </row>
        <row r="490">
          <cell r="A490">
            <v>14</v>
          </cell>
          <cell r="M490">
            <v>3.08</v>
          </cell>
        </row>
        <row r="491">
          <cell r="A491">
            <v>123</v>
          </cell>
          <cell r="M491">
            <v>44</v>
          </cell>
        </row>
        <row r="492">
          <cell r="M492">
            <v>0</v>
          </cell>
        </row>
        <row r="493">
          <cell r="M493">
            <v>0</v>
          </cell>
        </row>
        <row r="494">
          <cell r="M494">
            <v>0</v>
          </cell>
        </row>
        <row r="495">
          <cell r="M495">
            <v>0</v>
          </cell>
        </row>
        <row r="496">
          <cell r="M496">
            <v>0</v>
          </cell>
        </row>
        <row r="497">
          <cell r="M497">
            <v>0</v>
          </cell>
        </row>
        <row r="498">
          <cell r="M498">
            <v>0</v>
          </cell>
        </row>
        <row r="499">
          <cell r="M499">
            <v>0</v>
          </cell>
        </row>
        <row r="500">
          <cell r="M500">
            <v>0</v>
          </cell>
        </row>
        <row r="501">
          <cell r="M501">
            <v>0</v>
          </cell>
        </row>
        <row r="502">
          <cell r="M502">
            <v>0</v>
          </cell>
        </row>
        <row r="503">
          <cell r="M503">
            <v>0</v>
          </cell>
        </row>
        <row r="504">
          <cell r="M504">
            <v>0</v>
          </cell>
        </row>
        <row r="505">
          <cell r="M505">
            <v>0</v>
          </cell>
        </row>
        <row r="506">
          <cell r="A506" t="str">
            <v>S23</v>
          </cell>
          <cell r="M506">
            <v>0</v>
          </cell>
        </row>
        <row r="509">
          <cell r="M509">
            <v>45</v>
          </cell>
        </row>
        <row r="512">
          <cell r="A512">
            <v>20</v>
          </cell>
          <cell r="M512">
            <v>3.1500000000000004</v>
          </cell>
        </row>
        <row r="513">
          <cell r="A513">
            <v>444</v>
          </cell>
          <cell r="M513">
            <v>1.5750000000000002</v>
          </cell>
        </row>
        <row r="514">
          <cell r="A514">
            <v>295</v>
          </cell>
          <cell r="M514">
            <v>47.25</v>
          </cell>
        </row>
        <row r="515">
          <cell r="M515">
            <v>0</v>
          </cell>
        </row>
        <row r="516">
          <cell r="M516">
            <v>0</v>
          </cell>
        </row>
        <row r="517">
          <cell r="M517">
            <v>0</v>
          </cell>
        </row>
        <row r="518">
          <cell r="M518">
            <v>0</v>
          </cell>
        </row>
        <row r="519">
          <cell r="M519">
            <v>0</v>
          </cell>
        </row>
        <row r="520">
          <cell r="M520">
            <v>0</v>
          </cell>
        </row>
        <row r="521">
          <cell r="M521">
            <v>0</v>
          </cell>
        </row>
        <row r="522">
          <cell r="M522">
            <v>0</v>
          </cell>
        </row>
        <row r="523">
          <cell r="M523">
            <v>0</v>
          </cell>
        </row>
        <row r="524">
          <cell r="M524">
            <v>0</v>
          </cell>
        </row>
        <row r="525">
          <cell r="M525">
            <v>0</v>
          </cell>
        </row>
        <row r="526">
          <cell r="M526">
            <v>0</v>
          </cell>
        </row>
        <row r="527">
          <cell r="M527">
            <v>0</v>
          </cell>
        </row>
        <row r="528">
          <cell r="A528" t="str">
            <v>S24</v>
          </cell>
          <cell r="M528">
            <v>0</v>
          </cell>
        </row>
        <row r="531">
          <cell r="M531">
            <v>45</v>
          </cell>
        </row>
        <row r="534">
          <cell r="A534">
            <v>20</v>
          </cell>
          <cell r="M534">
            <v>2.25</v>
          </cell>
        </row>
        <row r="535">
          <cell r="M535">
            <v>0</v>
          </cell>
        </row>
        <row r="536">
          <cell r="M536">
            <v>0</v>
          </cell>
        </row>
        <row r="537">
          <cell r="M537">
            <v>0</v>
          </cell>
        </row>
        <row r="538">
          <cell r="M538">
            <v>0</v>
          </cell>
        </row>
        <row r="539">
          <cell r="M539">
            <v>0</v>
          </cell>
        </row>
        <row r="540">
          <cell r="M540">
            <v>0</v>
          </cell>
        </row>
        <row r="541">
          <cell r="M541">
            <v>0</v>
          </cell>
        </row>
        <row r="542">
          <cell r="M542">
            <v>0</v>
          </cell>
        </row>
        <row r="543">
          <cell r="M543">
            <v>0</v>
          </cell>
        </row>
        <row r="544">
          <cell r="M544">
            <v>0</v>
          </cell>
        </row>
        <row r="545">
          <cell r="M545">
            <v>0</v>
          </cell>
        </row>
        <row r="546">
          <cell r="M546">
            <v>0</v>
          </cell>
        </row>
        <row r="547">
          <cell r="M547">
            <v>0</v>
          </cell>
        </row>
        <row r="548">
          <cell r="M548">
            <v>0</v>
          </cell>
        </row>
        <row r="549">
          <cell r="M549">
            <v>0</v>
          </cell>
        </row>
        <row r="550">
          <cell r="A550" t="str">
            <v>S25</v>
          </cell>
          <cell r="M550">
            <v>0</v>
          </cell>
        </row>
        <row r="553">
          <cell r="M553">
            <v>27</v>
          </cell>
        </row>
        <row r="556">
          <cell r="A556">
            <v>22</v>
          </cell>
          <cell r="M556">
            <v>0.83699999999999997</v>
          </cell>
        </row>
        <row r="557">
          <cell r="A557">
            <v>236</v>
          </cell>
          <cell r="M557">
            <v>28.35</v>
          </cell>
        </row>
        <row r="558">
          <cell r="M558">
            <v>0</v>
          </cell>
        </row>
        <row r="559">
          <cell r="M559">
            <v>0</v>
          </cell>
        </row>
        <row r="560">
          <cell r="M560">
            <v>0</v>
          </cell>
        </row>
        <row r="561">
          <cell r="M561">
            <v>0</v>
          </cell>
        </row>
        <row r="562">
          <cell r="M562">
            <v>0</v>
          </cell>
        </row>
        <row r="563">
          <cell r="M563">
            <v>0</v>
          </cell>
        </row>
        <row r="564">
          <cell r="M564">
            <v>0</v>
          </cell>
        </row>
        <row r="565">
          <cell r="M565">
            <v>0</v>
          </cell>
        </row>
        <row r="566">
          <cell r="M566">
            <v>0</v>
          </cell>
        </row>
        <row r="567">
          <cell r="M567">
            <v>0</v>
          </cell>
        </row>
        <row r="568">
          <cell r="M568">
            <v>0</v>
          </cell>
        </row>
        <row r="569">
          <cell r="M569">
            <v>0</v>
          </cell>
        </row>
        <row r="570">
          <cell r="M570">
            <v>0</v>
          </cell>
        </row>
        <row r="571">
          <cell r="M571">
            <v>0</v>
          </cell>
        </row>
        <row r="572">
          <cell r="A572" t="str">
            <v>S26</v>
          </cell>
          <cell r="M572">
            <v>0</v>
          </cell>
        </row>
        <row r="575">
          <cell r="M575">
            <v>16.2</v>
          </cell>
        </row>
        <row r="578">
          <cell r="A578">
            <v>22</v>
          </cell>
          <cell r="M578">
            <v>0.50219999999999998</v>
          </cell>
        </row>
        <row r="579">
          <cell r="A579">
            <v>239</v>
          </cell>
          <cell r="M579">
            <v>17.010000000000002</v>
          </cell>
        </row>
        <row r="580">
          <cell r="M580">
            <v>0</v>
          </cell>
        </row>
        <row r="581">
          <cell r="M581">
            <v>0</v>
          </cell>
        </row>
        <row r="582">
          <cell r="M582">
            <v>0</v>
          </cell>
        </row>
        <row r="583">
          <cell r="M583">
            <v>0</v>
          </cell>
        </row>
        <row r="584">
          <cell r="M584">
            <v>0</v>
          </cell>
        </row>
        <row r="585">
          <cell r="M585">
            <v>0</v>
          </cell>
        </row>
        <row r="586">
          <cell r="M586">
            <v>0</v>
          </cell>
        </row>
        <row r="587">
          <cell r="M587">
            <v>0</v>
          </cell>
        </row>
        <row r="588">
          <cell r="M588">
            <v>0</v>
          </cell>
        </row>
        <row r="589">
          <cell r="M589">
            <v>0</v>
          </cell>
        </row>
        <row r="590">
          <cell r="M590">
            <v>0</v>
          </cell>
        </row>
        <row r="591">
          <cell r="M591">
            <v>0</v>
          </cell>
        </row>
        <row r="592">
          <cell r="M592">
            <v>0</v>
          </cell>
        </row>
        <row r="593">
          <cell r="M593">
            <v>0</v>
          </cell>
        </row>
        <row r="594">
          <cell r="A594" t="str">
            <v>S27</v>
          </cell>
          <cell r="M594">
            <v>0</v>
          </cell>
        </row>
        <row r="597">
          <cell r="M597">
            <v>4.5</v>
          </cell>
        </row>
        <row r="600">
          <cell r="A600">
            <v>22</v>
          </cell>
          <cell r="M600">
            <v>0.09</v>
          </cell>
        </row>
        <row r="601">
          <cell r="A601">
            <v>242</v>
          </cell>
          <cell r="M601">
            <v>4.7250000000000005</v>
          </cell>
        </row>
        <row r="602">
          <cell r="M602">
            <v>0</v>
          </cell>
        </row>
        <row r="603">
          <cell r="M603">
            <v>0</v>
          </cell>
        </row>
        <row r="604">
          <cell r="M604">
            <v>0</v>
          </cell>
        </row>
        <row r="605">
          <cell r="M605">
            <v>0</v>
          </cell>
        </row>
        <row r="606">
          <cell r="M606">
            <v>0</v>
          </cell>
        </row>
        <row r="607">
          <cell r="M607">
            <v>0</v>
          </cell>
        </row>
        <row r="608">
          <cell r="M608">
            <v>0</v>
          </cell>
        </row>
        <row r="609">
          <cell r="M609">
            <v>0</v>
          </cell>
        </row>
        <row r="610">
          <cell r="M610">
            <v>0</v>
          </cell>
        </row>
        <row r="611">
          <cell r="M611">
            <v>0</v>
          </cell>
        </row>
        <row r="612">
          <cell r="M612">
            <v>0</v>
          </cell>
        </row>
        <row r="613">
          <cell r="M613">
            <v>0</v>
          </cell>
        </row>
        <row r="614">
          <cell r="M614">
            <v>0</v>
          </cell>
        </row>
        <row r="615">
          <cell r="M615">
            <v>0</v>
          </cell>
        </row>
        <row r="616">
          <cell r="A616" t="str">
            <v>S28</v>
          </cell>
          <cell r="M616">
            <v>0</v>
          </cell>
        </row>
        <row r="619">
          <cell r="M619">
            <v>157</v>
          </cell>
        </row>
        <row r="622">
          <cell r="A622">
            <v>22</v>
          </cell>
          <cell r="M622">
            <v>3.14</v>
          </cell>
        </row>
        <row r="623">
          <cell r="A623">
            <v>245</v>
          </cell>
          <cell r="M623">
            <v>164.85</v>
          </cell>
        </row>
        <row r="624">
          <cell r="M624">
            <v>0</v>
          </cell>
        </row>
        <row r="625">
          <cell r="M625">
            <v>0</v>
          </cell>
        </row>
        <row r="626">
          <cell r="M626">
            <v>0</v>
          </cell>
        </row>
        <row r="627">
          <cell r="M627">
            <v>0</v>
          </cell>
        </row>
        <row r="628">
          <cell r="M628">
            <v>0</v>
          </cell>
        </row>
        <row r="629">
          <cell r="M629">
            <v>0</v>
          </cell>
        </row>
        <row r="630">
          <cell r="M630">
            <v>0</v>
          </cell>
        </row>
        <row r="631">
          <cell r="M631">
            <v>0</v>
          </cell>
        </row>
        <row r="632">
          <cell r="M632">
            <v>0</v>
          </cell>
        </row>
        <row r="633">
          <cell r="M633">
            <v>0</v>
          </cell>
        </row>
        <row r="634">
          <cell r="M634">
            <v>0</v>
          </cell>
        </row>
        <row r="635">
          <cell r="M635">
            <v>0</v>
          </cell>
        </row>
        <row r="636">
          <cell r="M636">
            <v>0</v>
          </cell>
        </row>
        <row r="637">
          <cell r="M637">
            <v>0</v>
          </cell>
        </row>
        <row r="638">
          <cell r="A638" t="str">
            <v>S29</v>
          </cell>
          <cell r="M638">
            <v>0</v>
          </cell>
        </row>
        <row r="641">
          <cell r="M641">
            <v>46</v>
          </cell>
        </row>
        <row r="644">
          <cell r="A644">
            <v>26</v>
          </cell>
          <cell r="M644">
            <v>0.73599999999999999</v>
          </cell>
        </row>
        <row r="645">
          <cell r="A645">
            <v>249</v>
          </cell>
          <cell r="M645">
            <v>48.300000000000004</v>
          </cell>
        </row>
        <row r="646">
          <cell r="M646">
            <v>0</v>
          </cell>
        </row>
        <row r="647">
          <cell r="M647">
            <v>0</v>
          </cell>
        </row>
        <row r="648">
          <cell r="M648">
            <v>0</v>
          </cell>
        </row>
        <row r="649">
          <cell r="M649">
            <v>0</v>
          </cell>
        </row>
        <row r="650">
          <cell r="M650">
            <v>0</v>
          </cell>
        </row>
        <row r="651">
          <cell r="M651">
            <v>0</v>
          </cell>
        </row>
        <row r="652">
          <cell r="M652">
            <v>0</v>
          </cell>
        </row>
        <row r="653">
          <cell r="M653">
            <v>0</v>
          </cell>
        </row>
        <row r="654">
          <cell r="M654">
            <v>0</v>
          </cell>
        </row>
        <row r="655">
          <cell r="M655">
            <v>0</v>
          </cell>
        </row>
        <row r="656">
          <cell r="M656">
            <v>0</v>
          </cell>
        </row>
        <row r="657">
          <cell r="M657">
            <v>0</v>
          </cell>
        </row>
        <row r="658">
          <cell r="M658">
            <v>0</v>
          </cell>
        </row>
        <row r="659">
          <cell r="M659">
            <v>0</v>
          </cell>
        </row>
        <row r="660">
          <cell r="A660" t="str">
            <v>S30</v>
          </cell>
          <cell r="M660">
            <v>0</v>
          </cell>
        </row>
        <row r="663">
          <cell r="M663">
            <v>34</v>
          </cell>
        </row>
        <row r="666">
          <cell r="A666">
            <v>26</v>
          </cell>
          <cell r="M666">
            <v>0.47600000000000003</v>
          </cell>
        </row>
        <row r="667">
          <cell r="A667">
            <v>250</v>
          </cell>
          <cell r="M667">
            <v>35.700000000000003</v>
          </cell>
        </row>
        <row r="668">
          <cell r="M668">
            <v>0</v>
          </cell>
        </row>
        <row r="669">
          <cell r="M669">
            <v>0</v>
          </cell>
        </row>
        <row r="670">
          <cell r="M670">
            <v>0</v>
          </cell>
        </row>
        <row r="671">
          <cell r="M671">
            <v>0</v>
          </cell>
        </row>
        <row r="672">
          <cell r="M672">
            <v>0</v>
          </cell>
        </row>
        <row r="673">
          <cell r="M673">
            <v>0</v>
          </cell>
        </row>
        <row r="674">
          <cell r="M674">
            <v>0</v>
          </cell>
        </row>
        <row r="675">
          <cell r="M675">
            <v>0</v>
          </cell>
        </row>
        <row r="676">
          <cell r="M676">
            <v>0</v>
          </cell>
        </row>
        <row r="677">
          <cell r="M677">
            <v>0</v>
          </cell>
        </row>
        <row r="678">
          <cell r="M678">
            <v>0</v>
          </cell>
        </row>
        <row r="679">
          <cell r="M679">
            <v>0</v>
          </cell>
        </row>
        <row r="680">
          <cell r="M680">
            <v>0</v>
          </cell>
        </row>
        <row r="681">
          <cell r="M681">
            <v>0</v>
          </cell>
        </row>
        <row r="682">
          <cell r="A682" t="str">
            <v>S31</v>
          </cell>
          <cell r="M682">
            <v>0</v>
          </cell>
        </row>
        <row r="685">
          <cell r="M685">
            <v>76</v>
          </cell>
        </row>
        <row r="688">
          <cell r="A688">
            <v>13</v>
          </cell>
          <cell r="M688">
            <v>2.2799999999999998</v>
          </cell>
        </row>
        <row r="689">
          <cell r="A689">
            <v>15</v>
          </cell>
          <cell r="M689">
            <v>0.22800000000000001</v>
          </cell>
        </row>
        <row r="690">
          <cell r="M690">
            <v>0</v>
          </cell>
        </row>
        <row r="691">
          <cell r="M691">
            <v>0</v>
          </cell>
        </row>
        <row r="692">
          <cell r="M692">
            <v>0</v>
          </cell>
        </row>
        <row r="693">
          <cell r="M693">
            <v>0</v>
          </cell>
        </row>
        <row r="694">
          <cell r="M694">
            <v>0</v>
          </cell>
        </row>
        <row r="695">
          <cell r="M695">
            <v>0</v>
          </cell>
        </row>
        <row r="696">
          <cell r="M696">
            <v>0</v>
          </cell>
        </row>
        <row r="697">
          <cell r="M697">
            <v>0</v>
          </cell>
        </row>
        <row r="698">
          <cell r="M698">
            <v>0</v>
          </cell>
        </row>
        <row r="699">
          <cell r="M699">
            <v>0</v>
          </cell>
        </row>
        <row r="700">
          <cell r="M700">
            <v>0</v>
          </cell>
        </row>
        <row r="701">
          <cell r="M701">
            <v>0</v>
          </cell>
        </row>
        <row r="702">
          <cell r="M702">
            <v>0</v>
          </cell>
        </row>
        <row r="703">
          <cell r="M703">
            <v>0</v>
          </cell>
        </row>
        <row r="704">
          <cell r="A704" t="str">
            <v>S32</v>
          </cell>
          <cell r="M704">
            <v>0</v>
          </cell>
        </row>
        <row r="707">
          <cell r="M707">
            <v>2.2999999999999998</v>
          </cell>
        </row>
        <row r="710">
          <cell r="A710">
            <v>14</v>
          </cell>
          <cell r="M710">
            <v>1.3339999999999999</v>
          </cell>
        </row>
        <row r="711">
          <cell r="M711">
            <v>0</v>
          </cell>
        </row>
        <row r="712">
          <cell r="M712">
            <v>0</v>
          </cell>
        </row>
        <row r="713">
          <cell r="M713">
            <v>0</v>
          </cell>
        </row>
        <row r="714">
          <cell r="M714">
            <v>0</v>
          </cell>
        </row>
        <row r="715">
          <cell r="M715">
            <v>0</v>
          </cell>
        </row>
        <row r="716">
          <cell r="M716">
            <v>0</v>
          </cell>
        </row>
        <row r="717">
          <cell r="M717">
            <v>0</v>
          </cell>
        </row>
        <row r="718">
          <cell r="M718">
            <v>0</v>
          </cell>
        </row>
        <row r="719">
          <cell r="M719">
            <v>0</v>
          </cell>
        </row>
        <row r="720">
          <cell r="M720">
            <v>0</v>
          </cell>
        </row>
        <row r="721">
          <cell r="M721">
            <v>0</v>
          </cell>
        </row>
        <row r="722">
          <cell r="M722">
            <v>0</v>
          </cell>
        </row>
        <row r="723">
          <cell r="M723">
            <v>0</v>
          </cell>
        </row>
        <row r="724">
          <cell r="M724">
            <v>0</v>
          </cell>
        </row>
        <row r="725">
          <cell r="M725">
            <v>0</v>
          </cell>
        </row>
        <row r="726">
          <cell r="A726" t="str">
            <v>S33</v>
          </cell>
          <cell r="M726">
            <v>0</v>
          </cell>
        </row>
        <row r="729">
          <cell r="M729">
            <v>53</v>
          </cell>
        </row>
        <row r="732">
          <cell r="A732">
            <v>13</v>
          </cell>
          <cell r="M732">
            <v>3.7100000000000004</v>
          </cell>
        </row>
        <row r="733">
          <cell r="A733">
            <v>15</v>
          </cell>
          <cell r="M733">
            <v>1.06</v>
          </cell>
        </row>
        <row r="734">
          <cell r="M734">
            <v>0</v>
          </cell>
        </row>
        <row r="735">
          <cell r="M735">
            <v>0</v>
          </cell>
        </row>
        <row r="736">
          <cell r="M736">
            <v>0</v>
          </cell>
        </row>
        <row r="737">
          <cell r="M737">
            <v>0</v>
          </cell>
        </row>
        <row r="738">
          <cell r="M738">
            <v>0</v>
          </cell>
        </row>
        <row r="739">
          <cell r="M739">
            <v>0</v>
          </cell>
        </row>
        <row r="740">
          <cell r="M740">
            <v>0</v>
          </cell>
        </row>
        <row r="741">
          <cell r="M741">
            <v>0</v>
          </cell>
        </row>
        <row r="742">
          <cell r="M742">
            <v>0</v>
          </cell>
        </row>
        <row r="743">
          <cell r="M743">
            <v>0</v>
          </cell>
        </row>
        <row r="744">
          <cell r="M744">
            <v>0</v>
          </cell>
        </row>
        <row r="745">
          <cell r="M745">
            <v>0</v>
          </cell>
        </row>
        <row r="746">
          <cell r="M746">
            <v>0</v>
          </cell>
        </row>
        <row r="747">
          <cell r="M747">
            <v>0</v>
          </cell>
        </row>
        <row r="748">
          <cell r="A748" t="str">
            <v>S34</v>
          </cell>
          <cell r="M748">
            <v>0</v>
          </cell>
        </row>
        <row r="751">
          <cell r="M751">
            <v>50</v>
          </cell>
        </row>
        <row r="754">
          <cell r="A754">
            <v>13</v>
          </cell>
          <cell r="M754">
            <v>0.5</v>
          </cell>
        </row>
        <row r="755">
          <cell r="A755">
            <v>15</v>
          </cell>
          <cell r="M755">
            <v>0.5</v>
          </cell>
        </row>
        <row r="756">
          <cell r="M756">
            <v>0</v>
          </cell>
        </row>
        <row r="757">
          <cell r="M757">
            <v>0</v>
          </cell>
        </row>
        <row r="758">
          <cell r="M758">
            <v>0</v>
          </cell>
        </row>
        <row r="759">
          <cell r="M759">
            <v>0</v>
          </cell>
        </row>
        <row r="760">
          <cell r="M760">
            <v>0</v>
          </cell>
        </row>
        <row r="761">
          <cell r="M761">
            <v>0</v>
          </cell>
        </row>
        <row r="762">
          <cell r="M762">
            <v>0</v>
          </cell>
        </row>
        <row r="763">
          <cell r="M763">
            <v>0</v>
          </cell>
        </row>
        <row r="764">
          <cell r="M764">
            <v>0</v>
          </cell>
        </row>
        <row r="765">
          <cell r="M765">
            <v>0</v>
          </cell>
        </row>
        <row r="766">
          <cell r="M766">
            <v>0</v>
          </cell>
        </row>
        <row r="767">
          <cell r="M767">
            <v>0</v>
          </cell>
        </row>
        <row r="768">
          <cell r="M768">
            <v>0</v>
          </cell>
        </row>
        <row r="769">
          <cell r="M769">
            <v>0</v>
          </cell>
        </row>
        <row r="770">
          <cell r="A770" t="str">
            <v>S35</v>
          </cell>
          <cell r="M770">
            <v>0</v>
          </cell>
        </row>
        <row r="773">
          <cell r="M773">
            <v>9</v>
          </cell>
        </row>
        <row r="776">
          <cell r="A776">
            <v>22</v>
          </cell>
          <cell r="M776">
            <v>0.80999999999999994</v>
          </cell>
        </row>
        <row r="777">
          <cell r="M777">
            <v>0</v>
          </cell>
        </row>
        <row r="778">
          <cell r="M778">
            <v>0</v>
          </cell>
        </row>
        <row r="779">
          <cell r="M779">
            <v>0</v>
          </cell>
        </row>
        <row r="780">
          <cell r="M780">
            <v>0</v>
          </cell>
        </row>
        <row r="781">
          <cell r="M781">
            <v>0</v>
          </cell>
        </row>
        <row r="782">
          <cell r="M782">
            <v>0</v>
          </cell>
        </row>
        <row r="783">
          <cell r="M783">
            <v>0</v>
          </cell>
        </row>
        <row r="784">
          <cell r="M784">
            <v>0</v>
          </cell>
        </row>
        <row r="785">
          <cell r="M785">
            <v>0</v>
          </cell>
        </row>
        <row r="786">
          <cell r="M786">
            <v>0</v>
          </cell>
        </row>
        <row r="787">
          <cell r="M787">
            <v>0</v>
          </cell>
        </row>
        <row r="788">
          <cell r="M788">
            <v>0</v>
          </cell>
        </row>
        <row r="789">
          <cell r="M789">
            <v>0</v>
          </cell>
        </row>
        <row r="790">
          <cell r="M790">
            <v>0</v>
          </cell>
        </row>
        <row r="791">
          <cell r="M791">
            <v>0</v>
          </cell>
        </row>
        <row r="792">
          <cell r="A792" t="str">
            <v>S36</v>
          </cell>
          <cell r="M792">
            <v>0</v>
          </cell>
        </row>
        <row r="795">
          <cell r="M795">
            <v>2</v>
          </cell>
        </row>
        <row r="798">
          <cell r="A798">
            <v>22</v>
          </cell>
          <cell r="M798">
            <v>0.04</v>
          </cell>
        </row>
        <row r="799">
          <cell r="M799">
            <v>0</v>
          </cell>
        </row>
        <row r="800">
          <cell r="M800">
            <v>0</v>
          </cell>
        </row>
        <row r="801">
          <cell r="M801">
            <v>0</v>
          </cell>
        </row>
        <row r="802">
          <cell r="M802">
            <v>0</v>
          </cell>
        </row>
        <row r="803">
          <cell r="M803">
            <v>0</v>
          </cell>
        </row>
        <row r="804">
          <cell r="M804">
            <v>0</v>
          </cell>
        </row>
        <row r="805">
          <cell r="M805">
            <v>0</v>
          </cell>
        </row>
        <row r="806">
          <cell r="M806">
            <v>0</v>
          </cell>
        </row>
        <row r="807">
          <cell r="M807">
            <v>0</v>
          </cell>
        </row>
        <row r="808">
          <cell r="M808">
            <v>0</v>
          </cell>
        </row>
        <row r="809">
          <cell r="M809">
            <v>0</v>
          </cell>
        </row>
        <row r="810">
          <cell r="M810">
            <v>0</v>
          </cell>
        </row>
        <row r="811">
          <cell r="M811">
            <v>0</v>
          </cell>
        </row>
        <row r="812">
          <cell r="M812">
            <v>0</v>
          </cell>
        </row>
        <row r="813">
          <cell r="M813">
            <v>0</v>
          </cell>
        </row>
        <row r="814">
          <cell r="A814" t="str">
            <v>S37</v>
          </cell>
          <cell r="M814">
            <v>0</v>
          </cell>
        </row>
        <row r="817">
          <cell r="M817">
            <v>2</v>
          </cell>
        </row>
        <row r="820">
          <cell r="A820">
            <v>22</v>
          </cell>
          <cell r="M820">
            <v>0.04</v>
          </cell>
        </row>
        <row r="821">
          <cell r="M821">
            <v>0</v>
          </cell>
        </row>
        <row r="822">
          <cell r="M822">
            <v>0</v>
          </cell>
        </row>
        <row r="823">
          <cell r="M823">
            <v>0</v>
          </cell>
        </row>
        <row r="824">
          <cell r="M824">
            <v>0</v>
          </cell>
        </row>
        <row r="825">
          <cell r="M825">
            <v>0</v>
          </cell>
        </row>
        <row r="826">
          <cell r="M826">
            <v>0</v>
          </cell>
        </row>
        <row r="827">
          <cell r="M827">
            <v>0</v>
          </cell>
        </row>
        <row r="828">
          <cell r="M828">
            <v>0</v>
          </cell>
        </row>
        <row r="829">
          <cell r="M829">
            <v>0</v>
          </cell>
        </row>
        <row r="830">
          <cell r="M830">
            <v>0</v>
          </cell>
        </row>
        <row r="831">
          <cell r="M831">
            <v>0</v>
          </cell>
        </row>
        <row r="832">
          <cell r="M832">
            <v>0</v>
          </cell>
        </row>
        <row r="833">
          <cell r="M833">
            <v>0</v>
          </cell>
        </row>
        <row r="834">
          <cell r="M834">
            <v>0</v>
          </cell>
        </row>
        <row r="835">
          <cell r="M835">
            <v>0</v>
          </cell>
        </row>
        <row r="836">
          <cell r="A836" t="str">
            <v>S38</v>
          </cell>
          <cell r="M836">
            <v>0</v>
          </cell>
        </row>
        <row r="839">
          <cell r="M839">
            <v>13</v>
          </cell>
        </row>
        <row r="842">
          <cell r="A842">
            <v>26</v>
          </cell>
          <cell r="M842">
            <v>0.13</v>
          </cell>
        </row>
        <row r="843">
          <cell r="M843">
            <v>0</v>
          </cell>
        </row>
        <row r="844">
          <cell r="M844">
            <v>0</v>
          </cell>
        </row>
        <row r="845">
          <cell r="M845">
            <v>0</v>
          </cell>
        </row>
        <row r="846">
          <cell r="M846">
            <v>0</v>
          </cell>
        </row>
        <row r="847">
          <cell r="M847">
            <v>0</v>
          </cell>
        </row>
        <row r="848">
          <cell r="M848">
            <v>0</v>
          </cell>
        </row>
        <row r="849">
          <cell r="M849">
            <v>0</v>
          </cell>
        </row>
        <row r="850">
          <cell r="M850">
            <v>0</v>
          </cell>
        </row>
        <row r="851">
          <cell r="M851">
            <v>0</v>
          </cell>
        </row>
        <row r="852">
          <cell r="M852">
            <v>0</v>
          </cell>
        </row>
        <row r="853">
          <cell r="M853">
            <v>0</v>
          </cell>
        </row>
        <row r="854">
          <cell r="M854">
            <v>0</v>
          </cell>
        </row>
        <row r="855">
          <cell r="M855">
            <v>0</v>
          </cell>
        </row>
        <row r="856">
          <cell r="M856">
            <v>0</v>
          </cell>
        </row>
        <row r="857">
          <cell r="M857">
            <v>0</v>
          </cell>
        </row>
        <row r="858">
          <cell r="A858" t="str">
            <v>S39</v>
          </cell>
          <cell r="M858">
            <v>0</v>
          </cell>
        </row>
        <row r="861">
          <cell r="M861">
            <v>3</v>
          </cell>
        </row>
        <row r="864">
          <cell r="A864">
            <v>26</v>
          </cell>
          <cell r="M864">
            <v>0.03</v>
          </cell>
        </row>
        <row r="865">
          <cell r="M865">
            <v>0</v>
          </cell>
        </row>
        <row r="866">
          <cell r="M866">
            <v>0</v>
          </cell>
        </row>
        <row r="867">
          <cell r="M867">
            <v>0</v>
          </cell>
        </row>
        <row r="868">
          <cell r="M868">
            <v>0</v>
          </cell>
        </row>
        <row r="869">
          <cell r="M869">
            <v>0</v>
          </cell>
        </row>
        <row r="870">
          <cell r="M870">
            <v>0</v>
          </cell>
        </row>
        <row r="871">
          <cell r="M871">
            <v>0</v>
          </cell>
        </row>
        <row r="872">
          <cell r="M872">
            <v>0</v>
          </cell>
        </row>
        <row r="873">
          <cell r="M873">
            <v>0</v>
          </cell>
        </row>
        <row r="874">
          <cell r="M874">
            <v>0</v>
          </cell>
        </row>
        <row r="875">
          <cell r="M875">
            <v>0</v>
          </cell>
        </row>
        <row r="876">
          <cell r="M876">
            <v>0</v>
          </cell>
        </row>
        <row r="877">
          <cell r="M877">
            <v>0</v>
          </cell>
        </row>
        <row r="878">
          <cell r="M878">
            <v>0</v>
          </cell>
        </row>
        <row r="879">
          <cell r="M879">
            <v>0</v>
          </cell>
        </row>
        <row r="880">
          <cell r="A880" t="str">
            <v>S40</v>
          </cell>
          <cell r="M880">
            <v>0</v>
          </cell>
        </row>
        <row r="883">
          <cell r="M883">
            <v>64</v>
          </cell>
        </row>
        <row r="886">
          <cell r="A886">
            <v>26</v>
          </cell>
          <cell r="M886">
            <v>0.64</v>
          </cell>
        </row>
        <row r="887">
          <cell r="M887">
            <v>0</v>
          </cell>
        </row>
        <row r="888">
          <cell r="M888">
            <v>0</v>
          </cell>
        </row>
        <row r="889">
          <cell r="M889">
            <v>0</v>
          </cell>
        </row>
        <row r="890">
          <cell r="M890">
            <v>0</v>
          </cell>
        </row>
        <row r="891">
          <cell r="M891">
            <v>0</v>
          </cell>
        </row>
        <row r="892">
          <cell r="M892">
            <v>0</v>
          </cell>
        </row>
        <row r="893">
          <cell r="M893">
            <v>0</v>
          </cell>
        </row>
        <row r="894">
          <cell r="M894">
            <v>0</v>
          </cell>
        </row>
        <row r="895">
          <cell r="M895">
            <v>0</v>
          </cell>
        </row>
        <row r="896">
          <cell r="M896">
            <v>0</v>
          </cell>
        </row>
        <row r="897">
          <cell r="M897">
            <v>0</v>
          </cell>
        </row>
        <row r="898">
          <cell r="M898">
            <v>0</v>
          </cell>
        </row>
        <row r="899">
          <cell r="M899">
            <v>0</v>
          </cell>
        </row>
        <row r="900">
          <cell r="M900">
            <v>0</v>
          </cell>
        </row>
        <row r="901">
          <cell r="M901">
            <v>0</v>
          </cell>
        </row>
        <row r="902">
          <cell r="A902" t="str">
            <v>S41</v>
          </cell>
          <cell r="M902">
            <v>0</v>
          </cell>
        </row>
        <row r="905">
          <cell r="M905">
            <v>9.6</v>
          </cell>
        </row>
        <row r="908">
          <cell r="A908">
            <v>11</v>
          </cell>
          <cell r="M908">
            <v>0.13439999999999999</v>
          </cell>
        </row>
        <row r="909">
          <cell r="A909">
            <v>13</v>
          </cell>
          <cell r="M909">
            <v>0.14399999999999999</v>
          </cell>
        </row>
        <row r="910">
          <cell r="A910">
            <v>15</v>
          </cell>
          <cell r="M910">
            <v>9.6000000000000002E-2</v>
          </cell>
        </row>
        <row r="911">
          <cell r="A911">
            <v>329</v>
          </cell>
          <cell r="M911">
            <v>9.8879999999999999</v>
          </cell>
        </row>
        <row r="912">
          <cell r="M912">
            <v>0</v>
          </cell>
        </row>
        <row r="913">
          <cell r="M913">
            <v>0</v>
          </cell>
        </row>
        <row r="914">
          <cell r="M914">
            <v>0</v>
          </cell>
        </row>
        <row r="915">
          <cell r="M915">
            <v>0</v>
          </cell>
        </row>
        <row r="916">
          <cell r="M916">
            <v>0</v>
          </cell>
        </row>
        <row r="917">
          <cell r="M917">
            <v>0</v>
          </cell>
        </row>
        <row r="918">
          <cell r="M918">
            <v>0</v>
          </cell>
        </row>
        <row r="919">
          <cell r="M919">
            <v>0</v>
          </cell>
        </row>
        <row r="920">
          <cell r="M920">
            <v>0</v>
          </cell>
        </row>
        <row r="921">
          <cell r="M921">
            <v>0</v>
          </cell>
        </row>
        <row r="922">
          <cell r="M922">
            <v>0</v>
          </cell>
        </row>
        <row r="923">
          <cell r="M923">
            <v>0</v>
          </cell>
        </row>
        <row r="924">
          <cell r="A924" t="str">
            <v>S42</v>
          </cell>
          <cell r="M924">
            <v>0</v>
          </cell>
        </row>
        <row r="927">
          <cell r="M927">
            <v>9.6</v>
          </cell>
        </row>
        <row r="930">
          <cell r="A930">
            <v>11</v>
          </cell>
          <cell r="M930">
            <v>0.13439999999999999</v>
          </cell>
        </row>
        <row r="931">
          <cell r="A931">
            <v>13</v>
          </cell>
          <cell r="M931">
            <v>0.14399999999999999</v>
          </cell>
        </row>
        <row r="932">
          <cell r="A932">
            <v>15</v>
          </cell>
          <cell r="M932">
            <v>9.6000000000000002E-2</v>
          </cell>
        </row>
        <row r="933">
          <cell r="A933">
            <v>330</v>
          </cell>
          <cell r="M933">
            <v>9.8879999999999999</v>
          </cell>
        </row>
        <row r="934">
          <cell r="M934">
            <v>0</v>
          </cell>
        </row>
        <row r="935">
          <cell r="M935">
            <v>0</v>
          </cell>
        </row>
        <row r="936">
          <cell r="M936">
            <v>0</v>
          </cell>
        </row>
        <row r="937">
          <cell r="M937">
            <v>0</v>
          </cell>
        </row>
        <row r="938">
          <cell r="M938">
            <v>0</v>
          </cell>
        </row>
        <row r="939">
          <cell r="M939">
            <v>0</v>
          </cell>
        </row>
        <row r="940">
          <cell r="M940">
            <v>0</v>
          </cell>
        </row>
        <row r="941">
          <cell r="M941">
            <v>0</v>
          </cell>
        </row>
        <row r="942">
          <cell r="M942">
            <v>0</v>
          </cell>
        </row>
        <row r="943">
          <cell r="M943">
            <v>0</v>
          </cell>
        </row>
        <row r="944">
          <cell r="M944">
            <v>0</v>
          </cell>
        </row>
        <row r="945">
          <cell r="M945">
            <v>0</v>
          </cell>
        </row>
        <row r="946">
          <cell r="A946" t="str">
            <v>S43</v>
          </cell>
          <cell r="M946">
            <v>0</v>
          </cell>
        </row>
        <row r="949">
          <cell r="M949">
            <v>3.2</v>
          </cell>
        </row>
        <row r="952">
          <cell r="A952">
            <v>11</v>
          </cell>
          <cell r="M952">
            <v>4.4800000000000006E-2</v>
          </cell>
        </row>
        <row r="953">
          <cell r="A953">
            <v>13</v>
          </cell>
          <cell r="M953">
            <v>4.8000000000000001E-2</v>
          </cell>
        </row>
        <row r="954">
          <cell r="A954">
            <v>15</v>
          </cell>
          <cell r="M954">
            <v>3.2000000000000001E-2</v>
          </cell>
        </row>
        <row r="955">
          <cell r="A955">
            <v>331</v>
          </cell>
          <cell r="M955">
            <v>3.2960000000000003</v>
          </cell>
        </row>
        <row r="956">
          <cell r="M956">
            <v>0</v>
          </cell>
        </row>
        <row r="957">
          <cell r="M957">
            <v>0</v>
          </cell>
        </row>
        <row r="958">
          <cell r="M958">
            <v>0</v>
          </cell>
        </row>
        <row r="959">
          <cell r="M959">
            <v>0</v>
          </cell>
        </row>
        <row r="960">
          <cell r="M960">
            <v>0</v>
          </cell>
        </row>
        <row r="961">
          <cell r="M961">
            <v>0</v>
          </cell>
        </row>
        <row r="962">
          <cell r="M962">
            <v>0</v>
          </cell>
        </row>
        <row r="963">
          <cell r="M963">
            <v>0</v>
          </cell>
        </row>
        <row r="964">
          <cell r="M964">
            <v>0</v>
          </cell>
        </row>
        <row r="965">
          <cell r="M965">
            <v>0</v>
          </cell>
        </row>
        <row r="966">
          <cell r="M966">
            <v>0</v>
          </cell>
        </row>
        <row r="967">
          <cell r="M967">
            <v>0</v>
          </cell>
        </row>
        <row r="968">
          <cell r="A968" t="str">
            <v>S44</v>
          </cell>
          <cell r="M968">
            <v>0</v>
          </cell>
        </row>
        <row r="971">
          <cell r="M971">
            <v>16</v>
          </cell>
        </row>
        <row r="974">
          <cell r="A974">
            <v>11</v>
          </cell>
          <cell r="M974">
            <v>0.224</v>
          </cell>
        </row>
        <row r="975">
          <cell r="A975">
            <v>13</v>
          </cell>
          <cell r="M975">
            <v>0.24</v>
          </cell>
        </row>
        <row r="976">
          <cell r="A976">
            <v>15</v>
          </cell>
          <cell r="M976">
            <v>0.16</v>
          </cell>
        </row>
        <row r="977">
          <cell r="A977">
            <v>339</v>
          </cell>
          <cell r="M977">
            <v>16.48</v>
          </cell>
        </row>
        <row r="978">
          <cell r="M978">
            <v>0</v>
          </cell>
        </row>
        <row r="979">
          <cell r="M979">
            <v>0</v>
          </cell>
        </row>
        <row r="980">
          <cell r="M980">
            <v>0</v>
          </cell>
        </row>
        <row r="981">
          <cell r="M981">
            <v>0</v>
          </cell>
        </row>
        <row r="982">
          <cell r="M982">
            <v>0</v>
          </cell>
        </row>
        <row r="983">
          <cell r="M983">
            <v>0</v>
          </cell>
        </row>
        <row r="984">
          <cell r="M984">
            <v>0</v>
          </cell>
        </row>
        <row r="985">
          <cell r="M985">
            <v>0</v>
          </cell>
        </row>
        <row r="986">
          <cell r="M986">
            <v>0</v>
          </cell>
        </row>
        <row r="987">
          <cell r="M987">
            <v>0</v>
          </cell>
        </row>
        <row r="988">
          <cell r="M988">
            <v>0</v>
          </cell>
        </row>
        <row r="989">
          <cell r="M989">
            <v>0</v>
          </cell>
        </row>
        <row r="990">
          <cell r="A990" t="str">
            <v>S45</v>
          </cell>
          <cell r="M990">
            <v>0</v>
          </cell>
        </row>
        <row r="993">
          <cell r="M993">
            <v>1.6</v>
          </cell>
        </row>
        <row r="996">
          <cell r="A996">
            <v>11</v>
          </cell>
          <cell r="M996">
            <v>2.2400000000000003E-2</v>
          </cell>
        </row>
        <row r="997">
          <cell r="A997">
            <v>13</v>
          </cell>
          <cell r="M997">
            <v>2.4E-2</v>
          </cell>
        </row>
        <row r="998">
          <cell r="A998">
            <v>15</v>
          </cell>
          <cell r="M998">
            <v>1.6E-2</v>
          </cell>
        </row>
        <row r="999">
          <cell r="A999">
            <v>344</v>
          </cell>
          <cell r="M999">
            <v>1.6480000000000001</v>
          </cell>
        </row>
        <row r="1000">
          <cell r="M1000">
            <v>0</v>
          </cell>
        </row>
        <row r="1001">
          <cell r="M1001">
            <v>0</v>
          </cell>
        </row>
        <row r="1002">
          <cell r="M1002">
            <v>0</v>
          </cell>
        </row>
        <row r="1003">
          <cell r="M1003">
            <v>0</v>
          </cell>
        </row>
        <row r="1004">
          <cell r="M1004">
            <v>0</v>
          </cell>
        </row>
        <row r="1005">
          <cell r="M1005">
            <v>0</v>
          </cell>
        </row>
        <row r="1006">
          <cell r="M1006">
            <v>0</v>
          </cell>
        </row>
        <row r="1007">
          <cell r="M1007">
            <v>0</v>
          </cell>
        </row>
        <row r="1008">
          <cell r="M1008">
            <v>0</v>
          </cell>
        </row>
        <row r="1009">
          <cell r="M1009">
            <v>0</v>
          </cell>
        </row>
        <row r="1010">
          <cell r="M1010">
            <v>0</v>
          </cell>
        </row>
        <row r="1011">
          <cell r="M1011">
            <v>0</v>
          </cell>
        </row>
        <row r="1012">
          <cell r="A1012" t="str">
            <v>S46</v>
          </cell>
          <cell r="M1012">
            <v>0</v>
          </cell>
        </row>
        <row r="1015">
          <cell r="M1015">
            <v>19.2</v>
          </cell>
        </row>
        <row r="1018">
          <cell r="A1018">
            <v>11</v>
          </cell>
          <cell r="M1018">
            <v>0.26879999999999998</v>
          </cell>
        </row>
        <row r="1019">
          <cell r="A1019">
            <v>13</v>
          </cell>
          <cell r="M1019">
            <v>0.28799999999999998</v>
          </cell>
        </row>
        <row r="1020">
          <cell r="A1020">
            <v>15</v>
          </cell>
          <cell r="M1020">
            <v>0.192</v>
          </cell>
        </row>
        <row r="1021">
          <cell r="A1021">
            <v>348</v>
          </cell>
          <cell r="M1021">
            <v>19.776</v>
          </cell>
        </row>
        <row r="1022">
          <cell r="M1022">
            <v>0</v>
          </cell>
        </row>
        <row r="1023">
          <cell r="M1023">
            <v>0</v>
          </cell>
        </row>
        <row r="1024">
          <cell r="M1024">
            <v>0</v>
          </cell>
        </row>
        <row r="1025">
          <cell r="M1025">
            <v>0</v>
          </cell>
        </row>
        <row r="1026">
          <cell r="M1026">
            <v>0</v>
          </cell>
        </row>
        <row r="1027">
          <cell r="M1027">
            <v>0</v>
          </cell>
        </row>
        <row r="1028">
          <cell r="M1028">
            <v>0</v>
          </cell>
        </row>
        <row r="1029">
          <cell r="M1029">
            <v>0</v>
          </cell>
        </row>
        <row r="1030">
          <cell r="M1030">
            <v>0</v>
          </cell>
        </row>
        <row r="1031">
          <cell r="M1031">
            <v>0</v>
          </cell>
        </row>
        <row r="1032">
          <cell r="M1032">
            <v>0</v>
          </cell>
        </row>
        <row r="1033">
          <cell r="M1033">
            <v>0</v>
          </cell>
        </row>
        <row r="1034">
          <cell r="A1034" t="str">
            <v>S47</v>
          </cell>
          <cell r="M1034">
            <v>0</v>
          </cell>
        </row>
        <row r="1037">
          <cell r="M1037">
            <v>1.6</v>
          </cell>
        </row>
        <row r="1040">
          <cell r="A1040">
            <v>11</v>
          </cell>
          <cell r="M1040">
            <v>2.2400000000000003E-2</v>
          </cell>
        </row>
        <row r="1041">
          <cell r="A1041">
            <v>13</v>
          </cell>
          <cell r="M1041">
            <v>2.4E-2</v>
          </cell>
        </row>
        <row r="1042">
          <cell r="A1042">
            <v>15</v>
          </cell>
          <cell r="M1042">
            <v>1.6E-2</v>
          </cell>
        </row>
        <row r="1043">
          <cell r="A1043">
            <v>350</v>
          </cell>
          <cell r="M1043">
            <v>1.6480000000000001</v>
          </cell>
        </row>
        <row r="1044">
          <cell r="M1044">
            <v>0</v>
          </cell>
        </row>
        <row r="1045">
          <cell r="M1045">
            <v>0</v>
          </cell>
        </row>
        <row r="1046">
          <cell r="M1046">
            <v>0</v>
          </cell>
        </row>
        <row r="1047">
          <cell r="M1047">
            <v>0</v>
          </cell>
        </row>
        <row r="1048">
          <cell r="M1048">
            <v>0</v>
          </cell>
        </row>
        <row r="1049">
          <cell r="M1049">
            <v>0</v>
          </cell>
        </row>
        <row r="1050">
          <cell r="M1050">
            <v>0</v>
          </cell>
        </row>
        <row r="1051">
          <cell r="M1051">
            <v>0</v>
          </cell>
        </row>
        <row r="1052">
          <cell r="M1052">
            <v>0</v>
          </cell>
        </row>
        <row r="1053">
          <cell r="M1053">
            <v>0</v>
          </cell>
        </row>
        <row r="1054">
          <cell r="M1054">
            <v>0</v>
          </cell>
        </row>
        <row r="1055">
          <cell r="M1055">
            <v>0</v>
          </cell>
        </row>
        <row r="1056">
          <cell r="A1056" t="str">
            <v>S48</v>
          </cell>
          <cell r="M1056">
            <v>0</v>
          </cell>
        </row>
        <row r="1059">
          <cell r="M1059">
            <v>12.5</v>
          </cell>
        </row>
        <row r="1062">
          <cell r="A1062">
            <v>11</v>
          </cell>
          <cell r="M1062">
            <v>0.25</v>
          </cell>
        </row>
        <row r="1063">
          <cell r="A1063">
            <v>13</v>
          </cell>
          <cell r="M1063">
            <v>0.32500000000000001</v>
          </cell>
        </row>
        <row r="1064">
          <cell r="A1064">
            <v>15</v>
          </cell>
          <cell r="M1064">
            <v>0.125</v>
          </cell>
        </row>
        <row r="1065">
          <cell r="A1065">
            <v>328</v>
          </cell>
          <cell r="M1065">
            <v>12.875</v>
          </cell>
        </row>
        <row r="1066">
          <cell r="M1066">
            <v>0</v>
          </cell>
        </row>
        <row r="1067">
          <cell r="M1067">
            <v>0</v>
          </cell>
        </row>
        <row r="1068">
          <cell r="M1068">
            <v>0</v>
          </cell>
        </row>
        <row r="1069">
          <cell r="M1069">
            <v>0</v>
          </cell>
        </row>
        <row r="1070">
          <cell r="M1070">
            <v>0</v>
          </cell>
        </row>
        <row r="1071">
          <cell r="M1071">
            <v>0</v>
          </cell>
        </row>
        <row r="1072">
          <cell r="M1072">
            <v>0</v>
          </cell>
        </row>
        <row r="1073">
          <cell r="M1073">
            <v>0</v>
          </cell>
        </row>
        <row r="1074">
          <cell r="M1074">
            <v>0</v>
          </cell>
        </row>
        <row r="1075">
          <cell r="M1075">
            <v>0</v>
          </cell>
        </row>
        <row r="1076">
          <cell r="M1076">
            <v>0</v>
          </cell>
        </row>
        <row r="1077">
          <cell r="M1077">
            <v>0</v>
          </cell>
        </row>
        <row r="1078">
          <cell r="A1078" t="str">
            <v>S49</v>
          </cell>
          <cell r="M1078">
            <v>0</v>
          </cell>
        </row>
        <row r="1081">
          <cell r="M1081">
            <v>96</v>
          </cell>
        </row>
        <row r="1084">
          <cell r="A1084">
            <v>11</v>
          </cell>
          <cell r="M1084">
            <v>1.92</v>
          </cell>
        </row>
        <row r="1085">
          <cell r="A1085">
            <v>13</v>
          </cell>
          <cell r="M1085">
            <v>2.496</v>
          </cell>
        </row>
        <row r="1086">
          <cell r="A1086">
            <v>15</v>
          </cell>
          <cell r="M1086">
            <v>0.96</v>
          </cell>
        </row>
        <row r="1087">
          <cell r="A1087">
            <v>128</v>
          </cell>
          <cell r="M1087">
            <v>9.6000000000000002E-2</v>
          </cell>
        </row>
        <row r="1088">
          <cell r="A1088">
            <v>329</v>
          </cell>
          <cell r="M1088">
            <v>98.88</v>
          </cell>
        </row>
        <row r="1089">
          <cell r="M1089">
            <v>0</v>
          </cell>
        </row>
        <row r="1090">
          <cell r="M1090">
            <v>0</v>
          </cell>
        </row>
        <row r="1091">
          <cell r="M1091">
            <v>0</v>
          </cell>
        </row>
        <row r="1092">
          <cell r="M1092">
            <v>0</v>
          </cell>
        </row>
        <row r="1093">
          <cell r="M1093">
            <v>0</v>
          </cell>
        </row>
        <row r="1094">
          <cell r="M1094">
            <v>0</v>
          </cell>
        </row>
        <row r="1095">
          <cell r="M1095">
            <v>0</v>
          </cell>
        </row>
        <row r="1096">
          <cell r="M1096">
            <v>0</v>
          </cell>
        </row>
        <row r="1097">
          <cell r="M1097">
            <v>0</v>
          </cell>
        </row>
        <row r="1098">
          <cell r="M1098">
            <v>0</v>
          </cell>
        </row>
        <row r="1099">
          <cell r="M1099">
            <v>0</v>
          </cell>
        </row>
        <row r="1100">
          <cell r="A1100" t="str">
            <v>S50</v>
          </cell>
          <cell r="M1100">
            <v>0</v>
          </cell>
        </row>
        <row r="1103">
          <cell r="M1103">
            <v>96</v>
          </cell>
        </row>
        <row r="1106">
          <cell r="A1106">
            <v>11</v>
          </cell>
          <cell r="M1106">
            <v>1.92</v>
          </cell>
        </row>
        <row r="1107">
          <cell r="A1107">
            <v>13</v>
          </cell>
          <cell r="M1107">
            <v>2.496</v>
          </cell>
        </row>
        <row r="1108">
          <cell r="A1108">
            <v>15</v>
          </cell>
          <cell r="M1108">
            <v>0.96</v>
          </cell>
        </row>
        <row r="1109">
          <cell r="A1109">
            <v>128</v>
          </cell>
          <cell r="M1109">
            <v>9.6000000000000002E-2</v>
          </cell>
        </row>
        <row r="1110">
          <cell r="A1110">
            <v>330</v>
          </cell>
          <cell r="M1110">
            <v>98.88</v>
          </cell>
        </row>
        <row r="1111">
          <cell r="M1111">
            <v>0</v>
          </cell>
        </row>
        <row r="1112">
          <cell r="M1112">
            <v>0</v>
          </cell>
        </row>
        <row r="1113">
          <cell r="M1113">
            <v>0</v>
          </cell>
        </row>
        <row r="1114">
          <cell r="M1114">
            <v>0</v>
          </cell>
        </row>
        <row r="1115">
          <cell r="M1115">
            <v>0</v>
          </cell>
        </row>
        <row r="1116">
          <cell r="M1116">
            <v>0</v>
          </cell>
        </row>
        <row r="1117">
          <cell r="M1117">
            <v>0</v>
          </cell>
        </row>
        <row r="1118">
          <cell r="M1118">
            <v>0</v>
          </cell>
        </row>
        <row r="1119">
          <cell r="M1119">
            <v>0</v>
          </cell>
        </row>
        <row r="1120">
          <cell r="M1120">
            <v>0</v>
          </cell>
        </row>
        <row r="1121">
          <cell r="M1121">
            <v>0</v>
          </cell>
        </row>
        <row r="1122">
          <cell r="A1122" t="str">
            <v>S51</v>
          </cell>
          <cell r="M1122">
            <v>0</v>
          </cell>
        </row>
        <row r="1125">
          <cell r="M1125">
            <v>31</v>
          </cell>
        </row>
        <row r="1128">
          <cell r="A1128">
            <v>11</v>
          </cell>
          <cell r="M1128">
            <v>0.62</v>
          </cell>
        </row>
        <row r="1129">
          <cell r="A1129">
            <v>13</v>
          </cell>
          <cell r="M1129">
            <v>0.80599999999999994</v>
          </cell>
        </row>
        <row r="1130">
          <cell r="A1130">
            <v>15</v>
          </cell>
          <cell r="M1130">
            <v>0.31</v>
          </cell>
        </row>
        <row r="1131">
          <cell r="A1131">
            <v>128</v>
          </cell>
          <cell r="M1131">
            <v>3.1E-2</v>
          </cell>
        </row>
        <row r="1132">
          <cell r="A1132">
            <v>331</v>
          </cell>
          <cell r="M1132">
            <v>31.93</v>
          </cell>
        </row>
        <row r="1133">
          <cell r="M1133">
            <v>0</v>
          </cell>
        </row>
        <row r="1134">
          <cell r="M1134">
            <v>0</v>
          </cell>
        </row>
        <row r="1135">
          <cell r="M1135">
            <v>0</v>
          </cell>
        </row>
        <row r="1136">
          <cell r="M1136">
            <v>0</v>
          </cell>
        </row>
        <row r="1137">
          <cell r="M1137">
            <v>0</v>
          </cell>
        </row>
        <row r="1138">
          <cell r="M1138">
            <v>0</v>
          </cell>
        </row>
        <row r="1139">
          <cell r="M1139">
            <v>0</v>
          </cell>
        </row>
        <row r="1140">
          <cell r="M1140">
            <v>0</v>
          </cell>
        </row>
        <row r="1141">
          <cell r="M1141">
            <v>0</v>
          </cell>
        </row>
        <row r="1142">
          <cell r="M1142">
            <v>0</v>
          </cell>
        </row>
        <row r="1143">
          <cell r="M1143">
            <v>0</v>
          </cell>
        </row>
        <row r="1144">
          <cell r="A1144" t="str">
            <v>S52</v>
          </cell>
          <cell r="M1144">
            <v>0</v>
          </cell>
        </row>
        <row r="1147">
          <cell r="M1147">
            <v>286</v>
          </cell>
        </row>
        <row r="1150">
          <cell r="A1150">
            <v>11</v>
          </cell>
          <cell r="M1150">
            <v>5.72</v>
          </cell>
        </row>
        <row r="1151">
          <cell r="A1151">
            <v>13</v>
          </cell>
          <cell r="M1151">
            <v>7.4359999999999999</v>
          </cell>
        </row>
        <row r="1152">
          <cell r="A1152">
            <v>15</v>
          </cell>
          <cell r="M1152">
            <v>2.86</v>
          </cell>
        </row>
        <row r="1153">
          <cell r="A1153">
            <v>128</v>
          </cell>
          <cell r="M1153">
            <v>0.28600000000000003</v>
          </cell>
        </row>
        <row r="1154">
          <cell r="A1154">
            <v>339</v>
          </cell>
          <cell r="M1154">
            <v>294.58</v>
          </cell>
        </row>
        <row r="1155">
          <cell r="M1155">
            <v>0</v>
          </cell>
        </row>
        <row r="1156">
          <cell r="M1156">
            <v>0</v>
          </cell>
        </row>
        <row r="1157">
          <cell r="M1157">
            <v>0</v>
          </cell>
        </row>
        <row r="1158">
          <cell r="M1158">
            <v>0</v>
          </cell>
        </row>
        <row r="1159">
          <cell r="M1159">
            <v>0</v>
          </cell>
        </row>
        <row r="1160">
          <cell r="M1160">
            <v>0</v>
          </cell>
        </row>
        <row r="1161">
          <cell r="M1161">
            <v>0</v>
          </cell>
        </row>
        <row r="1162">
          <cell r="M1162">
            <v>0</v>
          </cell>
        </row>
        <row r="1163">
          <cell r="M1163">
            <v>0</v>
          </cell>
        </row>
        <row r="1164">
          <cell r="M1164">
            <v>0</v>
          </cell>
        </row>
        <row r="1165">
          <cell r="M1165">
            <v>0</v>
          </cell>
        </row>
        <row r="1166">
          <cell r="A1166" t="str">
            <v>S53</v>
          </cell>
          <cell r="M1166">
            <v>0</v>
          </cell>
        </row>
        <row r="1169">
          <cell r="M1169">
            <v>20</v>
          </cell>
        </row>
        <row r="1172">
          <cell r="A1172">
            <v>11</v>
          </cell>
          <cell r="M1172">
            <v>0.4</v>
          </cell>
        </row>
        <row r="1173">
          <cell r="A1173">
            <v>13</v>
          </cell>
          <cell r="M1173">
            <v>0.52</v>
          </cell>
        </row>
        <row r="1174">
          <cell r="A1174">
            <v>15</v>
          </cell>
          <cell r="M1174">
            <v>0.2</v>
          </cell>
        </row>
        <row r="1175">
          <cell r="A1175">
            <v>128</v>
          </cell>
          <cell r="M1175">
            <v>0.02</v>
          </cell>
        </row>
        <row r="1176">
          <cell r="A1176">
            <v>344</v>
          </cell>
          <cell r="M1176">
            <v>20.6</v>
          </cell>
        </row>
        <row r="1177">
          <cell r="M1177">
            <v>0</v>
          </cell>
        </row>
        <row r="1178">
          <cell r="M1178">
            <v>0</v>
          </cell>
        </row>
        <row r="1179">
          <cell r="M1179">
            <v>0</v>
          </cell>
        </row>
        <row r="1180">
          <cell r="M1180">
            <v>0</v>
          </cell>
        </row>
        <row r="1181">
          <cell r="M1181">
            <v>0</v>
          </cell>
        </row>
        <row r="1182">
          <cell r="M1182">
            <v>0</v>
          </cell>
        </row>
        <row r="1183">
          <cell r="M1183">
            <v>0</v>
          </cell>
        </row>
        <row r="1184">
          <cell r="M1184">
            <v>0</v>
          </cell>
        </row>
        <row r="1185">
          <cell r="M1185">
            <v>0</v>
          </cell>
        </row>
        <row r="1186">
          <cell r="M1186">
            <v>0</v>
          </cell>
        </row>
        <row r="1187">
          <cell r="M1187">
            <v>0</v>
          </cell>
        </row>
        <row r="1188">
          <cell r="A1188" t="str">
            <v>S54</v>
          </cell>
          <cell r="M1188">
            <v>0</v>
          </cell>
        </row>
        <row r="1191">
          <cell r="M1191">
            <v>516</v>
          </cell>
        </row>
        <row r="1194">
          <cell r="A1194">
            <v>11</v>
          </cell>
          <cell r="M1194">
            <v>10.32</v>
          </cell>
        </row>
        <row r="1195">
          <cell r="A1195">
            <v>13</v>
          </cell>
          <cell r="M1195">
            <v>13.415999999999999</v>
          </cell>
        </row>
        <row r="1196">
          <cell r="A1196">
            <v>15</v>
          </cell>
          <cell r="M1196">
            <v>5.16</v>
          </cell>
        </row>
        <row r="1197">
          <cell r="A1197">
            <v>128</v>
          </cell>
          <cell r="M1197">
            <v>0.51600000000000001</v>
          </cell>
        </row>
        <row r="1198">
          <cell r="A1198">
            <v>348</v>
          </cell>
          <cell r="M1198">
            <v>531.48</v>
          </cell>
        </row>
        <row r="1199">
          <cell r="M1199">
            <v>0</v>
          </cell>
        </row>
        <row r="1200">
          <cell r="M1200">
            <v>0</v>
          </cell>
        </row>
        <row r="1201">
          <cell r="M1201">
            <v>0</v>
          </cell>
        </row>
        <row r="1202">
          <cell r="M1202">
            <v>0</v>
          </cell>
        </row>
        <row r="1203">
          <cell r="M1203">
            <v>0</v>
          </cell>
        </row>
        <row r="1204">
          <cell r="M1204">
            <v>0</v>
          </cell>
        </row>
        <row r="1205">
          <cell r="M1205">
            <v>0</v>
          </cell>
        </row>
        <row r="1206">
          <cell r="M1206">
            <v>0</v>
          </cell>
        </row>
        <row r="1207">
          <cell r="M1207">
            <v>0</v>
          </cell>
        </row>
        <row r="1208">
          <cell r="M1208">
            <v>0</v>
          </cell>
        </row>
        <row r="1209">
          <cell r="M1209">
            <v>0</v>
          </cell>
        </row>
        <row r="1210">
          <cell r="A1210" t="str">
            <v>S55</v>
          </cell>
          <cell r="M1210">
            <v>0</v>
          </cell>
        </row>
        <row r="1213">
          <cell r="M1213">
            <v>28</v>
          </cell>
        </row>
        <row r="1216">
          <cell r="A1216">
            <v>11</v>
          </cell>
          <cell r="M1216">
            <v>0.56000000000000005</v>
          </cell>
        </row>
        <row r="1217">
          <cell r="A1217">
            <v>13</v>
          </cell>
          <cell r="M1217">
            <v>0.72799999999999998</v>
          </cell>
        </row>
        <row r="1218">
          <cell r="A1218">
            <v>15</v>
          </cell>
          <cell r="M1218">
            <v>0.28000000000000003</v>
          </cell>
        </row>
        <row r="1219">
          <cell r="A1219">
            <v>128</v>
          </cell>
          <cell r="M1219">
            <v>2.8000000000000001E-2</v>
          </cell>
        </row>
        <row r="1220">
          <cell r="A1220">
            <v>350</v>
          </cell>
          <cell r="M1220">
            <v>28.84</v>
          </cell>
        </row>
        <row r="1221">
          <cell r="M1221">
            <v>0</v>
          </cell>
        </row>
        <row r="1222">
          <cell r="M1222">
            <v>0</v>
          </cell>
        </row>
        <row r="1223">
          <cell r="M1223">
            <v>0</v>
          </cell>
        </row>
        <row r="1224">
          <cell r="M1224">
            <v>0</v>
          </cell>
        </row>
        <row r="1225">
          <cell r="M1225">
            <v>0</v>
          </cell>
        </row>
        <row r="1226">
          <cell r="M1226">
            <v>0</v>
          </cell>
        </row>
        <row r="1227">
          <cell r="M1227">
            <v>0</v>
          </cell>
        </row>
        <row r="1228">
          <cell r="M1228">
            <v>0</v>
          </cell>
        </row>
        <row r="1229">
          <cell r="M1229">
            <v>0</v>
          </cell>
        </row>
        <row r="1230">
          <cell r="M1230">
            <v>0</v>
          </cell>
        </row>
        <row r="1231">
          <cell r="M1231">
            <v>0</v>
          </cell>
        </row>
        <row r="1232">
          <cell r="A1232" t="str">
            <v>S56</v>
          </cell>
          <cell r="M1232">
            <v>0</v>
          </cell>
        </row>
        <row r="1235">
          <cell r="M1235">
            <v>56</v>
          </cell>
        </row>
        <row r="1238">
          <cell r="A1238">
            <v>11</v>
          </cell>
          <cell r="M1238">
            <v>1.1200000000000001</v>
          </cell>
        </row>
        <row r="1239">
          <cell r="A1239">
            <v>13</v>
          </cell>
          <cell r="M1239">
            <v>1.456</v>
          </cell>
        </row>
        <row r="1240">
          <cell r="A1240">
            <v>15</v>
          </cell>
          <cell r="M1240">
            <v>0.56000000000000005</v>
          </cell>
        </row>
        <row r="1241">
          <cell r="A1241">
            <v>128</v>
          </cell>
          <cell r="M1241">
            <v>5.6000000000000001E-2</v>
          </cell>
        </row>
        <row r="1242">
          <cell r="A1242">
            <v>257</v>
          </cell>
          <cell r="M1242">
            <v>57.68</v>
          </cell>
        </row>
        <row r="1243">
          <cell r="M1243">
            <v>0</v>
          </cell>
        </row>
        <row r="1244">
          <cell r="M1244">
            <v>0</v>
          </cell>
        </row>
        <row r="1245">
          <cell r="M1245">
            <v>0</v>
          </cell>
        </row>
        <row r="1246">
          <cell r="M1246">
            <v>0</v>
          </cell>
        </row>
        <row r="1247">
          <cell r="M1247">
            <v>0</v>
          </cell>
        </row>
        <row r="1248">
          <cell r="M1248">
            <v>0</v>
          </cell>
        </row>
        <row r="1249">
          <cell r="M1249">
            <v>0</v>
          </cell>
        </row>
        <row r="1250">
          <cell r="M1250">
            <v>0</v>
          </cell>
        </row>
        <row r="1251">
          <cell r="M1251">
            <v>0</v>
          </cell>
        </row>
        <row r="1252">
          <cell r="M1252">
            <v>0</v>
          </cell>
        </row>
        <row r="1253">
          <cell r="M1253">
            <v>0</v>
          </cell>
        </row>
        <row r="1254">
          <cell r="A1254" t="str">
            <v>S57</v>
          </cell>
          <cell r="M1254">
            <v>0</v>
          </cell>
        </row>
        <row r="1257">
          <cell r="M1257">
            <v>2800</v>
          </cell>
        </row>
        <row r="1260">
          <cell r="A1260">
            <v>11</v>
          </cell>
          <cell r="M1260">
            <v>56</v>
          </cell>
        </row>
        <row r="1261">
          <cell r="A1261">
            <v>13</v>
          </cell>
          <cell r="M1261">
            <v>72.8</v>
          </cell>
        </row>
        <row r="1262">
          <cell r="A1262">
            <v>15</v>
          </cell>
          <cell r="M1262">
            <v>28</v>
          </cell>
        </row>
        <row r="1263">
          <cell r="A1263">
            <v>128</v>
          </cell>
          <cell r="M1263">
            <v>2.8000000000000003</v>
          </cell>
        </row>
        <row r="1264">
          <cell r="A1264">
            <v>258</v>
          </cell>
          <cell r="M1264">
            <v>2884</v>
          </cell>
        </row>
        <row r="1265">
          <cell r="M1265">
            <v>0</v>
          </cell>
        </row>
        <row r="1266">
          <cell r="M1266">
            <v>0</v>
          </cell>
        </row>
        <row r="1267">
          <cell r="M1267">
            <v>0</v>
          </cell>
        </row>
        <row r="1268">
          <cell r="M1268">
            <v>0</v>
          </cell>
        </row>
        <row r="1269">
          <cell r="M1269">
            <v>0</v>
          </cell>
        </row>
        <row r="1270">
          <cell r="M1270">
            <v>0</v>
          </cell>
        </row>
        <row r="1271">
          <cell r="M1271">
            <v>0</v>
          </cell>
        </row>
        <row r="1272">
          <cell r="M1272">
            <v>0</v>
          </cell>
        </row>
        <row r="1273">
          <cell r="M1273">
            <v>0</v>
          </cell>
        </row>
        <row r="1274">
          <cell r="M1274">
            <v>0</v>
          </cell>
        </row>
        <row r="1275">
          <cell r="M1275">
            <v>0</v>
          </cell>
        </row>
        <row r="1276">
          <cell r="A1276" t="str">
            <v>S58</v>
          </cell>
          <cell r="M1276">
            <v>0</v>
          </cell>
        </row>
        <row r="1279">
          <cell r="M1279">
            <v>80</v>
          </cell>
        </row>
        <row r="1282">
          <cell r="A1282">
            <v>11</v>
          </cell>
          <cell r="M1282">
            <v>1.6</v>
          </cell>
        </row>
        <row r="1283">
          <cell r="A1283">
            <v>13</v>
          </cell>
          <cell r="M1283">
            <v>2.4</v>
          </cell>
        </row>
        <row r="1284">
          <cell r="A1284">
            <v>15</v>
          </cell>
          <cell r="M1284">
            <v>0.8</v>
          </cell>
        </row>
        <row r="1285">
          <cell r="A1285">
            <v>195</v>
          </cell>
          <cell r="M1285">
            <v>84</v>
          </cell>
        </row>
        <row r="1286">
          <cell r="M1286">
            <v>0</v>
          </cell>
        </row>
        <row r="1287">
          <cell r="M1287">
            <v>0</v>
          </cell>
        </row>
        <row r="1288">
          <cell r="M1288">
            <v>0</v>
          </cell>
        </row>
        <row r="1289">
          <cell r="M1289">
            <v>0</v>
          </cell>
        </row>
        <row r="1290">
          <cell r="M1290">
            <v>0</v>
          </cell>
        </row>
        <row r="1291">
          <cell r="M1291">
            <v>0</v>
          </cell>
        </row>
        <row r="1292">
          <cell r="M1292">
            <v>0</v>
          </cell>
        </row>
        <row r="1293">
          <cell r="M1293">
            <v>0</v>
          </cell>
        </row>
        <row r="1294">
          <cell r="M1294">
            <v>0</v>
          </cell>
        </row>
        <row r="1295">
          <cell r="M1295">
            <v>0</v>
          </cell>
        </row>
        <row r="1296">
          <cell r="M1296">
            <v>0</v>
          </cell>
        </row>
        <row r="1297">
          <cell r="M1297">
            <v>0</v>
          </cell>
        </row>
        <row r="1298">
          <cell r="A1298" t="str">
            <v>S59</v>
          </cell>
          <cell r="M1298">
            <v>0</v>
          </cell>
        </row>
        <row r="1301">
          <cell r="M1301">
            <v>28</v>
          </cell>
        </row>
        <row r="1304">
          <cell r="A1304">
            <v>11</v>
          </cell>
          <cell r="M1304">
            <v>0.56000000000000005</v>
          </cell>
        </row>
        <row r="1305">
          <cell r="A1305">
            <v>13</v>
          </cell>
          <cell r="M1305">
            <v>0.84</v>
          </cell>
        </row>
        <row r="1306">
          <cell r="A1306">
            <v>15</v>
          </cell>
          <cell r="M1306">
            <v>0.28000000000000003</v>
          </cell>
        </row>
        <row r="1307">
          <cell r="A1307">
            <v>199</v>
          </cell>
          <cell r="M1307">
            <v>29.400000000000002</v>
          </cell>
        </row>
        <row r="1308">
          <cell r="M1308">
            <v>0</v>
          </cell>
        </row>
        <row r="1309">
          <cell r="M1309">
            <v>0</v>
          </cell>
        </row>
        <row r="1310">
          <cell r="M1310">
            <v>0</v>
          </cell>
        </row>
        <row r="1311">
          <cell r="M1311">
            <v>0</v>
          </cell>
        </row>
        <row r="1312">
          <cell r="M1312">
            <v>0</v>
          </cell>
        </row>
        <row r="1313">
          <cell r="M1313">
            <v>0</v>
          </cell>
        </row>
        <row r="1314">
          <cell r="M1314">
            <v>0</v>
          </cell>
        </row>
        <row r="1315">
          <cell r="M1315">
            <v>0</v>
          </cell>
        </row>
        <row r="1316">
          <cell r="M1316">
            <v>0</v>
          </cell>
        </row>
        <row r="1317">
          <cell r="M1317">
            <v>0</v>
          </cell>
        </row>
        <row r="1318">
          <cell r="M1318">
            <v>0</v>
          </cell>
        </row>
        <row r="1319">
          <cell r="M1319">
            <v>0</v>
          </cell>
        </row>
        <row r="1320">
          <cell r="A1320" t="str">
            <v>S60</v>
          </cell>
          <cell r="M1320">
            <v>0</v>
          </cell>
        </row>
        <row r="1323">
          <cell r="M1323">
            <v>90.8</v>
          </cell>
        </row>
        <row r="1326">
          <cell r="A1326">
            <v>11</v>
          </cell>
          <cell r="M1326">
            <v>1.8160000000000001</v>
          </cell>
        </row>
        <row r="1327">
          <cell r="A1327">
            <v>13</v>
          </cell>
          <cell r="M1327">
            <v>2.7239999999999998</v>
          </cell>
        </row>
        <row r="1328">
          <cell r="A1328">
            <v>15</v>
          </cell>
          <cell r="M1328">
            <v>0.90800000000000003</v>
          </cell>
        </row>
        <row r="1329">
          <cell r="A1329">
            <v>208</v>
          </cell>
          <cell r="M1329">
            <v>95.34</v>
          </cell>
        </row>
        <row r="1330">
          <cell r="M1330">
            <v>0</v>
          </cell>
        </row>
        <row r="1331">
          <cell r="M1331">
            <v>0</v>
          </cell>
        </row>
        <row r="1332">
          <cell r="M1332">
            <v>0</v>
          </cell>
        </row>
        <row r="1333">
          <cell r="M1333">
            <v>0</v>
          </cell>
        </row>
        <row r="1334">
          <cell r="M1334">
            <v>0</v>
          </cell>
        </row>
        <row r="1335">
          <cell r="M1335">
            <v>0</v>
          </cell>
        </row>
        <row r="1336">
          <cell r="M1336">
            <v>0</v>
          </cell>
        </row>
        <row r="1337">
          <cell r="M1337">
            <v>0</v>
          </cell>
        </row>
        <row r="1338">
          <cell r="M1338">
            <v>0</v>
          </cell>
        </row>
        <row r="1339">
          <cell r="M1339">
            <v>0</v>
          </cell>
        </row>
        <row r="1340">
          <cell r="M1340">
            <v>0</v>
          </cell>
        </row>
        <row r="1341">
          <cell r="M1341">
            <v>0</v>
          </cell>
        </row>
        <row r="1342">
          <cell r="A1342" t="str">
            <v>S61</v>
          </cell>
          <cell r="M1342">
            <v>0</v>
          </cell>
        </row>
        <row r="1345">
          <cell r="M1345">
            <v>154.80000000000001</v>
          </cell>
        </row>
        <row r="1348">
          <cell r="A1348">
            <v>11</v>
          </cell>
          <cell r="M1348">
            <v>3.0960000000000001</v>
          </cell>
        </row>
        <row r="1349">
          <cell r="A1349">
            <v>13</v>
          </cell>
          <cell r="M1349">
            <v>4.6440000000000001</v>
          </cell>
        </row>
        <row r="1350">
          <cell r="A1350">
            <v>15</v>
          </cell>
          <cell r="M1350">
            <v>1.548</v>
          </cell>
        </row>
        <row r="1351">
          <cell r="A1351">
            <v>211</v>
          </cell>
          <cell r="M1351">
            <v>162.54000000000002</v>
          </cell>
        </row>
        <row r="1352">
          <cell r="M1352">
            <v>0</v>
          </cell>
        </row>
        <row r="1353">
          <cell r="M1353">
            <v>0</v>
          </cell>
        </row>
        <row r="1354">
          <cell r="M1354">
            <v>0</v>
          </cell>
        </row>
        <row r="1355">
          <cell r="M1355">
            <v>0</v>
          </cell>
        </row>
        <row r="1356">
          <cell r="M1356">
            <v>0</v>
          </cell>
        </row>
        <row r="1357">
          <cell r="M1357">
            <v>0</v>
          </cell>
        </row>
        <row r="1358">
          <cell r="M1358">
            <v>0</v>
          </cell>
        </row>
        <row r="1359">
          <cell r="M1359">
            <v>0</v>
          </cell>
        </row>
        <row r="1360">
          <cell r="M1360">
            <v>0</v>
          </cell>
        </row>
        <row r="1361">
          <cell r="M1361">
            <v>0</v>
          </cell>
        </row>
        <row r="1362">
          <cell r="M1362">
            <v>0</v>
          </cell>
        </row>
        <row r="1363">
          <cell r="M1363">
            <v>0</v>
          </cell>
        </row>
        <row r="1364">
          <cell r="A1364" t="str">
            <v>S62</v>
          </cell>
          <cell r="M1364">
            <v>0</v>
          </cell>
        </row>
        <row r="1367">
          <cell r="M1367">
            <v>14</v>
          </cell>
        </row>
        <row r="1370">
          <cell r="A1370">
            <v>11</v>
          </cell>
          <cell r="M1370">
            <v>0.28000000000000003</v>
          </cell>
        </row>
        <row r="1371">
          <cell r="A1371">
            <v>13</v>
          </cell>
          <cell r="M1371">
            <v>0.42</v>
          </cell>
        </row>
        <row r="1372">
          <cell r="A1372">
            <v>15</v>
          </cell>
          <cell r="M1372">
            <v>0.14000000000000001</v>
          </cell>
        </row>
        <row r="1373">
          <cell r="A1373">
            <v>224</v>
          </cell>
          <cell r="M1373">
            <v>14.700000000000001</v>
          </cell>
        </row>
        <row r="1374">
          <cell r="M1374">
            <v>0</v>
          </cell>
        </row>
        <row r="1375">
          <cell r="M1375">
            <v>0</v>
          </cell>
        </row>
        <row r="1376">
          <cell r="M1376">
            <v>0</v>
          </cell>
        </row>
        <row r="1377">
          <cell r="M1377">
            <v>0</v>
          </cell>
        </row>
        <row r="1378">
          <cell r="M1378">
            <v>0</v>
          </cell>
        </row>
        <row r="1379">
          <cell r="M1379">
            <v>0</v>
          </cell>
        </row>
        <row r="1380">
          <cell r="M1380">
            <v>0</v>
          </cell>
        </row>
        <row r="1381">
          <cell r="M1381">
            <v>0</v>
          </cell>
        </row>
        <row r="1382">
          <cell r="M1382">
            <v>0</v>
          </cell>
        </row>
        <row r="1383">
          <cell r="M1383">
            <v>0</v>
          </cell>
        </row>
        <row r="1384">
          <cell r="M1384">
            <v>0</v>
          </cell>
        </row>
        <row r="1385">
          <cell r="M1385">
            <v>0</v>
          </cell>
        </row>
        <row r="1386">
          <cell r="A1386" t="str">
            <v>S63</v>
          </cell>
          <cell r="M1386">
            <v>0</v>
          </cell>
        </row>
        <row r="1389">
          <cell r="M1389">
            <v>38</v>
          </cell>
        </row>
        <row r="1392">
          <cell r="A1392">
            <v>11</v>
          </cell>
          <cell r="M1392">
            <v>0.76</v>
          </cell>
        </row>
        <row r="1393">
          <cell r="A1393">
            <v>13</v>
          </cell>
          <cell r="M1393">
            <v>1.1399999999999999</v>
          </cell>
        </row>
        <row r="1394">
          <cell r="A1394">
            <v>15</v>
          </cell>
          <cell r="M1394">
            <v>0.38</v>
          </cell>
        </row>
        <row r="1395">
          <cell r="A1395">
            <v>230</v>
          </cell>
          <cell r="M1395">
            <v>39.9</v>
          </cell>
        </row>
        <row r="1396">
          <cell r="M1396">
            <v>0</v>
          </cell>
        </row>
        <row r="1397">
          <cell r="M1397">
            <v>0</v>
          </cell>
        </row>
        <row r="1398">
          <cell r="M1398">
            <v>0</v>
          </cell>
        </row>
        <row r="1399">
          <cell r="M1399">
            <v>0</v>
          </cell>
        </row>
        <row r="1400">
          <cell r="M1400">
            <v>0</v>
          </cell>
        </row>
        <row r="1401">
          <cell r="M1401">
            <v>0</v>
          </cell>
        </row>
        <row r="1402">
          <cell r="M1402">
            <v>0</v>
          </cell>
        </row>
        <row r="1403">
          <cell r="M1403">
            <v>0</v>
          </cell>
        </row>
        <row r="1404">
          <cell r="M1404">
            <v>0</v>
          </cell>
        </row>
        <row r="1405">
          <cell r="M1405">
            <v>0</v>
          </cell>
        </row>
        <row r="1406">
          <cell r="M1406">
            <v>0</v>
          </cell>
        </row>
        <row r="1407">
          <cell r="M1407">
            <v>0</v>
          </cell>
        </row>
        <row r="1408">
          <cell r="A1408" t="str">
            <v>S64</v>
          </cell>
          <cell r="M1408">
            <v>0</v>
          </cell>
        </row>
        <row r="1411">
          <cell r="M1411">
            <v>17</v>
          </cell>
        </row>
        <row r="1414">
          <cell r="A1414">
            <v>11</v>
          </cell>
          <cell r="M1414">
            <v>0.34</v>
          </cell>
        </row>
        <row r="1415">
          <cell r="A1415">
            <v>13</v>
          </cell>
          <cell r="M1415">
            <v>0.51</v>
          </cell>
        </row>
        <row r="1416">
          <cell r="A1416">
            <v>15</v>
          </cell>
          <cell r="M1416">
            <v>0.17</v>
          </cell>
        </row>
        <row r="1417">
          <cell r="A1417">
            <v>233</v>
          </cell>
          <cell r="M1417">
            <v>17.850000000000001</v>
          </cell>
        </row>
        <row r="1418">
          <cell r="M1418">
            <v>0</v>
          </cell>
        </row>
        <row r="1419">
          <cell r="M1419">
            <v>0</v>
          </cell>
        </row>
        <row r="1420">
          <cell r="M1420">
            <v>0</v>
          </cell>
        </row>
        <row r="1421">
          <cell r="M1421">
            <v>0</v>
          </cell>
        </row>
        <row r="1422">
          <cell r="M1422">
            <v>0</v>
          </cell>
        </row>
        <row r="1423">
          <cell r="M1423">
            <v>0</v>
          </cell>
        </row>
        <row r="1424">
          <cell r="M1424">
            <v>0</v>
          </cell>
        </row>
        <row r="1425">
          <cell r="M1425">
            <v>0</v>
          </cell>
        </row>
        <row r="1426">
          <cell r="M1426">
            <v>0</v>
          </cell>
        </row>
        <row r="1427">
          <cell r="M1427">
            <v>0</v>
          </cell>
        </row>
        <row r="1428">
          <cell r="M1428">
            <v>0</v>
          </cell>
        </row>
        <row r="1429">
          <cell r="M1429">
            <v>0</v>
          </cell>
        </row>
        <row r="1430">
          <cell r="A1430" t="str">
            <v>S65</v>
          </cell>
          <cell r="M1430">
            <v>0</v>
          </cell>
        </row>
        <row r="1433">
          <cell r="M1433">
            <v>5</v>
          </cell>
        </row>
        <row r="1436">
          <cell r="A1436">
            <v>283</v>
          </cell>
          <cell r="M1436">
            <v>5</v>
          </cell>
        </row>
        <row r="1437">
          <cell r="M1437">
            <v>0</v>
          </cell>
        </row>
        <row r="1438">
          <cell r="M1438">
            <v>0</v>
          </cell>
        </row>
        <row r="1439">
          <cell r="M1439">
            <v>0</v>
          </cell>
        </row>
        <row r="1440">
          <cell r="M1440">
            <v>0</v>
          </cell>
        </row>
        <row r="1441">
          <cell r="M1441">
            <v>0</v>
          </cell>
        </row>
        <row r="1442">
          <cell r="M1442">
            <v>0</v>
          </cell>
        </row>
        <row r="1443">
          <cell r="M1443">
            <v>0</v>
          </cell>
        </row>
        <row r="1444">
          <cell r="M1444">
            <v>0</v>
          </cell>
        </row>
        <row r="1445">
          <cell r="M1445">
            <v>0</v>
          </cell>
        </row>
        <row r="1446">
          <cell r="M1446">
            <v>0</v>
          </cell>
        </row>
        <row r="1447">
          <cell r="M1447">
            <v>0</v>
          </cell>
        </row>
        <row r="1448">
          <cell r="M1448">
            <v>0</v>
          </cell>
        </row>
        <row r="1449">
          <cell r="M1449">
            <v>0</v>
          </cell>
        </row>
        <row r="1450">
          <cell r="M1450">
            <v>0</v>
          </cell>
        </row>
        <row r="1451">
          <cell r="M1451">
            <v>0</v>
          </cell>
        </row>
        <row r="1452">
          <cell r="A1452" t="str">
            <v>S66</v>
          </cell>
          <cell r="M1452">
            <v>0</v>
          </cell>
        </row>
        <row r="1455">
          <cell r="M1455">
            <v>7680</v>
          </cell>
        </row>
        <row r="1458">
          <cell r="A1458">
            <v>13</v>
          </cell>
          <cell r="M1458">
            <v>30.72</v>
          </cell>
        </row>
        <row r="1459">
          <cell r="A1459">
            <v>15</v>
          </cell>
          <cell r="M1459">
            <v>7.68</v>
          </cell>
        </row>
        <row r="1460">
          <cell r="M1460">
            <v>0</v>
          </cell>
        </row>
        <row r="1461">
          <cell r="M1461">
            <v>0</v>
          </cell>
        </row>
        <row r="1462">
          <cell r="M1462">
            <v>0</v>
          </cell>
        </row>
        <row r="1463">
          <cell r="M1463">
            <v>0</v>
          </cell>
        </row>
        <row r="1464">
          <cell r="M1464">
            <v>0</v>
          </cell>
        </row>
        <row r="1465">
          <cell r="M1465">
            <v>0</v>
          </cell>
        </row>
        <row r="1466">
          <cell r="M1466">
            <v>0</v>
          </cell>
        </row>
        <row r="1467">
          <cell r="M1467">
            <v>0</v>
          </cell>
        </row>
        <row r="1468">
          <cell r="M1468">
            <v>0</v>
          </cell>
        </row>
        <row r="1469">
          <cell r="M1469">
            <v>0</v>
          </cell>
        </row>
        <row r="1470">
          <cell r="M1470">
            <v>0</v>
          </cell>
        </row>
        <row r="1471">
          <cell r="M1471">
            <v>0</v>
          </cell>
        </row>
        <row r="1472">
          <cell r="M1472">
            <v>0</v>
          </cell>
        </row>
        <row r="1473">
          <cell r="M1473">
            <v>0</v>
          </cell>
        </row>
        <row r="1474">
          <cell r="A1474" t="str">
            <v>S67</v>
          </cell>
          <cell r="M1474">
            <v>0</v>
          </cell>
        </row>
        <row r="1477">
          <cell r="M1477">
            <v>170</v>
          </cell>
        </row>
        <row r="1480">
          <cell r="A1480">
            <v>13</v>
          </cell>
          <cell r="M1480">
            <v>11.9</v>
          </cell>
        </row>
        <row r="1481">
          <cell r="A1481">
            <v>15</v>
          </cell>
          <cell r="M1481">
            <v>1.19</v>
          </cell>
        </row>
        <row r="1482">
          <cell r="A1482">
            <v>260</v>
          </cell>
          <cell r="M1482">
            <v>170</v>
          </cell>
        </row>
        <row r="1483">
          <cell r="M1483">
            <v>0</v>
          </cell>
        </row>
        <row r="1484">
          <cell r="M1484">
            <v>0</v>
          </cell>
        </row>
        <row r="1485">
          <cell r="M1485">
            <v>0</v>
          </cell>
        </row>
        <row r="1486">
          <cell r="M1486">
            <v>0</v>
          </cell>
        </row>
        <row r="1487">
          <cell r="M1487">
            <v>0</v>
          </cell>
        </row>
        <row r="1488">
          <cell r="M1488">
            <v>0</v>
          </cell>
        </row>
        <row r="1489">
          <cell r="M1489">
            <v>0</v>
          </cell>
        </row>
        <row r="1490">
          <cell r="M1490">
            <v>0</v>
          </cell>
        </row>
        <row r="1491">
          <cell r="M1491">
            <v>0</v>
          </cell>
        </row>
        <row r="1492">
          <cell r="M1492">
            <v>0</v>
          </cell>
        </row>
        <row r="1493">
          <cell r="M1493">
            <v>0</v>
          </cell>
        </row>
        <row r="1494">
          <cell r="M1494">
            <v>0</v>
          </cell>
        </row>
        <row r="1495">
          <cell r="M1495">
            <v>0</v>
          </cell>
        </row>
        <row r="1496">
          <cell r="A1496" t="str">
            <v>S68</v>
          </cell>
          <cell r="M1496">
            <v>0</v>
          </cell>
        </row>
        <row r="1499">
          <cell r="M1499">
            <v>19.2</v>
          </cell>
        </row>
        <row r="1502">
          <cell r="A1502">
            <v>11</v>
          </cell>
          <cell r="M1502">
            <v>4.992</v>
          </cell>
        </row>
        <row r="1503">
          <cell r="M1503">
            <v>0</v>
          </cell>
        </row>
        <row r="1504">
          <cell r="M1504">
            <v>0</v>
          </cell>
        </row>
        <row r="1505">
          <cell r="M1505">
            <v>0</v>
          </cell>
        </row>
        <row r="1506">
          <cell r="M1506">
            <v>0</v>
          </cell>
        </row>
        <row r="1507">
          <cell r="M1507">
            <v>0</v>
          </cell>
        </row>
        <row r="1508">
          <cell r="M1508">
            <v>0</v>
          </cell>
        </row>
        <row r="1509">
          <cell r="M1509">
            <v>0</v>
          </cell>
        </row>
        <row r="1510">
          <cell r="M1510">
            <v>0</v>
          </cell>
        </row>
        <row r="1511">
          <cell r="M1511">
            <v>0</v>
          </cell>
        </row>
        <row r="1512">
          <cell r="M1512">
            <v>0</v>
          </cell>
        </row>
        <row r="1513">
          <cell r="M1513">
            <v>0</v>
          </cell>
        </row>
        <row r="1514">
          <cell r="M1514">
            <v>0</v>
          </cell>
        </row>
        <row r="1515">
          <cell r="M1515">
            <v>0</v>
          </cell>
        </row>
        <row r="1516">
          <cell r="M1516">
            <v>0</v>
          </cell>
        </row>
        <row r="1517">
          <cell r="M1517">
            <v>0</v>
          </cell>
        </row>
        <row r="1518">
          <cell r="A1518" t="str">
            <v>S69</v>
          </cell>
          <cell r="M1518">
            <v>0</v>
          </cell>
        </row>
        <row r="1521">
          <cell r="M1521">
            <v>365</v>
          </cell>
        </row>
        <row r="1524">
          <cell r="A1524">
            <v>13</v>
          </cell>
          <cell r="M1524">
            <v>7.3</v>
          </cell>
        </row>
        <row r="1525">
          <cell r="A1525">
            <v>263</v>
          </cell>
          <cell r="M1525">
            <v>4380</v>
          </cell>
        </row>
        <row r="1526">
          <cell r="M1526">
            <v>0</v>
          </cell>
        </row>
        <row r="1527">
          <cell r="M1527">
            <v>0</v>
          </cell>
        </row>
        <row r="1528">
          <cell r="M1528">
            <v>0</v>
          </cell>
        </row>
        <row r="1529">
          <cell r="M1529">
            <v>0</v>
          </cell>
        </row>
        <row r="1530">
          <cell r="M1530">
            <v>0</v>
          </cell>
        </row>
        <row r="1531">
          <cell r="M1531">
            <v>0</v>
          </cell>
        </row>
        <row r="1532">
          <cell r="M1532">
            <v>0</v>
          </cell>
        </row>
        <row r="1533">
          <cell r="M1533">
            <v>0</v>
          </cell>
        </row>
        <row r="1534">
          <cell r="M1534">
            <v>0</v>
          </cell>
        </row>
        <row r="1535">
          <cell r="M1535">
            <v>0</v>
          </cell>
        </row>
        <row r="1536">
          <cell r="M1536">
            <v>0</v>
          </cell>
        </row>
        <row r="1537">
          <cell r="M1537">
            <v>0</v>
          </cell>
        </row>
        <row r="1538">
          <cell r="M1538">
            <v>0</v>
          </cell>
        </row>
        <row r="1539">
          <cell r="M1539">
            <v>0</v>
          </cell>
        </row>
        <row r="1540">
          <cell r="A1540" t="str">
            <v>S70</v>
          </cell>
          <cell r="M1540">
            <v>0</v>
          </cell>
        </row>
        <row r="1543">
          <cell r="M1543">
            <v>77</v>
          </cell>
        </row>
        <row r="1546">
          <cell r="A1546">
            <v>13</v>
          </cell>
          <cell r="M1546">
            <v>2.31</v>
          </cell>
        </row>
        <row r="1547">
          <cell r="A1547">
            <v>327</v>
          </cell>
          <cell r="M1547">
            <v>616</v>
          </cell>
        </row>
        <row r="1548">
          <cell r="M1548">
            <v>0</v>
          </cell>
        </row>
        <row r="1549">
          <cell r="M1549">
            <v>0</v>
          </cell>
        </row>
        <row r="1550">
          <cell r="M1550">
            <v>0</v>
          </cell>
        </row>
        <row r="1551">
          <cell r="M1551">
            <v>0</v>
          </cell>
        </row>
        <row r="1552">
          <cell r="M1552">
            <v>0</v>
          </cell>
        </row>
        <row r="1553">
          <cell r="M1553">
            <v>0</v>
          </cell>
        </row>
        <row r="1554">
          <cell r="M1554">
            <v>0</v>
          </cell>
        </row>
        <row r="1555">
          <cell r="M1555">
            <v>0</v>
          </cell>
        </row>
        <row r="1556">
          <cell r="M1556">
            <v>0</v>
          </cell>
        </row>
        <row r="1557">
          <cell r="M1557">
            <v>0</v>
          </cell>
        </row>
        <row r="1558">
          <cell r="M1558">
            <v>0</v>
          </cell>
        </row>
        <row r="1559">
          <cell r="M1559">
            <v>0</v>
          </cell>
        </row>
        <row r="1560">
          <cell r="M1560">
            <v>0</v>
          </cell>
        </row>
        <row r="1561">
          <cell r="M1561">
            <v>0</v>
          </cell>
        </row>
        <row r="1562">
          <cell r="A1562" t="str">
            <v>S71</v>
          </cell>
          <cell r="M1562">
            <v>0</v>
          </cell>
        </row>
        <row r="1565">
          <cell r="M1565">
            <v>17</v>
          </cell>
        </row>
        <row r="1568">
          <cell r="A1568">
            <v>11</v>
          </cell>
          <cell r="M1568">
            <v>1.1900000000000002</v>
          </cell>
        </row>
        <row r="1569">
          <cell r="A1569">
            <v>13</v>
          </cell>
          <cell r="M1569">
            <v>1.36</v>
          </cell>
        </row>
        <row r="1570">
          <cell r="A1570">
            <v>267</v>
          </cell>
          <cell r="M1570">
            <v>17</v>
          </cell>
        </row>
        <row r="1571">
          <cell r="M1571">
            <v>0</v>
          </cell>
        </row>
        <row r="1572">
          <cell r="M1572">
            <v>0</v>
          </cell>
        </row>
        <row r="1573">
          <cell r="M1573">
            <v>0</v>
          </cell>
        </row>
        <row r="1574">
          <cell r="M1574">
            <v>0</v>
          </cell>
        </row>
        <row r="1575">
          <cell r="M1575">
            <v>0</v>
          </cell>
        </row>
        <row r="1576">
          <cell r="M1576">
            <v>0</v>
          </cell>
        </row>
        <row r="1577">
          <cell r="M1577">
            <v>0</v>
          </cell>
        </row>
        <row r="1578">
          <cell r="M1578">
            <v>0</v>
          </cell>
        </row>
        <row r="1579">
          <cell r="M1579">
            <v>0</v>
          </cell>
        </row>
        <row r="1580">
          <cell r="M1580">
            <v>0</v>
          </cell>
        </row>
        <row r="1581">
          <cell r="M1581">
            <v>0</v>
          </cell>
        </row>
        <row r="1582">
          <cell r="M1582">
            <v>0</v>
          </cell>
        </row>
        <row r="1583">
          <cell r="M1583">
            <v>0</v>
          </cell>
        </row>
        <row r="1584">
          <cell r="A1584" t="str">
            <v>S72</v>
          </cell>
          <cell r="M1584">
            <v>0</v>
          </cell>
        </row>
        <row r="1587">
          <cell r="M1587">
            <v>4</v>
          </cell>
        </row>
        <row r="1590">
          <cell r="A1590">
            <v>11</v>
          </cell>
          <cell r="M1590">
            <v>0.28000000000000003</v>
          </cell>
        </row>
        <row r="1591">
          <cell r="A1591">
            <v>13</v>
          </cell>
          <cell r="M1591">
            <v>0.32</v>
          </cell>
        </row>
        <row r="1592">
          <cell r="A1592">
            <v>265</v>
          </cell>
          <cell r="M1592">
            <v>4</v>
          </cell>
        </row>
        <row r="1593">
          <cell r="M1593">
            <v>0</v>
          </cell>
        </row>
        <row r="1594">
          <cell r="M1594">
            <v>0</v>
          </cell>
        </row>
        <row r="1595">
          <cell r="M1595">
            <v>0</v>
          </cell>
        </row>
        <row r="1596">
          <cell r="M1596">
            <v>0</v>
          </cell>
        </row>
        <row r="1597">
          <cell r="M1597">
            <v>0</v>
          </cell>
        </row>
        <row r="1598">
          <cell r="M1598">
            <v>0</v>
          </cell>
        </row>
        <row r="1599">
          <cell r="M1599">
            <v>0</v>
          </cell>
        </row>
        <row r="1600">
          <cell r="M1600">
            <v>0</v>
          </cell>
        </row>
        <row r="1601">
          <cell r="M1601">
            <v>0</v>
          </cell>
        </row>
        <row r="1602">
          <cell r="M1602">
            <v>0</v>
          </cell>
        </row>
        <row r="1603">
          <cell r="M1603">
            <v>0</v>
          </cell>
        </row>
        <row r="1604">
          <cell r="M1604">
            <v>0</v>
          </cell>
        </row>
        <row r="1605">
          <cell r="M1605">
            <v>0</v>
          </cell>
        </row>
        <row r="1606">
          <cell r="A1606" t="str">
            <v>S73</v>
          </cell>
          <cell r="M1606">
            <v>0</v>
          </cell>
        </row>
        <row r="1609">
          <cell r="M1609">
            <v>12</v>
          </cell>
        </row>
        <row r="1612">
          <cell r="A1612">
            <v>11</v>
          </cell>
          <cell r="M1612">
            <v>0.84000000000000008</v>
          </cell>
        </row>
        <row r="1613">
          <cell r="A1613">
            <v>13</v>
          </cell>
          <cell r="M1613">
            <v>0.96</v>
          </cell>
        </row>
        <row r="1614">
          <cell r="A1614">
            <v>266</v>
          </cell>
          <cell r="M1614">
            <v>12</v>
          </cell>
        </row>
        <row r="1615">
          <cell r="M1615">
            <v>0</v>
          </cell>
        </row>
        <row r="1616">
          <cell r="M1616">
            <v>0</v>
          </cell>
        </row>
        <row r="1617">
          <cell r="M1617">
            <v>0</v>
          </cell>
        </row>
        <row r="1618">
          <cell r="M1618">
            <v>0</v>
          </cell>
        </row>
        <row r="1619">
          <cell r="M1619">
            <v>0</v>
          </cell>
        </row>
        <row r="1620">
          <cell r="M1620">
            <v>0</v>
          </cell>
        </row>
        <row r="1621">
          <cell r="M1621">
            <v>0</v>
          </cell>
        </row>
        <row r="1622">
          <cell r="M1622">
            <v>0</v>
          </cell>
        </row>
        <row r="1623">
          <cell r="M1623">
            <v>0</v>
          </cell>
        </row>
        <row r="1624">
          <cell r="M1624">
            <v>0</v>
          </cell>
        </row>
        <row r="1625">
          <cell r="M1625">
            <v>0</v>
          </cell>
        </row>
        <row r="1626">
          <cell r="M1626">
            <v>0</v>
          </cell>
        </row>
        <row r="1627">
          <cell r="M1627">
            <v>0</v>
          </cell>
        </row>
        <row r="1628">
          <cell r="A1628" t="str">
            <v>S74</v>
          </cell>
          <cell r="M1628">
            <v>0</v>
          </cell>
        </row>
        <row r="1631">
          <cell r="M1631">
            <v>2</v>
          </cell>
        </row>
        <row r="1634">
          <cell r="A1634">
            <v>11</v>
          </cell>
          <cell r="M1634">
            <v>0.14000000000000001</v>
          </cell>
        </row>
        <row r="1635">
          <cell r="A1635">
            <v>13</v>
          </cell>
          <cell r="M1635">
            <v>0.16</v>
          </cell>
        </row>
        <row r="1636">
          <cell r="A1636">
            <v>269</v>
          </cell>
          <cell r="M1636">
            <v>2</v>
          </cell>
        </row>
        <row r="1637">
          <cell r="M1637">
            <v>0</v>
          </cell>
        </row>
        <row r="1638">
          <cell r="M1638">
            <v>0</v>
          </cell>
        </row>
        <row r="1639">
          <cell r="M1639">
            <v>0</v>
          </cell>
        </row>
        <row r="1640">
          <cell r="M1640">
            <v>0</v>
          </cell>
        </row>
        <row r="1641">
          <cell r="M1641">
            <v>0</v>
          </cell>
        </row>
        <row r="1642">
          <cell r="M1642">
            <v>0</v>
          </cell>
        </row>
        <row r="1643">
          <cell r="M1643">
            <v>0</v>
          </cell>
        </row>
        <row r="1644">
          <cell r="M1644">
            <v>0</v>
          </cell>
        </row>
        <row r="1645">
          <cell r="M1645">
            <v>0</v>
          </cell>
        </row>
        <row r="1646">
          <cell r="M1646">
            <v>0</v>
          </cell>
        </row>
        <row r="1647">
          <cell r="M1647">
            <v>0</v>
          </cell>
        </row>
        <row r="1648">
          <cell r="M1648">
            <v>0</v>
          </cell>
        </row>
        <row r="1649">
          <cell r="M1649">
            <v>0</v>
          </cell>
        </row>
        <row r="1650">
          <cell r="A1650" t="str">
            <v>S75</v>
          </cell>
          <cell r="M1650">
            <v>0</v>
          </cell>
        </row>
        <row r="1653">
          <cell r="M1653">
            <v>8</v>
          </cell>
        </row>
        <row r="1656">
          <cell r="A1656">
            <v>13</v>
          </cell>
          <cell r="M1656">
            <v>1.68</v>
          </cell>
        </row>
        <row r="1657">
          <cell r="A1657">
            <v>134</v>
          </cell>
          <cell r="M1657">
            <v>8</v>
          </cell>
        </row>
        <row r="1658">
          <cell r="M1658">
            <v>0</v>
          </cell>
        </row>
        <row r="1659">
          <cell r="M1659">
            <v>0</v>
          </cell>
        </row>
        <row r="1660">
          <cell r="M1660">
            <v>0</v>
          </cell>
        </row>
        <row r="1661">
          <cell r="M1661">
            <v>0</v>
          </cell>
        </row>
        <row r="1662">
          <cell r="M1662">
            <v>0</v>
          </cell>
        </row>
        <row r="1663">
          <cell r="M1663">
            <v>0</v>
          </cell>
        </row>
        <row r="1664">
          <cell r="M1664">
            <v>0</v>
          </cell>
        </row>
        <row r="1665">
          <cell r="M1665">
            <v>0</v>
          </cell>
        </row>
        <row r="1666">
          <cell r="M1666">
            <v>0</v>
          </cell>
        </row>
        <row r="1667">
          <cell r="M1667">
            <v>0</v>
          </cell>
        </row>
        <row r="1668">
          <cell r="M1668">
            <v>0</v>
          </cell>
        </row>
        <row r="1669">
          <cell r="M1669">
            <v>0</v>
          </cell>
        </row>
        <row r="1670">
          <cell r="M1670">
            <v>0</v>
          </cell>
        </row>
        <row r="1671">
          <cell r="M1671">
            <v>0</v>
          </cell>
        </row>
        <row r="1672">
          <cell r="A1672" t="str">
            <v>S76</v>
          </cell>
          <cell r="M1672">
            <v>0</v>
          </cell>
        </row>
        <row r="1675">
          <cell r="M1675">
            <v>73</v>
          </cell>
        </row>
        <row r="1678">
          <cell r="A1678">
            <v>13</v>
          </cell>
          <cell r="M1678">
            <v>11.68</v>
          </cell>
        </row>
        <row r="1679">
          <cell r="A1679">
            <v>110</v>
          </cell>
          <cell r="M1679">
            <v>73</v>
          </cell>
        </row>
        <row r="1680">
          <cell r="M1680">
            <v>0</v>
          </cell>
        </row>
        <row r="1681">
          <cell r="M1681">
            <v>0</v>
          </cell>
        </row>
        <row r="1682">
          <cell r="M1682">
            <v>0</v>
          </cell>
        </row>
        <row r="1683">
          <cell r="M1683">
            <v>0</v>
          </cell>
        </row>
        <row r="1684">
          <cell r="M1684">
            <v>0</v>
          </cell>
        </row>
        <row r="1685">
          <cell r="M1685">
            <v>0</v>
          </cell>
        </row>
        <row r="1686">
          <cell r="M1686">
            <v>0</v>
          </cell>
        </row>
        <row r="1687">
          <cell r="M1687">
            <v>0</v>
          </cell>
        </row>
        <row r="1688">
          <cell r="M1688">
            <v>0</v>
          </cell>
        </row>
        <row r="1689">
          <cell r="M1689">
            <v>0</v>
          </cell>
        </row>
        <row r="1690">
          <cell r="M1690">
            <v>0</v>
          </cell>
        </row>
        <row r="1691">
          <cell r="M1691">
            <v>0</v>
          </cell>
        </row>
        <row r="1692">
          <cell r="M1692">
            <v>0</v>
          </cell>
        </row>
        <row r="1693">
          <cell r="M1693">
            <v>0</v>
          </cell>
        </row>
        <row r="1694">
          <cell r="A1694" t="str">
            <v>S77</v>
          </cell>
          <cell r="M1694">
            <v>0</v>
          </cell>
        </row>
        <row r="1697">
          <cell r="M1697">
            <v>12</v>
          </cell>
        </row>
        <row r="1700">
          <cell r="A1700">
            <v>13</v>
          </cell>
          <cell r="M1700">
            <v>1.7999999999999998</v>
          </cell>
        </row>
        <row r="1701">
          <cell r="A1701">
            <v>156</v>
          </cell>
          <cell r="M1701">
            <v>12</v>
          </cell>
        </row>
        <row r="1702">
          <cell r="M1702">
            <v>0</v>
          </cell>
        </row>
        <row r="1703">
          <cell r="M1703">
            <v>0</v>
          </cell>
        </row>
        <row r="1704">
          <cell r="M1704">
            <v>0</v>
          </cell>
        </row>
        <row r="1705">
          <cell r="M1705">
            <v>0</v>
          </cell>
        </row>
        <row r="1706">
          <cell r="M1706">
            <v>0</v>
          </cell>
        </row>
        <row r="1707">
          <cell r="M1707">
            <v>0</v>
          </cell>
        </row>
        <row r="1708">
          <cell r="M1708">
            <v>0</v>
          </cell>
        </row>
        <row r="1709">
          <cell r="M1709">
            <v>0</v>
          </cell>
        </row>
        <row r="1710">
          <cell r="M1710">
            <v>0</v>
          </cell>
        </row>
        <row r="1711">
          <cell r="M1711">
            <v>0</v>
          </cell>
        </row>
        <row r="1712">
          <cell r="M1712">
            <v>0</v>
          </cell>
        </row>
        <row r="1713">
          <cell r="M1713">
            <v>0</v>
          </cell>
        </row>
        <row r="1714">
          <cell r="M1714">
            <v>0</v>
          </cell>
        </row>
        <row r="1715">
          <cell r="M1715">
            <v>0</v>
          </cell>
        </row>
        <row r="1716">
          <cell r="A1716" t="str">
            <v>S78</v>
          </cell>
          <cell r="M1716">
            <v>0</v>
          </cell>
        </row>
        <row r="1719">
          <cell r="M1719">
            <v>68</v>
          </cell>
        </row>
        <row r="1722">
          <cell r="A1722">
            <v>13</v>
          </cell>
          <cell r="M1722">
            <v>6.8000000000000007</v>
          </cell>
        </row>
        <row r="1723">
          <cell r="A1723">
            <v>168</v>
          </cell>
          <cell r="M1723">
            <v>68</v>
          </cell>
        </row>
        <row r="1724">
          <cell r="M1724">
            <v>0</v>
          </cell>
        </row>
        <row r="1725">
          <cell r="M1725">
            <v>0</v>
          </cell>
        </row>
        <row r="1726">
          <cell r="M1726">
            <v>0</v>
          </cell>
        </row>
        <row r="1727">
          <cell r="M1727">
            <v>0</v>
          </cell>
        </row>
        <row r="1728">
          <cell r="M1728">
            <v>0</v>
          </cell>
        </row>
        <row r="1729">
          <cell r="M1729">
            <v>0</v>
          </cell>
        </row>
        <row r="1730">
          <cell r="M1730">
            <v>0</v>
          </cell>
        </row>
        <row r="1731">
          <cell r="M1731">
            <v>0</v>
          </cell>
        </row>
        <row r="1732">
          <cell r="M1732">
            <v>0</v>
          </cell>
        </row>
        <row r="1733">
          <cell r="M1733">
            <v>0</v>
          </cell>
        </row>
        <row r="1734">
          <cell r="M1734">
            <v>0</v>
          </cell>
        </row>
        <row r="1735">
          <cell r="M1735">
            <v>0</v>
          </cell>
        </row>
        <row r="1736">
          <cell r="M1736">
            <v>0</v>
          </cell>
        </row>
        <row r="1737">
          <cell r="M1737">
            <v>0</v>
          </cell>
        </row>
        <row r="1738">
          <cell r="A1738" t="str">
            <v>S79</v>
          </cell>
          <cell r="M1738">
            <v>0</v>
          </cell>
        </row>
        <row r="1741">
          <cell r="M1741">
            <v>284</v>
          </cell>
        </row>
        <row r="1744">
          <cell r="A1744">
            <v>13</v>
          </cell>
          <cell r="M1744">
            <v>22.72</v>
          </cell>
        </row>
        <row r="1745">
          <cell r="A1745">
            <v>174</v>
          </cell>
          <cell r="M1745">
            <v>284</v>
          </cell>
        </row>
        <row r="1746">
          <cell r="M1746">
            <v>0</v>
          </cell>
        </row>
        <row r="1747">
          <cell r="M1747">
            <v>0</v>
          </cell>
        </row>
        <row r="1748">
          <cell r="M1748">
            <v>0</v>
          </cell>
        </row>
        <row r="1749">
          <cell r="M1749">
            <v>0</v>
          </cell>
        </row>
        <row r="1750">
          <cell r="M1750">
            <v>0</v>
          </cell>
        </row>
        <row r="1751">
          <cell r="M1751">
            <v>0</v>
          </cell>
        </row>
        <row r="1752">
          <cell r="M1752">
            <v>0</v>
          </cell>
        </row>
        <row r="1753">
          <cell r="M1753">
            <v>0</v>
          </cell>
        </row>
        <row r="1754">
          <cell r="M1754">
            <v>0</v>
          </cell>
        </row>
        <row r="1755">
          <cell r="M1755">
            <v>0</v>
          </cell>
        </row>
        <row r="1756">
          <cell r="M1756">
            <v>0</v>
          </cell>
        </row>
        <row r="1757">
          <cell r="M1757">
            <v>0</v>
          </cell>
        </row>
        <row r="1758">
          <cell r="M1758">
            <v>0</v>
          </cell>
        </row>
        <row r="1759">
          <cell r="M1759">
            <v>0</v>
          </cell>
        </row>
        <row r="1760">
          <cell r="A1760" t="str">
            <v>S80</v>
          </cell>
          <cell r="M1760">
            <v>0</v>
          </cell>
        </row>
        <row r="1763">
          <cell r="M1763">
            <v>24</v>
          </cell>
        </row>
        <row r="1766">
          <cell r="A1766">
            <v>11</v>
          </cell>
          <cell r="M1766">
            <v>0.312</v>
          </cell>
        </row>
        <row r="1767">
          <cell r="A1767">
            <v>13</v>
          </cell>
          <cell r="M1767">
            <v>0.12</v>
          </cell>
        </row>
        <row r="1768">
          <cell r="A1768">
            <v>16</v>
          </cell>
          <cell r="M1768">
            <v>0.28800000000000003</v>
          </cell>
        </row>
        <row r="1769">
          <cell r="M1769">
            <v>0</v>
          </cell>
        </row>
        <row r="1770">
          <cell r="M1770">
            <v>0</v>
          </cell>
        </row>
        <row r="1771">
          <cell r="M1771">
            <v>0</v>
          </cell>
        </row>
        <row r="1772">
          <cell r="M1772">
            <v>0</v>
          </cell>
        </row>
        <row r="1773">
          <cell r="M1773">
            <v>0</v>
          </cell>
        </row>
        <row r="1774">
          <cell r="M1774">
            <v>0</v>
          </cell>
        </row>
        <row r="1775">
          <cell r="M1775">
            <v>0</v>
          </cell>
        </row>
        <row r="1776">
          <cell r="M1776">
            <v>0</v>
          </cell>
        </row>
        <row r="1777">
          <cell r="M1777">
            <v>0</v>
          </cell>
        </row>
        <row r="1778">
          <cell r="M1778">
            <v>0</v>
          </cell>
        </row>
        <row r="1779">
          <cell r="M1779">
            <v>0</v>
          </cell>
        </row>
        <row r="1780">
          <cell r="M1780">
            <v>0</v>
          </cell>
        </row>
        <row r="1781">
          <cell r="M1781">
            <v>0</v>
          </cell>
        </row>
        <row r="1782">
          <cell r="A1782" t="str">
            <v>S81</v>
          </cell>
          <cell r="M1782">
            <v>0</v>
          </cell>
        </row>
        <row r="1785">
          <cell r="M1785">
            <v>24</v>
          </cell>
        </row>
        <row r="1788">
          <cell r="A1788">
            <v>11</v>
          </cell>
          <cell r="M1788">
            <v>1.008</v>
          </cell>
        </row>
        <row r="1789">
          <cell r="A1789">
            <v>16</v>
          </cell>
          <cell r="M1789">
            <v>0.96</v>
          </cell>
        </row>
        <row r="1790">
          <cell r="M1790">
            <v>0</v>
          </cell>
        </row>
        <row r="1791">
          <cell r="M1791">
            <v>0</v>
          </cell>
        </row>
        <row r="1792">
          <cell r="M1792">
            <v>0</v>
          </cell>
        </row>
        <row r="1793">
          <cell r="M1793">
            <v>0</v>
          </cell>
        </row>
        <row r="1794">
          <cell r="M1794">
            <v>0</v>
          </cell>
        </row>
        <row r="1795">
          <cell r="M1795">
            <v>0</v>
          </cell>
        </row>
        <row r="1796">
          <cell r="M1796">
            <v>0</v>
          </cell>
        </row>
        <row r="1797">
          <cell r="M1797">
            <v>0</v>
          </cell>
        </row>
        <row r="1798">
          <cell r="M1798">
            <v>0</v>
          </cell>
        </row>
        <row r="1799">
          <cell r="M1799">
            <v>0</v>
          </cell>
        </row>
        <row r="1800">
          <cell r="M1800">
            <v>0</v>
          </cell>
        </row>
        <row r="1801">
          <cell r="M1801">
            <v>0</v>
          </cell>
        </row>
        <row r="1802">
          <cell r="M1802">
            <v>0</v>
          </cell>
        </row>
        <row r="1803">
          <cell r="M1803">
            <v>0</v>
          </cell>
        </row>
        <row r="1804">
          <cell r="A1804" t="str">
            <v>S82</v>
          </cell>
          <cell r="M1804">
            <v>0</v>
          </cell>
        </row>
        <row r="1807">
          <cell r="M1807">
            <v>76</v>
          </cell>
        </row>
        <row r="1810">
          <cell r="A1810">
            <v>11</v>
          </cell>
          <cell r="M1810">
            <v>0.30399999999999999</v>
          </cell>
        </row>
        <row r="1811">
          <cell r="A1811">
            <v>13</v>
          </cell>
          <cell r="M1811">
            <v>0.30399999999999999</v>
          </cell>
        </row>
        <row r="1812">
          <cell r="A1812">
            <v>15</v>
          </cell>
          <cell r="M1812">
            <v>0.22800000000000001</v>
          </cell>
        </row>
        <row r="1813">
          <cell r="M1813">
            <v>0</v>
          </cell>
        </row>
        <row r="1814">
          <cell r="M1814">
            <v>0</v>
          </cell>
        </row>
        <row r="1815">
          <cell r="M1815">
            <v>0</v>
          </cell>
        </row>
        <row r="1816">
          <cell r="M1816">
            <v>0</v>
          </cell>
        </row>
        <row r="1817">
          <cell r="M1817">
            <v>0</v>
          </cell>
        </row>
        <row r="1818">
          <cell r="M1818">
            <v>0</v>
          </cell>
        </row>
        <row r="1819">
          <cell r="M1819">
            <v>0</v>
          </cell>
        </row>
        <row r="1820">
          <cell r="M1820">
            <v>0</v>
          </cell>
        </row>
        <row r="1821">
          <cell r="M1821">
            <v>0</v>
          </cell>
        </row>
        <row r="1822">
          <cell r="M1822">
            <v>0</v>
          </cell>
        </row>
        <row r="1823">
          <cell r="M1823">
            <v>0</v>
          </cell>
        </row>
        <row r="1824">
          <cell r="M1824">
            <v>0</v>
          </cell>
        </row>
        <row r="1825">
          <cell r="M1825">
            <v>0</v>
          </cell>
        </row>
        <row r="1826">
          <cell r="A1826" t="str">
            <v>S83</v>
          </cell>
          <cell r="M1826">
            <v>0</v>
          </cell>
        </row>
        <row r="1829">
          <cell r="M1829">
            <v>320</v>
          </cell>
        </row>
        <row r="1832">
          <cell r="A1832">
            <v>11</v>
          </cell>
          <cell r="M1832">
            <v>1.92</v>
          </cell>
        </row>
        <row r="1833">
          <cell r="A1833">
            <v>13</v>
          </cell>
          <cell r="M1833">
            <v>2.2400000000000002</v>
          </cell>
        </row>
        <row r="1834">
          <cell r="A1834">
            <v>15</v>
          </cell>
          <cell r="M1834">
            <v>0.96</v>
          </cell>
        </row>
        <row r="1835">
          <cell r="M1835">
            <v>0</v>
          </cell>
        </row>
        <row r="1836">
          <cell r="M1836">
            <v>0</v>
          </cell>
        </row>
        <row r="1837">
          <cell r="M1837">
            <v>0</v>
          </cell>
        </row>
        <row r="1838">
          <cell r="M1838">
            <v>0</v>
          </cell>
        </row>
        <row r="1839">
          <cell r="M1839">
            <v>0</v>
          </cell>
        </row>
        <row r="1840">
          <cell r="M1840">
            <v>0</v>
          </cell>
        </row>
        <row r="1841">
          <cell r="M1841">
            <v>0</v>
          </cell>
        </row>
        <row r="1842">
          <cell r="M1842">
            <v>0</v>
          </cell>
        </row>
        <row r="1843">
          <cell r="M1843">
            <v>0</v>
          </cell>
        </row>
        <row r="1844">
          <cell r="M1844">
            <v>0</v>
          </cell>
        </row>
        <row r="1845">
          <cell r="M1845">
            <v>0</v>
          </cell>
        </row>
        <row r="1846">
          <cell r="M1846">
            <v>0</v>
          </cell>
        </row>
        <row r="1847">
          <cell r="M1847">
            <v>0</v>
          </cell>
        </row>
        <row r="1848">
          <cell r="A1848" t="str">
            <v>S84</v>
          </cell>
          <cell r="M1848">
            <v>0</v>
          </cell>
        </row>
        <row r="1851">
          <cell r="M1851">
            <v>174</v>
          </cell>
        </row>
        <row r="1854">
          <cell r="A1854">
            <v>11</v>
          </cell>
          <cell r="M1854">
            <v>1.044</v>
          </cell>
        </row>
        <row r="1855">
          <cell r="A1855">
            <v>13</v>
          </cell>
          <cell r="M1855">
            <v>1.5659999999999998</v>
          </cell>
        </row>
        <row r="1856">
          <cell r="A1856">
            <v>15</v>
          </cell>
          <cell r="M1856">
            <v>0.52200000000000002</v>
          </cell>
        </row>
        <row r="1857">
          <cell r="M1857">
            <v>0</v>
          </cell>
        </row>
        <row r="1858">
          <cell r="M1858">
            <v>0</v>
          </cell>
        </row>
        <row r="1859">
          <cell r="M1859">
            <v>0</v>
          </cell>
        </row>
        <row r="1860">
          <cell r="M1860">
            <v>0</v>
          </cell>
        </row>
        <row r="1861">
          <cell r="M1861">
            <v>0</v>
          </cell>
        </row>
        <row r="1862">
          <cell r="M1862">
            <v>0</v>
          </cell>
        </row>
        <row r="1863">
          <cell r="M1863">
            <v>0</v>
          </cell>
        </row>
        <row r="1864">
          <cell r="M1864">
            <v>0</v>
          </cell>
        </row>
        <row r="1865">
          <cell r="M1865">
            <v>0</v>
          </cell>
        </row>
        <row r="1866">
          <cell r="M1866">
            <v>0</v>
          </cell>
        </row>
        <row r="1867">
          <cell r="M1867">
            <v>0</v>
          </cell>
        </row>
        <row r="1868">
          <cell r="M1868">
            <v>0</v>
          </cell>
        </row>
        <row r="1869">
          <cell r="M1869">
            <v>0</v>
          </cell>
        </row>
        <row r="1870">
          <cell r="A1870" t="str">
            <v>S85</v>
          </cell>
          <cell r="M1870">
            <v>0</v>
          </cell>
        </row>
        <row r="1873">
          <cell r="M1873">
            <v>4340</v>
          </cell>
        </row>
        <row r="1876">
          <cell r="A1876">
            <v>13</v>
          </cell>
          <cell r="M1876">
            <v>4.34</v>
          </cell>
        </row>
        <row r="1877">
          <cell r="A1877">
            <v>15</v>
          </cell>
          <cell r="M1877">
            <v>4.34</v>
          </cell>
        </row>
        <row r="1878">
          <cell r="M1878">
            <v>0</v>
          </cell>
        </row>
        <row r="1879">
          <cell r="M1879">
            <v>0</v>
          </cell>
        </row>
        <row r="1880">
          <cell r="M1880">
            <v>0</v>
          </cell>
        </row>
        <row r="1881">
          <cell r="M1881">
            <v>0</v>
          </cell>
        </row>
        <row r="1882">
          <cell r="M1882">
            <v>0</v>
          </cell>
        </row>
        <row r="1883">
          <cell r="M1883">
            <v>0</v>
          </cell>
        </row>
        <row r="1884">
          <cell r="M1884">
            <v>0</v>
          </cell>
        </row>
        <row r="1885">
          <cell r="M1885">
            <v>0</v>
          </cell>
        </row>
        <row r="1886">
          <cell r="M1886">
            <v>0</v>
          </cell>
        </row>
        <row r="1887">
          <cell r="M1887">
            <v>0</v>
          </cell>
        </row>
        <row r="1888">
          <cell r="M1888">
            <v>0</v>
          </cell>
        </row>
        <row r="1889">
          <cell r="M1889">
            <v>0</v>
          </cell>
        </row>
        <row r="1890">
          <cell r="M1890">
            <v>0</v>
          </cell>
        </row>
        <row r="1891">
          <cell r="M1891">
            <v>0</v>
          </cell>
        </row>
        <row r="1892">
          <cell r="A1892" t="str">
            <v>S86</v>
          </cell>
          <cell r="M1892">
            <v>0</v>
          </cell>
        </row>
        <row r="1895">
          <cell r="M1895">
            <v>58</v>
          </cell>
        </row>
        <row r="1898">
          <cell r="A1898">
            <v>13</v>
          </cell>
          <cell r="M1898">
            <v>1.1599999999999999</v>
          </cell>
        </row>
        <row r="1899">
          <cell r="A1899">
            <v>15</v>
          </cell>
          <cell r="M1899">
            <v>0.11600000000000001</v>
          </cell>
        </row>
        <row r="1900">
          <cell r="M1900">
            <v>0</v>
          </cell>
        </row>
        <row r="1901">
          <cell r="M1901">
            <v>0</v>
          </cell>
        </row>
        <row r="1902">
          <cell r="M1902">
            <v>0</v>
          </cell>
        </row>
        <row r="1903">
          <cell r="M1903">
            <v>0</v>
          </cell>
        </row>
        <row r="1904">
          <cell r="M1904">
            <v>0</v>
          </cell>
        </row>
        <row r="1905">
          <cell r="M1905">
            <v>0</v>
          </cell>
        </row>
        <row r="1906">
          <cell r="M1906">
            <v>0</v>
          </cell>
        </row>
        <row r="1907">
          <cell r="M1907">
            <v>0</v>
          </cell>
        </row>
        <row r="1908">
          <cell r="M1908">
            <v>0</v>
          </cell>
        </row>
        <row r="1909">
          <cell r="M1909">
            <v>0</v>
          </cell>
        </row>
        <row r="1910">
          <cell r="M1910">
            <v>0</v>
          </cell>
        </row>
        <row r="1911">
          <cell r="M1911">
            <v>0</v>
          </cell>
        </row>
        <row r="1912">
          <cell r="M1912">
            <v>0</v>
          </cell>
        </row>
        <row r="1913">
          <cell r="M1913">
            <v>0</v>
          </cell>
        </row>
        <row r="1914">
          <cell r="A1914" t="str">
            <v>S87</v>
          </cell>
          <cell r="M1914">
            <v>0</v>
          </cell>
        </row>
        <row r="1917">
          <cell r="M1917">
            <v>365</v>
          </cell>
        </row>
        <row r="1920">
          <cell r="A1920">
            <v>13</v>
          </cell>
          <cell r="M1920">
            <v>21.9</v>
          </cell>
        </row>
        <row r="1921">
          <cell r="M1921">
            <v>0</v>
          </cell>
        </row>
        <row r="1922">
          <cell r="M1922">
            <v>0</v>
          </cell>
        </row>
        <row r="1923">
          <cell r="M1923">
            <v>0</v>
          </cell>
        </row>
        <row r="1924">
          <cell r="M1924">
            <v>0</v>
          </cell>
        </row>
        <row r="1925">
          <cell r="M1925">
            <v>0</v>
          </cell>
        </row>
        <row r="1926">
          <cell r="M1926">
            <v>0</v>
          </cell>
        </row>
        <row r="1927">
          <cell r="M1927">
            <v>0</v>
          </cell>
        </row>
        <row r="1928">
          <cell r="M1928">
            <v>0</v>
          </cell>
        </row>
        <row r="1929">
          <cell r="M1929">
            <v>0</v>
          </cell>
        </row>
        <row r="1930">
          <cell r="M1930">
            <v>0</v>
          </cell>
        </row>
        <row r="1931">
          <cell r="M1931">
            <v>0</v>
          </cell>
        </row>
        <row r="1932">
          <cell r="M1932">
            <v>0</v>
          </cell>
        </row>
        <row r="1933">
          <cell r="M1933">
            <v>0</v>
          </cell>
        </row>
        <row r="1934">
          <cell r="M1934">
            <v>0</v>
          </cell>
        </row>
        <row r="1935">
          <cell r="M1935">
            <v>0</v>
          </cell>
        </row>
        <row r="1936">
          <cell r="A1936" t="str">
            <v>S88</v>
          </cell>
          <cell r="M1936">
            <v>0</v>
          </cell>
        </row>
        <row r="1939">
          <cell r="M1939">
            <v>77</v>
          </cell>
        </row>
        <row r="1942">
          <cell r="A1942">
            <v>13</v>
          </cell>
          <cell r="M1942">
            <v>0.61599999999999999</v>
          </cell>
        </row>
        <row r="1943">
          <cell r="M1943">
            <v>0</v>
          </cell>
        </row>
        <row r="1944">
          <cell r="M1944">
            <v>0</v>
          </cell>
        </row>
        <row r="1945">
          <cell r="M1945">
            <v>0</v>
          </cell>
        </row>
        <row r="1946">
          <cell r="M1946">
            <v>0</v>
          </cell>
        </row>
        <row r="1947">
          <cell r="M1947">
            <v>0</v>
          </cell>
        </row>
        <row r="1948">
          <cell r="M1948">
            <v>0</v>
          </cell>
        </row>
        <row r="1949">
          <cell r="M1949">
            <v>0</v>
          </cell>
        </row>
        <row r="1950">
          <cell r="M1950">
            <v>0</v>
          </cell>
        </row>
        <row r="1951">
          <cell r="M1951">
            <v>0</v>
          </cell>
        </row>
        <row r="1952">
          <cell r="M1952">
            <v>0</v>
          </cell>
        </row>
        <row r="1953">
          <cell r="M1953">
            <v>0</v>
          </cell>
        </row>
        <row r="1954">
          <cell r="M1954">
            <v>0</v>
          </cell>
        </row>
        <row r="1955">
          <cell r="M1955">
            <v>0</v>
          </cell>
        </row>
        <row r="1956">
          <cell r="M1956">
            <v>0</v>
          </cell>
        </row>
        <row r="1957">
          <cell r="M1957">
            <v>0</v>
          </cell>
        </row>
        <row r="1958">
          <cell r="A1958" t="str">
            <v>S89</v>
          </cell>
          <cell r="M1958">
            <v>0</v>
          </cell>
        </row>
        <row r="1961">
          <cell r="M1961">
            <v>37</v>
          </cell>
        </row>
        <row r="1964">
          <cell r="A1964">
            <v>11</v>
          </cell>
          <cell r="M1964">
            <v>0.74</v>
          </cell>
        </row>
        <row r="1965">
          <cell r="A1965">
            <v>13</v>
          </cell>
          <cell r="M1965">
            <v>0.74</v>
          </cell>
        </row>
        <row r="1966">
          <cell r="M1966">
            <v>0</v>
          </cell>
        </row>
        <row r="1967">
          <cell r="M1967">
            <v>0</v>
          </cell>
        </row>
        <row r="1968">
          <cell r="M1968">
            <v>0</v>
          </cell>
        </row>
        <row r="1969">
          <cell r="M1969">
            <v>0</v>
          </cell>
        </row>
        <row r="1970">
          <cell r="M1970">
            <v>0</v>
          </cell>
        </row>
        <row r="1971">
          <cell r="M1971">
            <v>0</v>
          </cell>
        </row>
        <row r="1972">
          <cell r="M1972">
            <v>0</v>
          </cell>
        </row>
        <row r="1973">
          <cell r="M1973">
            <v>0</v>
          </cell>
        </row>
        <row r="1974">
          <cell r="M1974">
            <v>0</v>
          </cell>
        </row>
        <row r="1975">
          <cell r="M1975">
            <v>0</v>
          </cell>
        </row>
        <row r="1976">
          <cell r="M1976">
            <v>0</v>
          </cell>
        </row>
        <row r="1977">
          <cell r="M1977">
            <v>0</v>
          </cell>
        </row>
        <row r="1978">
          <cell r="M1978">
            <v>0</v>
          </cell>
        </row>
        <row r="1979">
          <cell r="M1979">
            <v>0</v>
          </cell>
        </row>
        <row r="1980">
          <cell r="A1980" t="str">
            <v>S90</v>
          </cell>
          <cell r="M1980">
            <v>0</v>
          </cell>
        </row>
        <row r="1983">
          <cell r="M1983">
            <v>4</v>
          </cell>
        </row>
        <row r="1986">
          <cell r="A1986">
            <v>13</v>
          </cell>
          <cell r="M1986">
            <v>0.24</v>
          </cell>
        </row>
        <row r="1987">
          <cell r="M1987">
            <v>0</v>
          </cell>
        </row>
        <row r="1988">
          <cell r="M1988">
            <v>0</v>
          </cell>
        </row>
        <row r="1989">
          <cell r="M1989">
            <v>0</v>
          </cell>
        </row>
        <row r="1990">
          <cell r="M1990">
            <v>0</v>
          </cell>
        </row>
        <row r="1991">
          <cell r="M1991">
            <v>0</v>
          </cell>
        </row>
        <row r="1992">
          <cell r="M1992">
            <v>0</v>
          </cell>
        </row>
        <row r="1993">
          <cell r="M1993">
            <v>0</v>
          </cell>
        </row>
        <row r="1994">
          <cell r="M1994">
            <v>0</v>
          </cell>
        </row>
        <row r="1995">
          <cell r="M1995">
            <v>0</v>
          </cell>
        </row>
        <row r="1996">
          <cell r="M1996">
            <v>0</v>
          </cell>
        </row>
        <row r="1997">
          <cell r="M1997">
            <v>0</v>
          </cell>
        </row>
        <row r="1998">
          <cell r="M1998">
            <v>0</v>
          </cell>
        </row>
        <row r="1999">
          <cell r="M1999">
            <v>0</v>
          </cell>
        </row>
        <row r="2000">
          <cell r="M2000">
            <v>0</v>
          </cell>
        </row>
        <row r="2001">
          <cell r="M2001">
            <v>0</v>
          </cell>
        </row>
        <row r="2002">
          <cell r="A2002" t="str">
            <v>S91</v>
          </cell>
          <cell r="M2002">
            <v>0</v>
          </cell>
        </row>
        <row r="2005">
          <cell r="M2005">
            <v>4</v>
          </cell>
        </row>
        <row r="2008">
          <cell r="A2008">
            <v>13</v>
          </cell>
          <cell r="M2008">
            <v>0.16</v>
          </cell>
        </row>
        <row r="2009">
          <cell r="M2009">
            <v>0</v>
          </cell>
        </row>
        <row r="2010">
          <cell r="M2010">
            <v>0</v>
          </cell>
        </row>
        <row r="2011">
          <cell r="M2011">
            <v>0</v>
          </cell>
        </row>
        <row r="2012">
          <cell r="M2012">
            <v>0</v>
          </cell>
        </row>
        <row r="2013">
          <cell r="M2013">
            <v>0</v>
          </cell>
        </row>
        <row r="2014">
          <cell r="M2014">
            <v>0</v>
          </cell>
        </row>
        <row r="2015">
          <cell r="M2015">
            <v>0</v>
          </cell>
        </row>
        <row r="2016">
          <cell r="M2016">
            <v>0</v>
          </cell>
        </row>
        <row r="2017">
          <cell r="M2017">
            <v>0</v>
          </cell>
        </row>
        <row r="2018">
          <cell r="M2018">
            <v>0</v>
          </cell>
        </row>
        <row r="2019">
          <cell r="M2019">
            <v>0</v>
          </cell>
        </row>
        <row r="2020">
          <cell r="M2020">
            <v>0</v>
          </cell>
        </row>
        <row r="2021">
          <cell r="M2021">
            <v>0</v>
          </cell>
        </row>
        <row r="2022">
          <cell r="M2022">
            <v>0</v>
          </cell>
        </row>
        <row r="2023">
          <cell r="M2023">
            <v>0</v>
          </cell>
        </row>
        <row r="2024">
          <cell r="A2024" t="str">
            <v>S92</v>
          </cell>
          <cell r="M2024">
            <v>0</v>
          </cell>
        </row>
        <row r="2027">
          <cell r="M2027">
            <v>12</v>
          </cell>
        </row>
        <row r="2030">
          <cell r="A2030">
            <v>13</v>
          </cell>
          <cell r="M2030">
            <v>0.48</v>
          </cell>
        </row>
        <row r="2031">
          <cell r="M2031">
            <v>0</v>
          </cell>
        </row>
        <row r="2032">
          <cell r="M2032">
            <v>0</v>
          </cell>
        </row>
        <row r="2033">
          <cell r="M2033">
            <v>0</v>
          </cell>
        </row>
        <row r="2034">
          <cell r="M2034">
            <v>0</v>
          </cell>
        </row>
        <row r="2035">
          <cell r="M2035">
            <v>0</v>
          </cell>
        </row>
        <row r="2036">
          <cell r="M2036">
            <v>0</v>
          </cell>
        </row>
        <row r="2037">
          <cell r="M2037">
            <v>0</v>
          </cell>
        </row>
        <row r="2038">
          <cell r="M2038">
            <v>0</v>
          </cell>
        </row>
        <row r="2039">
          <cell r="M2039">
            <v>0</v>
          </cell>
        </row>
        <row r="2040">
          <cell r="M2040">
            <v>0</v>
          </cell>
        </row>
        <row r="2041">
          <cell r="M2041">
            <v>0</v>
          </cell>
        </row>
        <row r="2042">
          <cell r="M2042">
            <v>0</v>
          </cell>
        </row>
        <row r="2043">
          <cell r="M2043">
            <v>0</v>
          </cell>
        </row>
        <row r="2044">
          <cell r="M2044">
            <v>0</v>
          </cell>
        </row>
        <row r="2045">
          <cell r="M2045">
            <v>0</v>
          </cell>
        </row>
        <row r="2046">
          <cell r="A2046" t="str">
            <v>S93</v>
          </cell>
          <cell r="M2046">
            <v>0</v>
          </cell>
        </row>
        <row r="2049">
          <cell r="M2049">
            <v>126</v>
          </cell>
        </row>
        <row r="2052">
          <cell r="A2052">
            <v>13</v>
          </cell>
          <cell r="M2052">
            <v>3.78</v>
          </cell>
        </row>
        <row r="2053">
          <cell r="M2053">
            <v>0</v>
          </cell>
        </row>
        <row r="2054">
          <cell r="M2054">
            <v>0</v>
          </cell>
        </row>
        <row r="2055">
          <cell r="M2055">
            <v>0</v>
          </cell>
        </row>
        <row r="2056">
          <cell r="M2056">
            <v>0</v>
          </cell>
        </row>
        <row r="2057">
          <cell r="M2057">
            <v>0</v>
          </cell>
        </row>
        <row r="2058">
          <cell r="M2058">
            <v>0</v>
          </cell>
        </row>
        <row r="2059">
          <cell r="M2059">
            <v>0</v>
          </cell>
        </row>
        <row r="2060">
          <cell r="M2060">
            <v>0</v>
          </cell>
        </row>
        <row r="2061">
          <cell r="M2061">
            <v>0</v>
          </cell>
        </row>
        <row r="2062">
          <cell r="M2062">
            <v>0</v>
          </cell>
        </row>
        <row r="2063">
          <cell r="M2063">
            <v>0</v>
          </cell>
        </row>
        <row r="2064">
          <cell r="M2064">
            <v>0</v>
          </cell>
        </row>
        <row r="2065">
          <cell r="M2065">
            <v>0</v>
          </cell>
        </row>
        <row r="2066">
          <cell r="M2066">
            <v>0</v>
          </cell>
        </row>
        <row r="2067">
          <cell r="M2067">
            <v>0</v>
          </cell>
        </row>
        <row r="2068">
          <cell r="A2068" t="str">
            <v>S94</v>
          </cell>
          <cell r="M2068">
            <v>0</v>
          </cell>
        </row>
        <row r="2071">
          <cell r="M2071">
            <v>21</v>
          </cell>
        </row>
        <row r="2074">
          <cell r="A2074">
            <v>13</v>
          </cell>
          <cell r="M2074">
            <v>0.42</v>
          </cell>
        </row>
        <row r="2075">
          <cell r="M2075">
            <v>0</v>
          </cell>
        </row>
        <row r="2076">
          <cell r="M2076">
            <v>0</v>
          </cell>
        </row>
        <row r="2077">
          <cell r="M2077">
            <v>0</v>
          </cell>
        </row>
        <row r="2078">
          <cell r="M2078">
            <v>0</v>
          </cell>
        </row>
        <row r="2079">
          <cell r="M2079">
            <v>0</v>
          </cell>
        </row>
        <row r="2080">
          <cell r="M2080">
            <v>0</v>
          </cell>
        </row>
        <row r="2081">
          <cell r="M2081">
            <v>0</v>
          </cell>
        </row>
        <row r="2082">
          <cell r="M2082">
            <v>0</v>
          </cell>
        </row>
        <row r="2083">
          <cell r="M2083">
            <v>0</v>
          </cell>
        </row>
        <row r="2084">
          <cell r="M2084">
            <v>0</v>
          </cell>
        </row>
        <row r="2085">
          <cell r="M2085">
            <v>0</v>
          </cell>
        </row>
        <row r="2086">
          <cell r="M2086">
            <v>0</v>
          </cell>
        </row>
        <row r="2087">
          <cell r="M2087">
            <v>0</v>
          </cell>
        </row>
        <row r="2088">
          <cell r="M2088">
            <v>0</v>
          </cell>
        </row>
        <row r="2089">
          <cell r="M2089">
            <v>0</v>
          </cell>
        </row>
        <row r="2090">
          <cell r="A2090" t="str">
            <v>S95</v>
          </cell>
          <cell r="M2090">
            <v>0</v>
          </cell>
        </row>
        <row r="2093">
          <cell r="M2093">
            <v>24</v>
          </cell>
        </row>
        <row r="2096">
          <cell r="A2096">
            <v>11</v>
          </cell>
          <cell r="M2096">
            <v>0.24</v>
          </cell>
        </row>
        <row r="2097">
          <cell r="A2097">
            <v>16</v>
          </cell>
          <cell r="M2097">
            <v>0.24</v>
          </cell>
        </row>
        <row r="2098">
          <cell r="M2098">
            <v>0</v>
          </cell>
        </row>
        <row r="2099">
          <cell r="M2099">
            <v>0</v>
          </cell>
        </row>
        <row r="2100">
          <cell r="M2100">
            <v>0</v>
          </cell>
        </row>
        <row r="2101">
          <cell r="M2101">
            <v>0</v>
          </cell>
        </row>
        <row r="2102">
          <cell r="M2102">
            <v>0</v>
          </cell>
        </row>
        <row r="2103">
          <cell r="M2103">
            <v>0</v>
          </cell>
        </row>
        <row r="2104">
          <cell r="M2104">
            <v>0</v>
          </cell>
        </row>
        <row r="2105">
          <cell r="M2105">
            <v>0</v>
          </cell>
        </row>
        <row r="2106">
          <cell r="M2106">
            <v>0</v>
          </cell>
        </row>
        <row r="2107">
          <cell r="M2107">
            <v>0</v>
          </cell>
        </row>
        <row r="2108">
          <cell r="M2108">
            <v>0</v>
          </cell>
        </row>
        <row r="2109">
          <cell r="M2109">
            <v>0</v>
          </cell>
        </row>
        <row r="2110">
          <cell r="M2110">
            <v>0</v>
          </cell>
        </row>
        <row r="2111">
          <cell r="M2111">
            <v>0</v>
          </cell>
        </row>
        <row r="2112">
          <cell r="A2112" t="str">
            <v>S96</v>
          </cell>
          <cell r="M2112">
            <v>0</v>
          </cell>
        </row>
        <row r="2115">
          <cell r="M2115">
            <v>2</v>
          </cell>
        </row>
        <row r="2118">
          <cell r="A2118">
            <v>11</v>
          </cell>
          <cell r="M2118">
            <v>1</v>
          </cell>
        </row>
        <row r="2119">
          <cell r="A2119">
            <v>15</v>
          </cell>
          <cell r="M2119">
            <v>1</v>
          </cell>
        </row>
        <row r="2120">
          <cell r="M2120">
            <v>0</v>
          </cell>
        </row>
        <row r="2121">
          <cell r="M2121">
            <v>0</v>
          </cell>
        </row>
        <row r="2122">
          <cell r="M2122">
            <v>0</v>
          </cell>
        </row>
        <row r="2123">
          <cell r="M2123">
            <v>0</v>
          </cell>
        </row>
        <row r="2124">
          <cell r="M2124">
            <v>0</v>
          </cell>
        </row>
        <row r="2125">
          <cell r="M2125">
            <v>0</v>
          </cell>
        </row>
        <row r="2126">
          <cell r="M2126">
            <v>0</v>
          </cell>
        </row>
        <row r="2127">
          <cell r="M2127">
            <v>0</v>
          </cell>
        </row>
        <row r="2128">
          <cell r="M2128">
            <v>0</v>
          </cell>
        </row>
        <row r="2129">
          <cell r="M2129">
            <v>0</v>
          </cell>
        </row>
        <row r="2130">
          <cell r="M2130">
            <v>0</v>
          </cell>
        </row>
        <row r="2131">
          <cell r="M2131">
            <v>0</v>
          </cell>
        </row>
        <row r="2132">
          <cell r="M2132">
            <v>0</v>
          </cell>
        </row>
        <row r="2133">
          <cell r="M2133">
            <v>0</v>
          </cell>
        </row>
        <row r="2134">
          <cell r="A2134" t="str">
            <v>S97</v>
          </cell>
          <cell r="M2134">
            <v>0</v>
          </cell>
        </row>
        <row r="2137">
          <cell r="M2137">
            <v>2</v>
          </cell>
        </row>
        <row r="2140">
          <cell r="A2140">
            <v>13</v>
          </cell>
          <cell r="M2140">
            <v>1</v>
          </cell>
        </row>
        <row r="2141">
          <cell r="A2141">
            <v>15</v>
          </cell>
          <cell r="M2141">
            <v>1</v>
          </cell>
        </row>
        <row r="2142">
          <cell r="A2142">
            <v>62</v>
          </cell>
          <cell r="M2142">
            <v>8</v>
          </cell>
        </row>
        <row r="2143">
          <cell r="A2143">
            <v>53</v>
          </cell>
          <cell r="M2143">
            <v>4</v>
          </cell>
        </row>
        <row r="2144">
          <cell r="A2144">
            <v>113</v>
          </cell>
          <cell r="M2144">
            <v>8</v>
          </cell>
        </row>
        <row r="2145">
          <cell r="A2145">
            <v>50</v>
          </cell>
          <cell r="M2145">
            <v>8</v>
          </cell>
        </row>
        <row r="2146">
          <cell r="A2146">
            <v>59</v>
          </cell>
          <cell r="M2146">
            <v>4</v>
          </cell>
        </row>
        <row r="2147">
          <cell r="A2147">
            <v>56</v>
          </cell>
          <cell r="M2147">
            <v>4</v>
          </cell>
        </row>
        <row r="2148">
          <cell r="M2148">
            <v>0</v>
          </cell>
        </row>
        <row r="2149">
          <cell r="M2149">
            <v>0</v>
          </cell>
        </row>
        <row r="2150">
          <cell r="M2150">
            <v>0</v>
          </cell>
        </row>
        <row r="2151">
          <cell r="M2151">
            <v>0</v>
          </cell>
        </row>
        <row r="2152">
          <cell r="M2152">
            <v>0</v>
          </cell>
        </row>
        <row r="2153">
          <cell r="M2153">
            <v>0</v>
          </cell>
        </row>
        <row r="2154">
          <cell r="M2154">
            <v>0</v>
          </cell>
        </row>
        <row r="2155">
          <cell r="M2155">
            <v>0</v>
          </cell>
        </row>
        <row r="2156">
          <cell r="A2156" t="str">
            <v>S98</v>
          </cell>
          <cell r="M2156">
            <v>0</v>
          </cell>
        </row>
        <row r="2159">
          <cell r="M2159">
            <v>26</v>
          </cell>
        </row>
        <row r="2162">
          <cell r="A2162">
            <v>13</v>
          </cell>
          <cell r="M2162">
            <v>0.52</v>
          </cell>
        </row>
        <row r="2163">
          <cell r="M2163">
            <v>0</v>
          </cell>
        </row>
        <row r="2164">
          <cell r="M2164">
            <v>0</v>
          </cell>
        </row>
        <row r="2165">
          <cell r="M2165">
            <v>0</v>
          </cell>
        </row>
        <row r="2166">
          <cell r="M2166">
            <v>0</v>
          </cell>
        </row>
        <row r="2167">
          <cell r="M2167">
            <v>0</v>
          </cell>
        </row>
        <row r="2168">
          <cell r="M2168">
            <v>0</v>
          </cell>
        </row>
        <row r="2169">
          <cell r="M2169">
            <v>0</v>
          </cell>
        </row>
        <row r="2170">
          <cell r="M2170">
            <v>0</v>
          </cell>
        </row>
        <row r="2171">
          <cell r="M2171">
            <v>0</v>
          </cell>
        </row>
        <row r="2172">
          <cell r="M2172">
            <v>0</v>
          </cell>
        </row>
        <row r="2173">
          <cell r="M2173">
            <v>0</v>
          </cell>
        </row>
        <row r="2174">
          <cell r="M2174">
            <v>0</v>
          </cell>
        </row>
        <row r="2175">
          <cell r="M2175">
            <v>0</v>
          </cell>
        </row>
        <row r="2176">
          <cell r="M2176">
            <v>0</v>
          </cell>
        </row>
        <row r="2177">
          <cell r="M2177">
            <v>0</v>
          </cell>
        </row>
        <row r="2178">
          <cell r="A2178" t="str">
            <v>S99</v>
          </cell>
          <cell r="M2178">
            <v>0</v>
          </cell>
        </row>
        <row r="2181">
          <cell r="M2181">
            <v>2</v>
          </cell>
        </row>
        <row r="2184">
          <cell r="A2184">
            <v>16</v>
          </cell>
          <cell r="M2184">
            <v>0.38</v>
          </cell>
        </row>
        <row r="2185">
          <cell r="M2185">
            <v>0</v>
          </cell>
        </row>
        <row r="2186">
          <cell r="M2186">
            <v>0</v>
          </cell>
        </row>
        <row r="2187">
          <cell r="M2187">
            <v>0</v>
          </cell>
        </row>
        <row r="2188">
          <cell r="M2188">
            <v>0</v>
          </cell>
        </row>
        <row r="2189">
          <cell r="M2189">
            <v>0</v>
          </cell>
        </row>
        <row r="2190">
          <cell r="M2190">
            <v>0</v>
          </cell>
        </row>
        <row r="2191">
          <cell r="M2191">
            <v>0</v>
          </cell>
        </row>
        <row r="2192">
          <cell r="M2192">
            <v>0</v>
          </cell>
        </row>
        <row r="2193">
          <cell r="M2193">
            <v>0</v>
          </cell>
        </row>
        <row r="2194">
          <cell r="M2194">
            <v>0</v>
          </cell>
        </row>
        <row r="2195">
          <cell r="M2195">
            <v>0</v>
          </cell>
        </row>
        <row r="2196">
          <cell r="M2196">
            <v>0</v>
          </cell>
        </row>
        <row r="2197">
          <cell r="M2197">
            <v>0</v>
          </cell>
        </row>
        <row r="2198">
          <cell r="M2198">
            <v>0</v>
          </cell>
        </row>
        <row r="2199">
          <cell r="M2199">
            <v>0</v>
          </cell>
        </row>
        <row r="2200">
          <cell r="A2200" t="str">
            <v>S100</v>
          </cell>
          <cell r="M2200">
            <v>0</v>
          </cell>
        </row>
        <row r="2203">
          <cell r="M2203">
            <v>2</v>
          </cell>
        </row>
        <row r="2206">
          <cell r="A2206">
            <v>16</v>
          </cell>
          <cell r="M2206">
            <v>0.52</v>
          </cell>
        </row>
        <row r="2207">
          <cell r="M2207">
            <v>0</v>
          </cell>
        </row>
        <row r="2208">
          <cell r="M2208">
            <v>0</v>
          </cell>
        </row>
        <row r="2209">
          <cell r="M2209">
            <v>0</v>
          </cell>
        </row>
        <row r="2210">
          <cell r="M2210">
            <v>0</v>
          </cell>
        </row>
        <row r="2211">
          <cell r="M2211">
            <v>0</v>
          </cell>
        </row>
        <row r="2212">
          <cell r="M2212">
            <v>0</v>
          </cell>
        </row>
        <row r="2213">
          <cell r="M2213">
            <v>0</v>
          </cell>
        </row>
        <row r="2214">
          <cell r="M2214">
            <v>0</v>
          </cell>
        </row>
        <row r="2215">
          <cell r="M2215">
            <v>0</v>
          </cell>
        </row>
        <row r="2216">
          <cell r="M2216">
            <v>0</v>
          </cell>
        </row>
        <row r="2217">
          <cell r="M2217">
            <v>0</v>
          </cell>
        </row>
        <row r="2218">
          <cell r="M2218">
            <v>0</v>
          </cell>
        </row>
        <row r="2219">
          <cell r="M2219">
            <v>0</v>
          </cell>
        </row>
        <row r="2220">
          <cell r="M2220">
            <v>0</v>
          </cell>
        </row>
        <row r="2221">
          <cell r="M2221">
            <v>0</v>
          </cell>
        </row>
        <row r="2222">
          <cell r="A2222" t="str">
            <v>S101</v>
          </cell>
          <cell r="M2222">
            <v>0</v>
          </cell>
        </row>
        <row r="2225">
          <cell r="M2225">
            <v>1</v>
          </cell>
        </row>
        <row r="2228">
          <cell r="A2228">
            <v>16</v>
          </cell>
          <cell r="M2228">
            <v>0.72</v>
          </cell>
        </row>
        <row r="2229">
          <cell r="M2229">
            <v>0</v>
          </cell>
        </row>
        <row r="2230">
          <cell r="M2230">
            <v>0</v>
          </cell>
        </row>
        <row r="2231">
          <cell r="M2231">
            <v>0</v>
          </cell>
        </row>
        <row r="2232">
          <cell r="M2232">
            <v>0</v>
          </cell>
        </row>
        <row r="2233">
          <cell r="M2233">
            <v>0</v>
          </cell>
        </row>
        <row r="2234">
          <cell r="M2234">
            <v>0</v>
          </cell>
        </row>
        <row r="2235">
          <cell r="M2235">
            <v>0</v>
          </cell>
        </row>
        <row r="2236">
          <cell r="M2236">
            <v>0</v>
          </cell>
        </row>
        <row r="2237">
          <cell r="M2237">
            <v>0</v>
          </cell>
        </row>
        <row r="2238">
          <cell r="M2238">
            <v>0</v>
          </cell>
        </row>
        <row r="2239">
          <cell r="M2239">
            <v>0</v>
          </cell>
        </row>
        <row r="2240">
          <cell r="M2240">
            <v>0</v>
          </cell>
        </row>
        <row r="2241">
          <cell r="M2241">
            <v>0</v>
          </cell>
        </row>
        <row r="2242">
          <cell r="M2242">
            <v>0</v>
          </cell>
        </row>
        <row r="2243">
          <cell r="M2243">
            <v>0</v>
          </cell>
        </row>
        <row r="2244">
          <cell r="A2244" t="str">
            <v>S102</v>
          </cell>
          <cell r="M2244">
            <v>0</v>
          </cell>
        </row>
        <row r="2247">
          <cell r="M2247">
            <v>9</v>
          </cell>
        </row>
        <row r="2250">
          <cell r="A2250">
            <v>24</v>
          </cell>
          <cell r="M2250">
            <v>3.2399999999999998</v>
          </cell>
        </row>
        <row r="2251">
          <cell r="A2251">
            <v>34</v>
          </cell>
          <cell r="M2251">
            <v>3.69</v>
          </cell>
        </row>
        <row r="2252">
          <cell r="M2252">
            <v>0</v>
          </cell>
        </row>
        <row r="2253">
          <cell r="M2253">
            <v>0</v>
          </cell>
        </row>
        <row r="2254">
          <cell r="M2254">
            <v>0</v>
          </cell>
        </row>
        <row r="2255">
          <cell r="M2255">
            <v>0</v>
          </cell>
        </row>
        <row r="2256">
          <cell r="M2256">
            <v>0</v>
          </cell>
        </row>
        <row r="2257">
          <cell r="M2257">
            <v>0</v>
          </cell>
        </row>
        <row r="2258">
          <cell r="M2258">
            <v>0</v>
          </cell>
        </row>
        <row r="2259">
          <cell r="M2259">
            <v>0</v>
          </cell>
        </row>
        <row r="2260">
          <cell r="M2260">
            <v>0</v>
          </cell>
        </row>
        <row r="2261">
          <cell r="M2261">
            <v>0</v>
          </cell>
        </row>
        <row r="2262">
          <cell r="M2262">
            <v>0</v>
          </cell>
        </row>
        <row r="2263">
          <cell r="M2263">
            <v>0</v>
          </cell>
        </row>
        <row r="2264">
          <cell r="M2264">
            <v>0</v>
          </cell>
        </row>
        <row r="2265">
          <cell r="M2265">
            <v>0</v>
          </cell>
        </row>
        <row r="2266">
          <cell r="A2266" t="str">
            <v>S103</v>
          </cell>
          <cell r="M2266">
            <v>0</v>
          </cell>
        </row>
        <row r="2269">
          <cell r="M2269">
            <v>0.3</v>
          </cell>
        </row>
        <row r="2272">
          <cell r="A2272">
            <v>16</v>
          </cell>
          <cell r="M2272">
            <v>0.13200000000000001</v>
          </cell>
        </row>
        <row r="2273">
          <cell r="M2273">
            <v>0</v>
          </cell>
        </row>
        <row r="2274">
          <cell r="M2274">
            <v>0</v>
          </cell>
        </row>
        <row r="2275">
          <cell r="M2275">
            <v>0</v>
          </cell>
        </row>
        <row r="2276">
          <cell r="M2276">
            <v>0</v>
          </cell>
        </row>
        <row r="2277">
          <cell r="M2277">
            <v>0</v>
          </cell>
        </row>
        <row r="2278">
          <cell r="M2278">
            <v>0</v>
          </cell>
        </row>
        <row r="2279">
          <cell r="M2279">
            <v>0</v>
          </cell>
        </row>
        <row r="2280">
          <cell r="M2280">
            <v>0</v>
          </cell>
        </row>
        <row r="2281">
          <cell r="M2281">
            <v>0</v>
          </cell>
        </row>
        <row r="2282">
          <cell r="M2282">
            <v>0</v>
          </cell>
        </row>
        <row r="2283">
          <cell r="M2283">
            <v>0</v>
          </cell>
        </row>
        <row r="2284">
          <cell r="M2284">
            <v>0</v>
          </cell>
        </row>
        <row r="2285">
          <cell r="M2285">
            <v>0</v>
          </cell>
        </row>
        <row r="2286">
          <cell r="M2286">
            <v>0</v>
          </cell>
        </row>
        <row r="2287">
          <cell r="M2287">
            <v>0</v>
          </cell>
        </row>
        <row r="2288">
          <cell r="A2288" t="str">
            <v>S104</v>
          </cell>
          <cell r="M2288">
            <v>0</v>
          </cell>
        </row>
        <row r="2291">
          <cell r="M2291">
            <v>2</v>
          </cell>
        </row>
        <row r="2294">
          <cell r="A2294">
            <v>24</v>
          </cell>
          <cell r="M2294">
            <v>0.3</v>
          </cell>
        </row>
        <row r="2295">
          <cell r="A2295">
            <v>34</v>
          </cell>
          <cell r="M2295">
            <v>0.36</v>
          </cell>
        </row>
        <row r="2296">
          <cell r="M2296">
            <v>0</v>
          </cell>
        </row>
        <row r="2297">
          <cell r="M2297">
            <v>0</v>
          </cell>
        </row>
        <row r="2298">
          <cell r="M2298">
            <v>0</v>
          </cell>
        </row>
        <row r="2299">
          <cell r="M2299">
            <v>0</v>
          </cell>
        </row>
        <row r="2300">
          <cell r="M2300">
            <v>0</v>
          </cell>
        </row>
        <row r="2301">
          <cell r="M2301">
            <v>0</v>
          </cell>
        </row>
        <row r="2302">
          <cell r="M2302">
            <v>0</v>
          </cell>
        </row>
        <row r="2303">
          <cell r="M2303">
            <v>0</v>
          </cell>
        </row>
        <row r="2304">
          <cell r="M2304">
            <v>0</v>
          </cell>
        </row>
        <row r="2305">
          <cell r="M2305">
            <v>0</v>
          </cell>
        </row>
        <row r="2306">
          <cell r="M2306">
            <v>0</v>
          </cell>
        </row>
        <row r="2307">
          <cell r="M2307">
            <v>0</v>
          </cell>
        </row>
        <row r="2308">
          <cell r="M2308">
            <v>0</v>
          </cell>
        </row>
        <row r="2309">
          <cell r="M2309">
            <v>0</v>
          </cell>
        </row>
        <row r="2310">
          <cell r="A2310" t="str">
            <v>S105</v>
          </cell>
          <cell r="M2310">
            <v>0</v>
          </cell>
        </row>
        <row r="2313">
          <cell r="M2313">
            <v>1</v>
          </cell>
        </row>
        <row r="2316">
          <cell r="A2316">
            <v>16</v>
          </cell>
          <cell r="M2316">
            <v>0.64</v>
          </cell>
        </row>
        <row r="2317">
          <cell r="M2317">
            <v>0</v>
          </cell>
        </row>
        <row r="2318">
          <cell r="M2318">
            <v>0</v>
          </cell>
        </row>
        <row r="2319">
          <cell r="M2319">
            <v>0</v>
          </cell>
        </row>
        <row r="2320">
          <cell r="M2320">
            <v>0</v>
          </cell>
        </row>
        <row r="2321">
          <cell r="M2321">
            <v>0</v>
          </cell>
        </row>
        <row r="2322">
          <cell r="M2322">
            <v>0</v>
          </cell>
        </row>
        <row r="2323">
          <cell r="M2323">
            <v>0</v>
          </cell>
        </row>
        <row r="2324">
          <cell r="M2324">
            <v>0</v>
          </cell>
        </row>
        <row r="2325">
          <cell r="M2325">
            <v>0</v>
          </cell>
        </row>
        <row r="2326">
          <cell r="M2326">
            <v>0</v>
          </cell>
        </row>
        <row r="2327">
          <cell r="M2327">
            <v>0</v>
          </cell>
        </row>
        <row r="2328">
          <cell r="M2328">
            <v>0</v>
          </cell>
        </row>
        <row r="2329">
          <cell r="M2329">
            <v>0</v>
          </cell>
        </row>
        <row r="2330">
          <cell r="M2330">
            <v>0</v>
          </cell>
        </row>
        <row r="2331">
          <cell r="M2331">
            <v>0</v>
          </cell>
        </row>
        <row r="2332">
          <cell r="A2332" t="str">
            <v>S106</v>
          </cell>
          <cell r="M2332">
            <v>0</v>
          </cell>
        </row>
        <row r="2335">
          <cell r="M2335">
            <v>1</v>
          </cell>
        </row>
        <row r="2338">
          <cell r="A2338">
            <v>16</v>
          </cell>
          <cell r="M2338">
            <v>1.02</v>
          </cell>
        </row>
        <row r="2339">
          <cell r="M2339">
            <v>0</v>
          </cell>
        </row>
        <row r="2340">
          <cell r="M2340">
            <v>0</v>
          </cell>
        </row>
        <row r="2341">
          <cell r="M2341">
            <v>0</v>
          </cell>
        </row>
        <row r="2342">
          <cell r="M2342">
            <v>0</v>
          </cell>
        </row>
        <row r="2343">
          <cell r="M2343">
            <v>0</v>
          </cell>
        </row>
        <row r="2344">
          <cell r="M2344">
            <v>0</v>
          </cell>
        </row>
        <row r="2345">
          <cell r="M2345">
            <v>0</v>
          </cell>
        </row>
        <row r="2346">
          <cell r="M2346">
            <v>0</v>
          </cell>
        </row>
        <row r="2347">
          <cell r="M2347">
            <v>0</v>
          </cell>
        </row>
        <row r="2348">
          <cell r="M2348">
            <v>0</v>
          </cell>
        </row>
        <row r="2349">
          <cell r="M2349">
            <v>0</v>
          </cell>
        </row>
        <row r="2350">
          <cell r="M2350">
            <v>0</v>
          </cell>
        </row>
        <row r="2351">
          <cell r="M2351">
            <v>0</v>
          </cell>
        </row>
        <row r="2352">
          <cell r="M2352">
            <v>0</v>
          </cell>
        </row>
        <row r="2353">
          <cell r="M2353">
            <v>0</v>
          </cell>
        </row>
        <row r="2354">
          <cell r="A2354" t="str">
            <v>S107</v>
          </cell>
          <cell r="M2354">
            <v>0</v>
          </cell>
        </row>
        <row r="2357">
          <cell r="M2357">
            <v>1</v>
          </cell>
        </row>
        <row r="2360">
          <cell r="A2360">
            <v>16</v>
          </cell>
          <cell r="M2360">
            <v>0.8</v>
          </cell>
        </row>
        <row r="2361">
          <cell r="M2361">
            <v>0</v>
          </cell>
        </row>
        <row r="2362">
          <cell r="M2362">
            <v>0</v>
          </cell>
        </row>
        <row r="2363">
          <cell r="M2363">
            <v>0</v>
          </cell>
        </row>
        <row r="2364">
          <cell r="M2364">
            <v>0</v>
          </cell>
        </row>
        <row r="2365">
          <cell r="M2365">
            <v>0</v>
          </cell>
        </row>
        <row r="2366">
          <cell r="M2366">
            <v>0</v>
          </cell>
        </row>
        <row r="2367">
          <cell r="M2367">
            <v>0</v>
          </cell>
        </row>
        <row r="2368">
          <cell r="M2368">
            <v>0</v>
          </cell>
        </row>
        <row r="2369">
          <cell r="M2369">
            <v>0</v>
          </cell>
        </row>
        <row r="2370">
          <cell r="M2370">
            <v>0</v>
          </cell>
        </row>
        <row r="2371">
          <cell r="M2371">
            <v>0</v>
          </cell>
        </row>
        <row r="2372">
          <cell r="M2372">
            <v>0</v>
          </cell>
        </row>
        <row r="2373">
          <cell r="M2373">
            <v>0</v>
          </cell>
        </row>
        <row r="2374">
          <cell r="M2374">
            <v>0</v>
          </cell>
        </row>
        <row r="2375">
          <cell r="M2375">
            <v>0</v>
          </cell>
        </row>
        <row r="2376">
          <cell r="A2376" t="str">
            <v>S108</v>
          </cell>
          <cell r="M2376">
            <v>0</v>
          </cell>
        </row>
        <row r="2379">
          <cell r="M2379">
            <v>2</v>
          </cell>
        </row>
        <row r="2382">
          <cell r="A2382">
            <v>13</v>
          </cell>
          <cell r="M2382">
            <v>0.3</v>
          </cell>
        </row>
        <row r="2383">
          <cell r="A2383">
            <v>15</v>
          </cell>
          <cell r="M2383">
            <v>0.3</v>
          </cell>
        </row>
        <row r="2384">
          <cell r="M2384">
            <v>0</v>
          </cell>
        </row>
        <row r="2385">
          <cell r="M2385">
            <v>0</v>
          </cell>
        </row>
        <row r="2386">
          <cell r="M2386">
            <v>0</v>
          </cell>
        </row>
        <row r="2387">
          <cell r="M2387">
            <v>0</v>
          </cell>
        </row>
        <row r="2388">
          <cell r="M2388">
            <v>0</v>
          </cell>
        </row>
        <row r="2389">
          <cell r="M2389">
            <v>0</v>
          </cell>
        </row>
        <row r="2390">
          <cell r="M2390">
            <v>0</v>
          </cell>
        </row>
        <row r="2391">
          <cell r="M2391">
            <v>0</v>
          </cell>
        </row>
        <row r="2392">
          <cell r="M2392">
            <v>0</v>
          </cell>
        </row>
        <row r="2393">
          <cell r="M2393">
            <v>0</v>
          </cell>
        </row>
        <row r="2394">
          <cell r="M2394">
            <v>0</v>
          </cell>
        </row>
        <row r="2395">
          <cell r="M2395">
            <v>0</v>
          </cell>
        </row>
        <row r="2396">
          <cell r="M2396">
            <v>0</v>
          </cell>
        </row>
        <row r="2397">
          <cell r="M2397">
            <v>0</v>
          </cell>
        </row>
        <row r="2398">
          <cell r="A2398" t="str">
            <v>S109</v>
          </cell>
          <cell r="M2398">
            <v>0</v>
          </cell>
        </row>
        <row r="2401">
          <cell r="M2401">
            <v>2</v>
          </cell>
        </row>
        <row r="2404">
          <cell r="A2404">
            <v>13</v>
          </cell>
          <cell r="M2404">
            <v>0.5</v>
          </cell>
        </row>
        <row r="2405">
          <cell r="A2405">
            <v>15</v>
          </cell>
          <cell r="M2405">
            <v>0.5</v>
          </cell>
        </row>
        <row r="2406">
          <cell r="M2406">
            <v>0</v>
          </cell>
        </row>
        <row r="2407">
          <cell r="M2407">
            <v>0</v>
          </cell>
        </row>
        <row r="2408">
          <cell r="M2408">
            <v>0</v>
          </cell>
        </row>
        <row r="2409">
          <cell r="M2409">
            <v>0</v>
          </cell>
        </row>
        <row r="2410">
          <cell r="M2410">
            <v>0</v>
          </cell>
        </row>
        <row r="2411">
          <cell r="M2411">
            <v>0</v>
          </cell>
        </row>
        <row r="2412">
          <cell r="M2412">
            <v>0</v>
          </cell>
        </row>
        <row r="2413">
          <cell r="M2413">
            <v>0</v>
          </cell>
        </row>
        <row r="2414">
          <cell r="M2414">
            <v>0</v>
          </cell>
        </row>
        <row r="2415">
          <cell r="M2415">
            <v>0</v>
          </cell>
        </row>
        <row r="2416">
          <cell r="M2416">
            <v>0</v>
          </cell>
        </row>
        <row r="2417">
          <cell r="M2417">
            <v>0</v>
          </cell>
        </row>
        <row r="2418">
          <cell r="M2418">
            <v>0</v>
          </cell>
        </row>
        <row r="2419">
          <cell r="M2419">
            <v>0</v>
          </cell>
        </row>
        <row r="2420">
          <cell r="A2420" t="str">
            <v>S110</v>
          </cell>
          <cell r="M2420">
            <v>0</v>
          </cell>
        </row>
        <row r="2423">
          <cell r="M2423">
            <v>26</v>
          </cell>
        </row>
        <row r="2426">
          <cell r="A2426">
            <v>13</v>
          </cell>
          <cell r="M2426">
            <v>0.26</v>
          </cell>
        </row>
        <row r="2427">
          <cell r="M2427">
            <v>0</v>
          </cell>
        </row>
        <row r="2428">
          <cell r="M2428">
            <v>0</v>
          </cell>
        </row>
        <row r="2429">
          <cell r="M2429">
            <v>0</v>
          </cell>
        </row>
        <row r="2430">
          <cell r="M2430">
            <v>0</v>
          </cell>
        </row>
        <row r="2431">
          <cell r="M2431">
            <v>0</v>
          </cell>
        </row>
        <row r="2432">
          <cell r="M2432">
            <v>0</v>
          </cell>
        </row>
        <row r="2433">
          <cell r="M2433">
            <v>0</v>
          </cell>
        </row>
        <row r="2434">
          <cell r="M2434">
            <v>0</v>
          </cell>
        </row>
        <row r="2435">
          <cell r="M2435">
            <v>0</v>
          </cell>
        </row>
        <row r="2436">
          <cell r="M2436">
            <v>0</v>
          </cell>
        </row>
        <row r="2437">
          <cell r="M2437">
            <v>0</v>
          </cell>
        </row>
        <row r="2438">
          <cell r="M2438">
            <v>0</v>
          </cell>
        </row>
        <row r="2439">
          <cell r="M2439">
            <v>0</v>
          </cell>
        </row>
        <row r="2440">
          <cell r="M2440">
            <v>0</v>
          </cell>
        </row>
        <row r="2441">
          <cell r="M2441">
            <v>0</v>
          </cell>
        </row>
        <row r="2442">
          <cell r="A2442" t="str">
            <v>S111</v>
          </cell>
          <cell r="M2442">
            <v>0</v>
          </cell>
        </row>
        <row r="2445">
          <cell r="M2445">
            <v>2</v>
          </cell>
        </row>
        <row r="2448">
          <cell r="A2448">
            <v>13</v>
          </cell>
          <cell r="M2448">
            <v>1</v>
          </cell>
        </row>
        <row r="2449">
          <cell r="A2449">
            <v>13</v>
          </cell>
          <cell r="M2449">
            <v>1</v>
          </cell>
        </row>
        <row r="2450">
          <cell r="M2450">
            <v>0</v>
          </cell>
        </row>
        <row r="2451">
          <cell r="M2451">
            <v>0</v>
          </cell>
        </row>
        <row r="2452">
          <cell r="M2452">
            <v>0</v>
          </cell>
        </row>
        <row r="2453">
          <cell r="M2453">
            <v>0</v>
          </cell>
        </row>
        <row r="2454">
          <cell r="M2454">
            <v>0</v>
          </cell>
        </row>
        <row r="2455">
          <cell r="M2455">
            <v>0</v>
          </cell>
        </row>
        <row r="2456">
          <cell r="M2456">
            <v>0</v>
          </cell>
        </row>
        <row r="2457">
          <cell r="M2457">
            <v>0</v>
          </cell>
        </row>
        <row r="2458">
          <cell r="M2458">
            <v>0</v>
          </cell>
        </row>
        <row r="2459">
          <cell r="M2459">
            <v>0</v>
          </cell>
        </row>
        <row r="2460">
          <cell r="M2460">
            <v>0</v>
          </cell>
        </row>
        <row r="2461">
          <cell r="M2461">
            <v>0</v>
          </cell>
        </row>
        <row r="2462">
          <cell r="M2462">
            <v>0</v>
          </cell>
        </row>
        <row r="2463">
          <cell r="M2463">
            <v>0</v>
          </cell>
        </row>
        <row r="2464">
          <cell r="A2464" t="str">
            <v>S112</v>
          </cell>
          <cell r="M2464">
            <v>0</v>
          </cell>
        </row>
        <row r="2467">
          <cell r="M2467">
            <v>2</v>
          </cell>
        </row>
        <row r="2470">
          <cell r="A2470">
            <v>13</v>
          </cell>
          <cell r="M2470">
            <v>1</v>
          </cell>
        </row>
        <row r="2471">
          <cell r="A2471">
            <v>15</v>
          </cell>
          <cell r="M2471">
            <v>1</v>
          </cell>
        </row>
        <row r="2472">
          <cell r="A2472">
            <v>62</v>
          </cell>
          <cell r="M2472">
            <v>8</v>
          </cell>
        </row>
        <row r="2473">
          <cell r="A2473">
            <v>53</v>
          </cell>
          <cell r="M2473">
            <v>4</v>
          </cell>
        </row>
        <row r="2474">
          <cell r="A2474">
            <v>113</v>
          </cell>
          <cell r="M2474">
            <v>8</v>
          </cell>
        </row>
        <row r="2475">
          <cell r="A2475">
            <v>50</v>
          </cell>
          <cell r="M2475">
            <v>8</v>
          </cell>
        </row>
        <row r="2476">
          <cell r="A2476">
            <v>59</v>
          </cell>
          <cell r="M2476">
            <v>4</v>
          </cell>
        </row>
        <row r="2477">
          <cell r="A2477">
            <v>56</v>
          </cell>
          <cell r="M2477">
            <v>4</v>
          </cell>
        </row>
        <row r="2478">
          <cell r="M2478">
            <v>0</v>
          </cell>
        </row>
        <row r="2479">
          <cell r="M2479">
            <v>0</v>
          </cell>
        </row>
        <row r="2480">
          <cell r="M2480">
            <v>0</v>
          </cell>
        </row>
        <row r="2481">
          <cell r="M2481">
            <v>0</v>
          </cell>
        </row>
        <row r="2482">
          <cell r="M2482">
            <v>0</v>
          </cell>
        </row>
        <row r="2483">
          <cell r="M2483">
            <v>0</v>
          </cell>
        </row>
        <row r="2484">
          <cell r="M2484">
            <v>0</v>
          </cell>
        </row>
        <row r="2485">
          <cell r="M2485">
            <v>0</v>
          </cell>
        </row>
        <row r="2486">
          <cell r="A2486" t="str">
            <v>S113</v>
          </cell>
          <cell r="M2486">
            <v>0</v>
          </cell>
        </row>
        <row r="2489">
          <cell r="M2489">
            <v>2</v>
          </cell>
        </row>
        <row r="2492">
          <cell r="A2492">
            <v>13</v>
          </cell>
          <cell r="M2492">
            <v>0.5</v>
          </cell>
        </row>
        <row r="2493">
          <cell r="A2493">
            <v>15</v>
          </cell>
          <cell r="M2493">
            <v>0.5</v>
          </cell>
        </row>
        <row r="2494">
          <cell r="M2494">
            <v>0</v>
          </cell>
        </row>
        <row r="2495">
          <cell r="M2495">
            <v>0</v>
          </cell>
        </row>
        <row r="2496">
          <cell r="M2496">
            <v>0</v>
          </cell>
        </row>
        <row r="2497">
          <cell r="M2497">
            <v>0</v>
          </cell>
        </row>
        <row r="2498">
          <cell r="M2498">
            <v>0</v>
          </cell>
        </row>
        <row r="2499">
          <cell r="M2499">
            <v>0</v>
          </cell>
        </row>
        <row r="2500">
          <cell r="M2500">
            <v>0</v>
          </cell>
        </row>
        <row r="2501">
          <cell r="M2501">
            <v>0</v>
          </cell>
        </row>
        <row r="2502">
          <cell r="M2502">
            <v>0</v>
          </cell>
        </row>
        <row r="2503">
          <cell r="M2503">
            <v>0</v>
          </cell>
        </row>
        <row r="2504">
          <cell r="M2504">
            <v>0</v>
          </cell>
        </row>
        <row r="2505">
          <cell r="M2505">
            <v>0</v>
          </cell>
        </row>
        <row r="2506">
          <cell r="M2506">
            <v>0</v>
          </cell>
        </row>
        <row r="2507">
          <cell r="M2507">
            <v>0</v>
          </cell>
        </row>
        <row r="2508">
          <cell r="A2508" t="str">
            <v>S114</v>
          </cell>
          <cell r="M2508">
            <v>0</v>
          </cell>
        </row>
        <row r="2511">
          <cell r="M2511">
            <v>2</v>
          </cell>
        </row>
        <row r="2514">
          <cell r="A2514">
            <v>13</v>
          </cell>
          <cell r="M2514">
            <v>0.5</v>
          </cell>
        </row>
        <row r="2515">
          <cell r="A2515">
            <v>15</v>
          </cell>
          <cell r="M2515">
            <v>0.5</v>
          </cell>
        </row>
        <row r="2516">
          <cell r="M2516">
            <v>0</v>
          </cell>
        </row>
        <row r="2517">
          <cell r="M2517">
            <v>0</v>
          </cell>
        </row>
        <row r="2518">
          <cell r="M2518">
            <v>0</v>
          </cell>
        </row>
        <row r="2519">
          <cell r="M2519">
            <v>0</v>
          </cell>
        </row>
        <row r="2520">
          <cell r="M2520">
            <v>0</v>
          </cell>
        </row>
        <row r="2521">
          <cell r="M2521">
            <v>0</v>
          </cell>
        </row>
        <row r="2522">
          <cell r="M2522">
            <v>0</v>
          </cell>
        </row>
        <row r="2523">
          <cell r="M2523">
            <v>0</v>
          </cell>
        </row>
        <row r="2524">
          <cell r="M2524">
            <v>0</v>
          </cell>
        </row>
        <row r="2525">
          <cell r="M2525">
            <v>0</v>
          </cell>
        </row>
        <row r="2526">
          <cell r="M2526">
            <v>0</v>
          </cell>
        </row>
        <row r="2527">
          <cell r="M2527">
            <v>0</v>
          </cell>
        </row>
        <row r="2528">
          <cell r="M2528">
            <v>0</v>
          </cell>
        </row>
        <row r="2529">
          <cell r="M2529">
            <v>0</v>
          </cell>
        </row>
        <row r="2530">
          <cell r="A2530" t="str">
            <v>S115</v>
          </cell>
          <cell r="M2530">
            <v>0</v>
          </cell>
        </row>
        <row r="2533">
          <cell r="M2533">
            <v>2</v>
          </cell>
        </row>
        <row r="2536">
          <cell r="A2536">
            <v>15</v>
          </cell>
          <cell r="M2536">
            <v>3.8</v>
          </cell>
        </row>
        <row r="2537">
          <cell r="A2537">
            <v>25</v>
          </cell>
          <cell r="M2537">
            <v>11.6</v>
          </cell>
        </row>
        <row r="2538">
          <cell r="M2538">
            <v>0</v>
          </cell>
        </row>
        <row r="2539">
          <cell r="M2539">
            <v>0</v>
          </cell>
        </row>
        <row r="2540">
          <cell r="M2540">
            <v>0</v>
          </cell>
        </row>
        <row r="2541">
          <cell r="M2541">
            <v>0</v>
          </cell>
        </row>
        <row r="2542">
          <cell r="M2542">
            <v>0</v>
          </cell>
        </row>
        <row r="2543">
          <cell r="M2543">
            <v>0</v>
          </cell>
        </row>
        <row r="2544">
          <cell r="M2544">
            <v>0</v>
          </cell>
        </row>
        <row r="2545">
          <cell r="M2545">
            <v>0</v>
          </cell>
        </row>
        <row r="2546">
          <cell r="M2546">
            <v>0</v>
          </cell>
        </row>
        <row r="2547">
          <cell r="M2547">
            <v>0</v>
          </cell>
        </row>
        <row r="2548">
          <cell r="M2548">
            <v>0</v>
          </cell>
        </row>
        <row r="2549">
          <cell r="M2549">
            <v>0</v>
          </cell>
        </row>
        <row r="2550">
          <cell r="M2550">
            <v>0</v>
          </cell>
        </row>
        <row r="2551">
          <cell r="M2551">
            <v>0</v>
          </cell>
        </row>
        <row r="2552">
          <cell r="A2552" t="str">
            <v>S116</v>
          </cell>
          <cell r="M2552">
            <v>0</v>
          </cell>
        </row>
        <row r="2555">
          <cell r="M2555">
            <v>2</v>
          </cell>
        </row>
        <row r="2558">
          <cell r="A2558">
            <v>15</v>
          </cell>
          <cell r="M2558">
            <v>3.04</v>
          </cell>
        </row>
        <row r="2559">
          <cell r="A2559">
            <v>25</v>
          </cell>
          <cell r="M2559">
            <v>9.2799999999999994</v>
          </cell>
        </row>
        <row r="2560">
          <cell r="M2560">
            <v>0</v>
          </cell>
        </row>
        <row r="2561">
          <cell r="M2561">
            <v>0</v>
          </cell>
        </row>
        <row r="2562">
          <cell r="M2562">
            <v>0</v>
          </cell>
        </row>
        <row r="2563">
          <cell r="M2563">
            <v>0</v>
          </cell>
        </row>
        <row r="2564">
          <cell r="M2564">
            <v>0</v>
          </cell>
        </row>
        <row r="2565">
          <cell r="M2565">
            <v>0</v>
          </cell>
        </row>
        <row r="2566">
          <cell r="M2566">
            <v>0</v>
          </cell>
        </row>
        <row r="2567">
          <cell r="M2567">
            <v>0</v>
          </cell>
        </row>
        <row r="2568">
          <cell r="M2568">
            <v>0</v>
          </cell>
        </row>
        <row r="2569">
          <cell r="M2569">
            <v>0</v>
          </cell>
        </row>
        <row r="2570">
          <cell r="M2570">
            <v>0</v>
          </cell>
        </row>
        <row r="2571">
          <cell r="M2571">
            <v>0</v>
          </cell>
        </row>
        <row r="2572">
          <cell r="M2572">
            <v>0</v>
          </cell>
        </row>
        <row r="2573">
          <cell r="M2573">
            <v>0</v>
          </cell>
        </row>
        <row r="2574">
          <cell r="A2574" t="str">
            <v>S117</v>
          </cell>
          <cell r="M2574">
            <v>0</v>
          </cell>
        </row>
        <row r="2577">
          <cell r="M2577">
            <v>2</v>
          </cell>
        </row>
        <row r="2580">
          <cell r="A2580">
            <v>13</v>
          </cell>
          <cell r="M2580">
            <v>0.72</v>
          </cell>
        </row>
        <row r="2581">
          <cell r="A2581">
            <v>15</v>
          </cell>
          <cell r="M2581">
            <v>0.4</v>
          </cell>
        </row>
        <row r="2582">
          <cell r="A2582">
            <v>16</v>
          </cell>
          <cell r="M2582">
            <v>0.42</v>
          </cell>
        </row>
        <row r="2583">
          <cell r="M2583">
            <v>0</v>
          </cell>
        </row>
        <row r="2584">
          <cell r="M2584">
            <v>0</v>
          </cell>
        </row>
        <row r="2585">
          <cell r="M2585">
            <v>0</v>
          </cell>
        </row>
        <row r="2586">
          <cell r="M2586">
            <v>0</v>
          </cell>
        </row>
        <row r="2587">
          <cell r="M2587">
            <v>0</v>
          </cell>
        </row>
        <row r="2588">
          <cell r="M2588">
            <v>0</v>
          </cell>
        </row>
        <row r="2589">
          <cell r="M2589">
            <v>0</v>
          </cell>
        </row>
        <row r="2590">
          <cell r="M2590">
            <v>0</v>
          </cell>
        </row>
        <row r="2591">
          <cell r="M2591">
            <v>0</v>
          </cell>
        </row>
        <row r="2592">
          <cell r="M2592">
            <v>0</v>
          </cell>
        </row>
        <row r="2593">
          <cell r="M2593">
            <v>0</v>
          </cell>
        </row>
        <row r="2594">
          <cell r="M2594">
            <v>0</v>
          </cell>
        </row>
        <row r="2595">
          <cell r="M2595">
            <v>0</v>
          </cell>
        </row>
        <row r="2596">
          <cell r="A2596" t="str">
            <v>S118</v>
          </cell>
          <cell r="M2596">
            <v>0</v>
          </cell>
        </row>
        <row r="2599">
          <cell r="M2599">
            <v>2</v>
          </cell>
        </row>
        <row r="2602">
          <cell r="A2602">
            <v>13</v>
          </cell>
          <cell r="M2602">
            <v>0.2</v>
          </cell>
        </row>
        <row r="2603">
          <cell r="A2603">
            <v>15</v>
          </cell>
          <cell r="M2603">
            <v>0.12</v>
          </cell>
        </row>
        <row r="2604">
          <cell r="A2604">
            <v>16</v>
          </cell>
          <cell r="M2604">
            <v>0.12</v>
          </cell>
        </row>
        <row r="2605">
          <cell r="M2605">
            <v>0</v>
          </cell>
        </row>
        <row r="2606">
          <cell r="M2606">
            <v>0</v>
          </cell>
        </row>
        <row r="2607">
          <cell r="M2607">
            <v>0</v>
          </cell>
        </row>
        <row r="2608">
          <cell r="M2608">
            <v>0</v>
          </cell>
        </row>
        <row r="2609">
          <cell r="M2609">
            <v>0</v>
          </cell>
        </row>
        <row r="2610">
          <cell r="M2610">
            <v>0</v>
          </cell>
        </row>
        <row r="2611">
          <cell r="M2611">
            <v>0</v>
          </cell>
        </row>
        <row r="2612">
          <cell r="M2612">
            <v>0</v>
          </cell>
        </row>
        <row r="2613">
          <cell r="M2613">
            <v>0</v>
          </cell>
        </row>
        <row r="2614">
          <cell r="M2614">
            <v>0</v>
          </cell>
        </row>
        <row r="2615">
          <cell r="M2615">
            <v>0</v>
          </cell>
        </row>
        <row r="2616">
          <cell r="M2616">
            <v>0</v>
          </cell>
        </row>
        <row r="2617">
          <cell r="M2617">
            <v>0</v>
          </cell>
        </row>
        <row r="2618">
          <cell r="A2618" t="str">
            <v>S119</v>
          </cell>
          <cell r="M2618">
            <v>0</v>
          </cell>
        </row>
        <row r="2621">
          <cell r="M2621">
            <v>1</v>
          </cell>
        </row>
        <row r="2624">
          <cell r="A2624">
            <v>27</v>
          </cell>
          <cell r="M2624">
            <v>1</v>
          </cell>
        </row>
        <row r="2625">
          <cell r="A2625">
            <v>28</v>
          </cell>
          <cell r="M2625">
            <v>1.4</v>
          </cell>
        </row>
        <row r="2626">
          <cell r="M2626">
            <v>0</v>
          </cell>
        </row>
        <row r="2627">
          <cell r="M2627">
            <v>0</v>
          </cell>
        </row>
        <row r="2628">
          <cell r="M2628">
            <v>0</v>
          </cell>
        </row>
        <row r="2629">
          <cell r="M2629">
            <v>0</v>
          </cell>
        </row>
        <row r="2630">
          <cell r="M2630">
            <v>0</v>
          </cell>
        </row>
        <row r="2631">
          <cell r="M2631">
            <v>0</v>
          </cell>
        </row>
        <row r="2632">
          <cell r="M2632">
            <v>0</v>
          </cell>
        </row>
        <row r="2633">
          <cell r="M2633">
            <v>0</v>
          </cell>
        </row>
        <row r="2634">
          <cell r="M2634">
            <v>0</v>
          </cell>
        </row>
        <row r="2635">
          <cell r="M2635">
            <v>0</v>
          </cell>
        </row>
        <row r="2636">
          <cell r="M2636">
            <v>0</v>
          </cell>
        </row>
        <row r="2637">
          <cell r="M2637">
            <v>0</v>
          </cell>
        </row>
        <row r="2638">
          <cell r="M2638">
            <v>0</v>
          </cell>
        </row>
        <row r="2639">
          <cell r="M2639">
            <v>0</v>
          </cell>
        </row>
        <row r="2640">
          <cell r="A2640" t="str">
            <v>S120</v>
          </cell>
          <cell r="M2640">
            <v>0</v>
          </cell>
        </row>
        <row r="2643">
          <cell r="M2643">
            <v>1</v>
          </cell>
        </row>
        <row r="2646">
          <cell r="A2646">
            <v>27</v>
          </cell>
          <cell r="M2646">
            <v>0.8</v>
          </cell>
        </row>
        <row r="2647">
          <cell r="A2647">
            <v>28</v>
          </cell>
          <cell r="M2647">
            <v>1.1200000000000001</v>
          </cell>
        </row>
        <row r="2648">
          <cell r="M2648">
            <v>0</v>
          </cell>
        </row>
        <row r="2649">
          <cell r="M2649">
            <v>0</v>
          </cell>
        </row>
        <row r="2650">
          <cell r="M2650">
            <v>0</v>
          </cell>
        </row>
        <row r="2651">
          <cell r="M2651">
            <v>0</v>
          </cell>
        </row>
        <row r="2652">
          <cell r="M2652">
            <v>0</v>
          </cell>
        </row>
        <row r="2653">
          <cell r="M2653">
            <v>0</v>
          </cell>
        </row>
        <row r="2654">
          <cell r="M2654">
            <v>0</v>
          </cell>
        </row>
        <row r="2655">
          <cell r="M2655">
            <v>0</v>
          </cell>
        </row>
        <row r="2656">
          <cell r="M2656">
            <v>0</v>
          </cell>
        </row>
        <row r="2657">
          <cell r="M2657">
            <v>0</v>
          </cell>
        </row>
        <row r="2658">
          <cell r="M2658">
            <v>0</v>
          </cell>
        </row>
        <row r="2659">
          <cell r="M2659">
            <v>0</v>
          </cell>
        </row>
        <row r="2660">
          <cell r="M2660">
            <v>0</v>
          </cell>
        </row>
        <row r="2661">
          <cell r="M2661">
            <v>0</v>
          </cell>
        </row>
        <row r="2662">
          <cell r="A2662" t="str">
            <v>S121</v>
          </cell>
          <cell r="M2662">
            <v>0</v>
          </cell>
        </row>
        <row r="2665">
          <cell r="M2665">
            <v>1</v>
          </cell>
        </row>
        <row r="2668">
          <cell r="A2668">
            <v>13</v>
          </cell>
          <cell r="M2668">
            <v>0.03</v>
          </cell>
        </row>
        <row r="2669">
          <cell r="A2669">
            <v>15</v>
          </cell>
          <cell r="M2669">
            <v>0.02</v>
          </cell>
        </row>
        <row r="2670">
          <cell r="M2670">
            <v>0</v>
          </cell>
        </row>
        <row r="2671">
          <cell r="M2671">
            <v>0</v>
          </cell>
        </row>
        <row r="2672">
          <cell r="M2672">
            <v>0</v>
          </cell>
        </row>
        <row r="2673">
          <cell r="M2673">
            <v>0</v>
          </cell>
        </row>
        <row r="2674">
          <cell r="M2674">
            <v>0</v>
          </cell>
        </row>
        <row r="2675">
          <cell r="M2675">
            <v>0</v>
          </cell>
        </row>
        <row r="2676">
          <cell r="M2676">
            <v>0</v>
          </cell>
        </row>
        <row r="2677">
          <cell r="M2677">
            <v>0</v>
          </cell>
        </row>
        <row r="2678">
          <cell r="M2678">
            <v>0</v>
          </cell>
        </row>
        <row r="2679">
          <cell r="M2679">
            <v>0</v>
          </cell>
        </row>
        <row r="2680">
          <cell r="M2680">
            <v>0</v>
          </cell>
        </row>
        <row r="2681">
          <cell r="M2681">
            <v>0</v>
          </cell>
        </row>
        <row r="2682">
          <cell r="M2682">
            <v>0</v>
          </cell>
        </row>
        <row r="2683">
          <cell r="M2683">
            <v>0</v>
          </cell>
        </row>
        <row r="2684">
          <cell r="A2684" t="str">
            <v>S122</v>
          </cell>
          <cell r="M2684">
            <v>0</v>
          </cell>
        </row>
        <row r="2687">
          <cell r="M2687">
            <v>1</v>
          </cell>
        </row>
        <row r="2690">
          <cell r="A2690">
            <v>13</v>
          </cell>
          <cell r="M2690">
            <v>0.02</v>
          </cell>
        </row>
        <row r="2691">
          <cell r="A2691">
            <v>15</v>
          </cell>
          <cell r="M2691">
            <v>0.01</v>
          </cell>
        </row>
        <row r="2692">
          <cell r="M2692">
            <v>0</v>
          </cell>
        </row>
        <row r="2693">
          <cell r="M2693">
            <v>0</v>
          </cell>
        </row>
        <row r="2694">
          <cell r="M2694">
            <v>0</v>
          </cell>
        </row>
        <row r="2695">
          <cell r="M2695">
            <v>0</v>
          </cell>
        </row>
        <row r="2696">
          <cell r="M2696">
            <v>0</v>
          </cell>
        </row>
        <row r="2697">
          <cell r="M2697">
            <v>0</v>
          </cell>
        </row>
        <row r="2698">
          <cell r="M2698">
            <v>0</v>
          </cell>
        </row>
        <row r="2699">
          <cell r="M2699">
            <v>0</v>
          </cell>
        </row>
        <row r="2700">
          <cell r="M2700">
            <v>0</v>
          </cell>
        </row>
        <row r="2701">
          <cell r="M2701">
            <v>0</v>
          </cell>
        </row>
        <row r="2702">
          <cell r="M2702">
            <v>0</v>
          </cell>
        </row>
        <row r="2703">
          <cell r="M2703">
            <v>0</v>
          </cell>
        </row>
        <row r="2704">
          <cell r="M2704">
            <v>0</v>
          </cell>
        </row>
        <row r="2705">
          <cell r="M2705">
            <v>0</v>
          </cell>
        </row>
        <row r="2706">
          <cell r="A2706" t="str">
            <v>S123</v>
          </cell>
          <cell r="M2706">
            <v>0</v>
          </cell>
        </row>
        <row r="2709">
          <cell r="M2709">
            <v>2</v>
          </cell>
        </row>
        <row r="2712">
          <cell r="A2712">
            <v>27</v>
          </cell>
          <cell r="M2712">
            <v>0.46</v>
          </cell>
        </row>
        <row r="2713">
          <cell r="A2713">
            <v>28</v>
          </cell>
          <cell r="M2713">
            <v>0.76</v>
          </cell>
        </row>
        <row r="2714">
          <cell r="M2714">
            <v>0</v>
          </cell>
        </row>
        <row r="2715">
          <cell r="M2715">
            <v>0</v>
          </cell>
        </row>
        <row r="2716">
          <cell r="M2716">
            <v>0</v>
          </cell>
        </row>
        <row r="2717">
          <cell r="M2717">
            <v>0</v>
          </cell>
        </row>
        <row r="2718">
          <cell r="M2718">
            <v>0</v>
          </cell>
        </row>
        <row r="2719">
          <cell r="M2719">
            <v>0</v>
          </cell>
        </row>
        <row r="2720">
          <cell r="M2720">
            <v>0</v>
          </cell>
        </row>
        <row r="2721">
          <cell r="M2721">
            <v>0</v>
          </cell>
        </row>
        <row r="2722">
          <cell r="M2722">
            <v>0</v>
          </cell>
        </row>
        <row r="2723">
          <cell r="M2723">
            <v>0</v>
          </cell>
        </row>
        <row r="2724">
          <cell r="M2724">
            <v>0</v>
          </cell>
        </row>
        <row r="2725">
          <cell r="M2725">
            <v>0</v>
          </cell>
        </row>
        <row r="2726">
          <cell r="M2726">
            <v>0</v>
          </cell>
        </row>
        <row r="2727">
          <cell r="M2727">
            <v>0</v>
          </cell>
        </row>
        <row r="2728">
          <cell r="A2728" t="str">
            <v>S124</v>
          </cell>
          <cell r="M2728">
            <v>0</v>
          </cell>
        </row>
        <row r="2731">
          <cell r="M2731">
            <v>2</v>
          </cell>
        </row>
        <row r="2734">
          <cell r="A2734">
            <v>27</v>
          </cell>
          <cell r="M2734">
            <v>0.36</v>
          </cell>
        </row>
        <row r="2735">
          <cell r="A2735">
            <v>28</v>
          </cell>
          <cell r="M2735">
            <v>0.6</v>
          </cell>
        </row>
        <row r="2736">
          <cell r="M2736">
            <v>0</v>
          </cell>
        </row>
        <row r="2737">
          <cell r="M2737">
            <v>0</v>
          </cell>
        </row>
        <row r="2738">
          <cell r="M2738">
            <v>0</v>
          </cell>
        </row>
        <row r="2739">
          <cell r="M2739">
            <v>0</v>
          </cell>
        </row>
        <row r="2740">
          <cell r="M2740">
            <v>0</v>
          </cell>
        </row>
        <row r="2741">
          <cell r="M2741">
            <v>0</v>
          </cell>
        </row>
        <row r="2742">
          <cell r="M2742">
            <v>0</v>
          </cell>
        </row>
        <row r="2743">
          <cell r="M2743">
            <v>0</v>
          </cell>
        </row>
        <row r="2744">
          <cell r="M2744">
            <v>0</v>
          </cell>
        </row>
        <row r="2745">
          <cell r="M2745">
            <v>0</v>
          </cell>
        </row>
        <row r="2746">
          <cell r="M2746">
            <v>0</v>
          </cell>
        </row>
        <row r="2747">
          <cell r="M2747">
            <v>0</v>
          </cell>
        </row>
        <row r="2748">
          <cell r="M2748">
            <v>0</v>
          </cell>
        </row>
        <row r="2749">
          <cell r="M2749">
            <v>0</v>
          </cell>
        </row>
        <row r="2750">
          <cell r="A2750" t="str">
            <v>S125</v>
          </cell>
          <cell r="M2750">
            <v>0</v>
          </cell>
        </row>
        <row r="2753">
          <cell r="M2753">
            <v>4</v>
          </cell>
        </row>
        <row r="2756">
          <cell r="A2756">
            <v>13</v>
          </cell>
          <cell r="M2756">
            <v>1.1599999999999999</v>
          </cell>
        </row>
        <row r="2757">
          <cell r="A2757">
            <v>28</v>
          </cell>
          <cell r="M2757">
            <v>2.3199999999999998</v>
          </cell>
        </row>
        <row r="2758">
          <cell r="M2758">
            <v>0</v>
          </cell>
        </row>
        <row r="2759">
          <cell r="M2759">
            <v>0</v>
          </cell>
        </row>
        <row r="2760">
          <cell r="M2760">
            <v>0</v>
          </cell>
        </row>
        <row r="2761">
          <cell r="M2761">
            <v>0</v>
          </cell>
        </row>
        <row r="2762">
          <cell r="M2762">
            <v>0</v>
          </cell>
        </row>
        <row r="2763">
          <cell r="M2763">
            <v>0</v>
          </cell>
        </row>
        <row r="2764">
          <cell r="M2764">
            <v>0</v>
          </cell>
        </row>
        <row r="2765">
          <cell r="M2765">
            <v>0</v>
          </cell>
        </row>
        <row r="2766">
          <cell r="M2766">
            <v>0</v>
          </cell>
        </row>
        <row r="2767">
          <cell r="M2767">
            <v>0</v>
          </cell>
        </row>
        <row r="2768">
          <cell r="M2768">
            <v>0</v>
          </cell>
        </row>
        <row r="2769">
          <cell r="M2769">
            <v>0</v>
          </cell>
        </row>
        <row r="2770">
          <cell r="M2770">
            <v>0</v>
          </cell>
        </row>
        <row r="2771">
          <cell r="M2771">
            <v>0</v>
          </cell>
        </row>
        <row r="2772">
          <cell r="A2772" t="str">
            <v>S126</v>
          </cell>
          <cell r="M2772">
            <v>0</v>
          </cell>
        </row>
        <row r="2775">
          <cell r="M2775">
            <v>4</v>
          </cell>
        </row>
        <row r="2778">
          <cell r="A2778">
            <v>13</v>
          </cell>
          <cell r="M2778">
            <v>0.92</v>
          </cell>
        </row>
        <row r="2779">
          <cell r="A2779">
            <v>28</v>
          </cell>
          <cell r="M2779">
            <v>1.84</v>
          </cell>
        </row>
        <row r="2780">
          <cell r="M2780">
            <v>0</v>
          </cell>
        </row>
        <row r="2781">
          <cell r="M2781">
            <v>0</v>
          </cell>
        </row>
        <row r="2782">
          <cell r="M2782">
            <v>0</v>
          </cell>
        </row>
        <row r="2783">
          <cell r="M2783">
            <v>0</v>
          </cell>
        </row>
        <row r="2784">
          <cell r="M2784">
            <v>0</v>
          </cell>
        </row>
        <row r="2785">
          <cell r="M2785">
            <v>0</v>
          </cell>
        </row>
        <row r="2786">
          <cell r="M2786">
            <v>0</v>
          </cell>
        </row>
        <row r="2787">
          <cell r="M2787">
            <v>0</v>
          </cell>
        </row>
        <row r="2788">
          <cell r="M2788">
            <v>0</v>
          </cell>
        </row>
        <row r="2789">
          <cell r="M2789">
            <v>0</v>
          </cell>
        </row>
        <row r="2790">
          <cell r="M2790">
            <v>0</v>
          </cell>
        </row>
        <row r="2791">
          <cell r="M2791">
            <v>0</v>
          </cell>
        </row>
        <row r="2792">
          <cell r="M2792">
            <v>0</v>
          </cell>
        </row>
        <row r="2793">
          <cell r="M2793">
            <v>0</v>
          </cell>
        </row>
        <row r="2794">
          <cell r="A2794" t="str">
            <v>S127</v>
          </cell>
          <cell r="M2794">
            <v>0</v>
          </cell>
        </row>
        <row r="2797">
          <cell r="M2797">
            <v>26.65</v>
          </cell>
        </row>
        <row r="2800">
          <cell r="A2800">
            <v>14</v>
          </cell>
          <cell r="M2800">
            <v>5.0634999999999994</v>
          </cell>
        </row>
        <row r="2801">
          <cell r="M2801">
            <v>0</v>
          </cell>
        </row>
        <row r="2802">
          <cell r="M2802">
            <v>0</v>
          </cell>
        </row>
        <row r="2803">
          <cell r="M2803">
            <v>274.495</v>
          </cell>
        </row>
        <row r="2804">
          <cell r="M2804">
            <v>0</v>
          </cell>
        </row>
        <row r="2805">
          <cell r="M2805">
            <v>0</v>
          </cell>
        </row>
        <row r="2806">
          <cell r="M2806">
            <v>0</v>
          </cell>
        </row>
        <row r="2807">
          <cell r="M2807">
            <v>0</v>
          </cell>
        </row>
        <row r="2808">
          <cell r="M2808">
            <v>0</v>
          </cell>
        </row>
        <row r="2809">
          <cell r="M2809">
            <v>0</v>
          </cell>
        </row>
        <row r="2810">
          <cell r="M2810">
            <v>0</v>
          </cell>
        </row>
        <row r="2811">
          <cell r="M2811">
            <v>0</v>
          </cell>
        </row>
        <row r="2812">
          <cell r="M2812">
            <v>0</v>
          </cell>
        </row>
        <row r="2813">
          <cell r="M2813">
            <v>0</v>
          </cell>
        </row>
        <row r="2814">
          <cell r="M2814">
            <v>0</v>
          </cell>
        </row>
        <row r="2815">
          <cell r="M2815">
            <v>0</v>
          </cell>
        </row>
        <row r="2816">
          <cell r="A2816" t="str">
            <v>S128</v>
          </cell>
          <cell r="M2816">
            <v>0</v>
          </cell>
        </row>
        <row r="2819">
          <cell r="M2819">
            <v>4</v>
          </cell>
        </row>
        <row r="2822">
          <cell r="A2822">
            <v>27</v>
          </cell>
          <cell r="M2822">
            <v>0.32</v>
          </cell>
        </row>
        <row r="2823">
          <cell r="M2823">
            <v>0</v>
          </cell>
        </row>
        <row r="2824">
          <cell r="M2824">
            <v>0</v>
          </cell>
        </row>
        <row r="2825">
          <cell r="M2825">
            <v>0</v>
          </cell>
        </row>
        <row r="2826">
          <cell r="M2826">
            <v>0</v>
          </cell>
        </row>
        <row r="2827">
          <cell r="M2827">
            <v>0</v>
          </cell>
        </row>
        <row r="2828">
          <cell r="M2828">
            <v>0</v>
          </cell>
        </row>
        <row r="2829">
          <cell r="M2829">
            <v>0</v>
          </cell>
        </row>
        <row r="2830">
          <cell r="M2830">
            <v>0</v>
          </cell>
        </row>
        <row r="2831">
          <cell r="M2831">
            <v>0</v>
          </cell>
        </row>
        <row r="2832">
          <cell r="M2832">
            <v>0</v>
          </cell>
        </row>
        <row r="2833">
          <cell r="M2833">
            <v>0</v>
          </cell>
        </row>
        <row r="2834">
          <cell r="M2834">
            <v>0</v>
          </cell>
        </row>
        <row r="2835">
          <cell r="M2835">
            <v>0</v>
          </cell>
        </row>
        <row r="2836">
          <cell r="M2836">
            <v>0</v>
          </cell>
        </row>
        <row r="2837">
          <cell r="M2837">
            <v>0</v>
          </cell>
        </row>
        <row r="2838">
          <cell r="A2838" t="str">
            <v>S129</v>
          </cell>
          <cell r="M2838">
            <v>0</v>
          </cell>
        </row>
        <row r="2841">
          <cell r="M2841">
            <v>4</v>
          </cell>
        </row>
        <row r="2844">
          <cell r="A2844">
            <v>27</v>
          </cell>
          <cell r="M2844">
            <v>0.76</v>
          </cell>
        </row>
        <row r="2845">
          <cell r="A2845">
            <v>28</v>
          </cell>
          <cell r="M2845">
            <v>4.16</v>
          </cell>
        </row>
        <row r="2846">
          <cell r="M2846">
            <v>0</v>
          </cell>
        </row>
        <row r="2847">
          <cell r="M2847">
            <v>0</v>
          </cell>
        </row>
        <row r="2848">
          <cell r="M2848">
            <v>0</v>
          </cell>
        </row>
        <row r="2849">
          <cell r="M2849">
            <v>0</v>
          </cell>
        </row>
        <row r="2850">
          <cell r="M2850">
            <v>0</v>
          </cell>
        </row>
        <row r="2851">
          <cell r="M2851">
            <v>0</v>
          </cell>
        </row>
        <row r="2852">
          <cell r="M2852">
            <v>0</v>
          </cell>
        </row>
        <row r="2853">
          <cell r="M2853">
            <v>0</v>
          </cell>
        </row>
        <row r="2854">
          <cell r="M2854">
            <v>0</v>
          </cell>
        </row>
        <row r="2855">
          <cell r="M2855">
            <v>0</v>
          </cell>
        </row>
        <row r="2856">
          <cell r="M2856">
            <v>0</v>
          </cell>
        </row>
        <row r="2857">
          <cell r="M2857">
            <v>0</v>
          </cell>
        </row>
        <row r="2858">
          <cell r="M2858">
            <v>0</v>
          </cell>
        </row>
        <row r="2859">
          <cell r="M2859">
            <v>0</v>
          </cell>
        </row>
        <row r="2860">
          <cell r="A2860" t="str">
            <v>S130</v>
          </cell>
          <cell r="M2860">
            <v>0</v>
          </cell>
        </row>
        <row r="2863">
          <cell r="M2863">
            <v>5.8</v>
          </cell>
        </row>
        <row r="2866">
          <cell r="A2866">
            <v>11</v>
          </cell>
          <cell r="M2866">
            <v>0.81200000000000006</v>
          </cell>
        </row>
        <row r="2867">
          <cell r="A2867">
            <v>27</v>
          </cell>
          <cell r="M2867">
            <v>0.81200000000000006</v>
          </cell>
        </row>
        <row r="2868">
          <cell r="M2868">
            <v>0</v>
          </cell>
        </row>
        <row r="2869">
          <cell r="M2869">
            <v>0</v>
          </cell>
        </row>
        <row r="2870">
          <cell r="M2870">
            <v>0</v>
          </cell>
        </row>
        <row r="2871">
          <cell r="M2871">
            <v>0</v>
          </cell>
        </row>
        <row r="2872">
          <cell r="M2872">
            <v>0</v>
          </cell>
        </row>
        <row r="2873">
          <cell r="M2873">
            <v>0</v>
          </cell>
        </row>
        <row r="2874">
          <cell r="M2874">
            <v>0</v>
          </cell>
        </row>
        <row r="2875">
          <cell r="M2875">
            <v>0</v>
          </cell>
        </row>
        <row r="2876">
          <cell r="M2876">
            <v>0</v>
          </cell>
        </row>
        <row r="2877">
          <cell r="M2877">
            <v>0</v>
          </cell>
        </row>
        <row r="2878">
          <cell r="M2878">
            <v>0</v>
          </cell>
        </row>
        <row r="2879">
          <cell r="M2879">
            <v>0</v>
          </cell>
        </row>
        <row r="2880">
          <cell r="M2880">
            <v>0</v>
          </cell>
        </row>
        <row r="2881">
          <cell r="M2881">
            <v>0</v>
          </cell>
        </row>
        <row r="2882">
          <cell r="A2882" t="str">
            <v>S131</v>
          </cell>
          <cell r="M2882">
            <v>0</v>
          </cell>
        </row>
        <row r="2885">
          <cell r="M2885">
            <v>4</v>
          </cell>
        </row>
        <row r="2888">
          <cell r="A2888">
            <v>27</v>
          </cell>
          <cell r="M2888">
            <v>0.4</v>
          </cell>
        </row>
        <row r="2889">
          <cell r="M2889">
            <v>0</v>
          </cell>
        </row>
        <row r="2890">
          <cell r="M2890">
            <v>0</v>
          </cell>
        </row>
        <row r="2891">
          <cell r="M2891">
            <v>0</v>
          </cell>
        </row>
        <row r="2892">
          <cell r="M2892">
            <v>0</v>
          </cell>
        </row>
        <row r="2893">
          <cell r="M2893">
            <v>0</v>
          </cell>
        </row>
        <row r="2894">
          <cell r="M2894">
            <v>0</v>
          </cell>
        </row>
        <row r="2895">
          <cell r="M2895">
            <v>0</v>
          </cell>
        </row>
        <row r="2896">
          <cell r="M2896">
            <v>0</v>
          </cell>
        </row>
        <row r="2897">
          <cell r="M2897">
            <v>0</v>
          </cell>
        </row>
        <row r="2898">
          <cell r="M2898">
            <v>0</v>
          </cell>
        </row>
        <row r="2899">
          <cell r="M2899">
            <v>0</v>
          </cell>
        </row>
        <row r="2900">
          <cell r="M2900">
            <v>0</v>
          </cell>
        </row>
        <row r="2901">
          <cell r="M2901">
            <v>0</v>
          </cell>
        </row>
        <row r="2902">
          <cell r="M2902">
            <v>0</v>
          </cell>
        </row>
        <row r="2903">
          <cell r="M2903">
            <v>0</v>
          </cell>
        </row>
        <row r="2904">
          <cell r="A2904" t="str">
            <v>S132</v>
          </cell>
          <cell r="M2904">
            <v>0</v>
          </cell>
        </row>
        <row r="2907">
          <cell r="M2907">
            <v>3.5</v>
          </cell>
        </row>
        <row r="2910">
          <cell r="A2910">
            <v>27</v>
          </cell>
          <cell r="M2910">
            <v>1.7149999999999999</v>
          </cell>
        </row>
        <row r="2911">
          <cell r="M2911">
            <v>0</v>
          </cell>
        </row>
        <row r="2912">
          <cell r="M2912">
            <v>0</v>
          </cell>
        </row>
        <row r="2913">
          <cell r="M2913">
            <v>0</v>
          </cell>
        </row>
        <row r="2914">
          <cell r="M2914">
            <v>0</v>
          </cell>
        </row>
        <row r="2915">
          <cell r="M2915">
            <v>0</v>
          </cell>
        </row>
        <row r="2916">
          <cell r="M2916">
            <v>0</v>
          </cell>
        </row>
        <row r="2917">
          <cell r="M2917">
            <v>0</v>
          </cell>
        </row>
        <row r="2918">
          <cell r="M2918">
            <v>0</v>
          </cell>
        </row>
        <row r="2919">
          <cell r="M2919">
            <v>0</v>
          </cell>
        </row>
        <row r="2920">
          <cell r="M2920">
            <v>0</v>
          </cell>
        </row>
        <row r="2921">
          <cell r="M2921">
            <v>0</v>
          </cell>
        </row>
        <row r="2922">
          <cell r="M2922">
            <v>0</v>
          </cell>
        </row>
        <row r="2923">
          <cell r="M2923">
            <v>0</v>
          </cell>
        </row>
        <row r="2924">
          <cell r="M2924">
            <v>0</v>
          </cell>
        </row>
        <row r="2925">
          <cell r="M2925">
            <v>0</v>
          </cell>
        </row>
        <row r="2926">
          <cell r="A2926" t="str">
            <v>S133</v>
          </cell>
          <cell r="M2926">
            <v>0</v>
          </cell>
        </row>
        <row r="2929">
          <cell r="M2929">
            <v>1</v>
          </cell>
        </row>
        <row r="2932">
          <cell r="A2932">
            <v>27</v>
          </cell>
          <cell r="M2932">
            <v>1</v>
          </cell>
        </row>
        <row r="2933">
          <cell r="A2933">
            <v>28</v>
          </cell>
          <cell r="M2933">
            <v>1</v>
          </cell>
        </row>
        <row r="2934">
          <cell r="M2934">
            <v>0</v>
          </cell>
        </row>
        <row r="2935">
          <cell r="M2935">
            <v>0</v>
          </cell>
        </row>
        <row r="2936">
          <cell r="M2936">
            <v>0</v>
          </cell>
        </row>
        <row r="2937">
          <cell r="M2937">
            <v>0</v>
          </cell>
        </row>
        <row r="2938">
          <cell r="M2938">
            <v>0</v>
          </cell>
        </row>
        <row r="2939">
          <cell r="M2939">
            <v>0</v>
          </cell>
        </row>
        <row r="2940">
          <cell r="M2940">
            <v>0</v>
          </cell>
        </row>
        <row r="2941">
          <cell r="M2941">
            <v>0</v>
          </cell>
        </row>
        <row r="2942">
          <cell r="M2942">
            <v>0</v>
          </cell>
        </row>
        <row r="2943">
          <cell r="M2943">
            <v>0</v>
          </cell>
        </row>
        <row r="2944">
          <cell r="M2944">
            <v>0</v>
          </cell>
        </row>
        <row r="2945">
          <cell r="M2945">
            <v>0</v>
          </cell>
        </row>
        <row r="2946">
          <cell r="M2946">
            <v>0</v>
          </cell>
        </row>
        <row r="2947">
          <cell r="M2947">
            <v>0</v>
          </cell>
        </row>
        <row r="2948">
          <cell r="A2948" t="str">
            <v>S134</v>
          </cell>
          <cell r="M2948">
            <v>0</v>
          </cell>
        </row>
        <row r="2951">
          <cell r="M2951">
            <v>4</v>
          </cell>
        </row>
        <row r="2954">
          <cell r="A2954">
            <v>27</v>
          </cell>
          <cell r="M2954">
            <v>0.24</v>
          </cell>
        </row>
        <row r="2955">
          <cell r="M2955">
            <v>0</v>
          </cell>
        </row>
        <row r="2956">
          <cell r="M2956">
            <v>0</v>
          </cell>
        </row>
        <row r="2957">
          <cell r="M2957">
            <v>0</v>
          </cell>
        </row>
        <row r="2958">
          <cell r="M2958">
            <v>0</v>
          </cell>
        </row>
        <row r="2959">
          <cell r="M2959">
            <v>0</v>
          </cell>
        </row>
        <row r="2960">
          <cell r="M2960">
            <v>0</v>
          </cell>
        </row>
        <row r="2961">
          <cell r="M2961">
            <v>0</v>
          </cell>
        </row>
        <row r="2962">
          <cell r="M2962">
            <v>0</v>
          </cell>
        </row>
        <row r="2963">
          <cell r="M2963">
            <v>0</v>
          </cell>
        </row>
        <row r="2964">
          <cell r="M2964">
            <v>0</v>
          </cell>
        </row>
        <row r="2965">
          <cell r="M2965">
            <v>0</v>
          </cell>
        </row>
        <row r="2966">
          <cell r="M2966">
            <v>0</v>
          </cell>
        </row>
        <row r="2967">
          <cell r="M2967">
            <v>0</v>
          </cell>
        </row>
        <row r="2968">
          <cell r="M2968">
            <v>0</v>
          </cell>
        </row>
        <row r="2969">
          <cell r="M2969">
            <v>0</v>
          </cell>
        </row>
        <row r="2970">
          <cell r="A2970" t="str">
            <v>S135</v>
          </cell>
          <cell r="M2970">
            <v>0</v>
          </cell>
        </row>
        <row r="2973">
          <cell r="M2973">
            <v>23</v>
          </cell>
        </row>
        <row r="2976">
          <cell r="A2976">
            <v>13</v>
          </cell>
          <cell r="M2976">
            <v>0.80500000000000005</v>
          </cell>
        </row>
        <row r="2977">
          <cell r="A2977">
            <v>15</v>
          </cell>
          <cell r="M2977">
            <v>0.29899999999999999</v>
          </cell>
        </row>
        <row r="2978">
          <cell r="A2978">
            <v>356</v>
          </cell>
          <cell r="M2978">
            <v>23</v>
          </cell>
        </row>
        <row r="2979">
          <cell r="M2979">
            <v>0</v>
          </cell>
        </row>
        <row r="2980">
          <cell r="M2980">
            <v>0</v>
          </cell>
        </row>
        <row r="2981">
          <cell r="M2981">
            <v>0</v>
          </cell>
        </row>
        <row r="2982">
          <cell r="M2982">
            <v>0</v>
          </cell>
        </row>
        <row r="2983">
          <cell r="M2983">
            <v>0</v>
          </cell>
        </row>
        <row r="2984">
          <cell r="M2984">
            <v>0</v>
          </cell>
        </row>
        <row r="2985">
          <cell r="M2985">
            <v>0</v>
          </cell>
        </row>
        <row r="2986">
          <cell r="M2986">
            <v>0</v>
          </cell>
        </row>
        <row r="2987">
          <cell r="M2987">
            <v>0</v>
          </cell>
        </row>
        <row r="2988">
          <cell r="M2988">
            <v>0</v>
          </cell>
        </row>
        <row r="2989">
          <cell r="M2989">
            <v>0</v>
          </cell>
        </row>
        <row r="2990">
          <cell r="M2990">
            <v>0</v>
          </cell>
        </row>
        <row r="2991">
          <cell r="M2991">
            <v>0</v>
          </cell>
        </row>
        <row r="2992">
          <cell r="A2992" t="str">
            <v>S136</v>
          </cell>
          <cell r="M2992">
            <v>0</v>
          </cell>
        </row>
        <row r="2995">
          <cell r="M2995">
            <v>5</v>
          </cell>
        </row>
        <row r="2998">
          <cell r="A2998">
            <v>13</v>
          </cell>
          <cell r="M2998">
            <v>3</v>
          </cell>
        </row>
        <row r="2999">
          <cell r="A2999">
            <v>15</v>
          </cell>
          <cell r="M2999">
            <v>1.5</v>
          </cell>
        </row>
        <row r="3000">
          <cell r="M3000">
            <v>0</v>
          </cell>
        </row>
        <row r="3001">
          <cell r="M3001">
            <v>0</v>
          </cell>
        </row>
        <row r="3002">
          <cell r="M3002">
            <v>0</v>
          </cell>
        </row>
        <row r="3003">
          <cell r="M3003">
            <v>0</v>
          </cell>
        </row>
        <row r="3004">
          <cell r="M3004">
            <v>0</v>
          </cell>
        </row>
        <row r="3005">
          <cell r="M3005">
            <v>0</v>
          </cell>
        </row>
        <row r="3006">
          <cell r="M3006">
            <v>0</v>
          </cell>
        </row>
        <row r="3007">
          <cell r="M3007">
            <v>0</v>
          </cell>
        </row>
        <row r="3008">
          <cell r="M3008">
            <v>0</v>
          </cell>
        </row>
        <row r="3009">
          <cell r="M3009">
            <v>0</v>
          </cell>
        </row>
        <row r="3010">
          <cell r="M3010">
            <v>0</v>
          </cell>
        </row>
        <row r="3011">
          <cell r="M3011">
            <v>0</v>
          </cell>
        </row>
        <row r="3012">
          <cell r="M3012">
            <v>0</v>
          </cell>
        </row>
        <row r="3013">
          <cell r="M3013">
            <v>0</v>
          </cell>
        </row>
        <row r="3014">
          <cell r="A3014" t="str">
            <v>S137</v>
          </cell>
          <cell r="M3014">
            <v>0</v>
          </cell>
        </row>
        <row r="3017">
          <cell r="M3017">
            <v>3</v>
          </cell>
        </row>
        <row r="3020">
          <cell r="A3020">
            <v>13</v>
          </cell>
          <cell r="M3020">
            <v>0.03</v>
          </cell>
        </row>
        <row r="3021">
          <cell r="A3021">
            <v>15</v>
          </cell>
          <cell r="M3021">
            <v>9.0000000000000011E-3</v>
          </cell>
        </row>
        <row r="3022">
          <cell r="M3022">
            <v>0</v>
          </cell>
        </row>
        <row r="3023">
          <cell r="M3023">
            <v>0</v>
          </cell>
        </row>
        <row r="3024">
          <cell r="M3024">
            <v>0</v>
          </cell>
        </row>
        <row r="3025">
          <cell r="M3025">
            <v>0</v>
          </cell>
        </row>
        <row r="3026">
          <cell r="M3026">
            <v>0</v>
          </cell>
        </row>
        <row r="3027">
          <cell r="M3027">
            <v>0</v>
          </cell>
        </row>
        <row r="3028">
          <cell r="M3028">
            <v>0</v>
          </cell>
        </row>
        <row r="3029">
          <cell r="M3029">
            <v>0</v>
          </cell>
        </row>
        <row r="3030">
          <cell r="M3030">
            <v>0</v>
          </cell>
        </row>
        <row r="3031">
          <cell r="M3031">
            <v>0</v>
          </cell>
        </row>
        <row r="3032">
          <cell r="M3032">
            <v>0</v>
          </cell>
        </row>
        <row r="3033">
          <cell r="M3033">
            <v>0</v>
          </cell>
        </row>
        <row r="3034">
          <cell r="M3034">
            <v>0</v>
          </cell>
        </row>
        <row r="3035">
          <cell r="M3035">
            <v>0</v>
          </cell>
        </row>
        <row r="3036">
          <cell r="A3036" t="str">
            <v>S138</v>
          </cell>
          <cell r="M3036">
            <v>0</v>
          </cell>
        </row>
        <row r="3039">
          <cell r="M3039">
            <v>4</v>
          </cell>
        </row>
        <row r="3042">
          <cell r="A3042">
            <v>14</v>
          </cell>
          <cell r="M3042">
            <v>0.16</v>
          </cell>
        </row>
        <row r="3043">
          <cell r="M3043">
            <v>0</v>
          </cell>
        </row>
        <row r="3044">
          <cell r="M3044">
            <v>0</v>
          </cell>
        </row>
        <row r="3045">
          <cell r="M3045">
            <v>0</v>
          </cell>
        </row>
        <row r="3046">
          <cell r="M3046">
            <v>0</v>
          </cell>
        </row>
        <row r="3047">
          <cell r="M3047">
            <v>0</v>
          </cell>
        </row>
        <row r="3048">
          <cell r="M3048">
            <v>0</v>
          </cell>
        </row>
        <row r="3049">
          <cell r="M3049">
            <v>0</v>
          </cell>
        </row>
        <row r="3050">
          <cell r="M3050">
            <v>0</v>
          </cell>
        </row>
        <row r="3051">
          <cell r="M3051">
            <v>0</v>
          </cell>
        </row>
        <row r="3052">
          <cell r="M3052">
            <v>0</v>
          </cell>
        </row>
        <row r="3053">
          <cell r="M3053">
            <v>0</v>
          </cell>
        </row>
        <row r="3054">
          <cell r="M3054">
            <v>0</v>
          </cell>
        </row>
        <row r="3055">
          <cell r="M3055">
            <v>0</v>
          </cell>
        </row>
        <row r="3056">
          <cell r="M3056">
            <v>0</v>
          </cell>
        </row>
        <row r="3057">
          <cell r="M3057">
            <v>0</v>
          </cell>
        </row>
        <row r="3058">
          <cell r="A3058" t="str">
            <v>S139</v>
          </cell>
          <cell r="M3058">
            <v>0</v>
          </cell>
        </row>
        <row r="3061">
          <cell r="M3061">
            <v>1</v>
          </cell>
        </row>
        <row r="3064">
          <cell r="A3064">
            <v>13</v>
          </cell>
          <cell r="M3064">
            <v>0.5</v>
          </cell>
        </row>
        <row r="3065">
          <cell r="A3065">
            <v>15</v>
          </cell>
          <cell r="M3065">
            <v>0.5</v>
          </cell>
        </row>
        <row r="3066">
          <cell r="M3066">
            <v>0</v>
          </cell>
        </row>
        <row r="3067">
          <cell r="M3067">
            <v>0</v>
          </cell>
        </row>
        <row r="3068">
          <cell r="M3068">
            <v>0</v>
          </cell>
        </row>
        <row r="3069">
          <cell r="M3069">
            <v>0</v>
          </cell>
        </row>
        <row r="3070">
          <cell r="M3070">
            <v>0</v>
          </cell>
        </row>
        <row r="3071">
          <cell r="M3071">
            <v>0</v>
          </cell>
        </row>
        <row r="3072">
          <cell r="M3072">
            <v>0</v>
          </cell>
        </row>
        <row r="3073">
          <cell r="M3073">
            <v>0</v>
          </cell>
        </row>
        <row r="3074">
          <cell r="M3074">
            <v>0</v>
          </cell>
        </row>
        <row r="3075">
          <cell r="M3075">
            <v>0</v>
          </cell>
        </row>
        <row r="3076">
          <cell r="M3076">
            <v>0</v>
          </cell>
        </row>
        <row r="3077">
          <cell r="M3077">
            <v>0</v>
          </cell>
        </row>
        <row r="3078">
          <cell r="M3078">
            <v>0</v>
          </cell>
        </row>
        <row r="3079">
          <cell r="M3079">
            <v>0</v>
          </cell>
        </row>
        <row r="3080">
          <cell r="A3080" t="str">
            <v>S140</v>
          </cell>
          <cell r="M3080">
            <v>0</v>
          </cell>
        </row>
        <row r="3083">
          <cell r="M3083">
            <v>1</v>
          </cell>
        </row>
        <row r="3086">
          <cell r="A3086">
            <v>13</v>
          </cell>
          <cell r="M3086">
            <v>0.5</v>
          </cell>
        </row>
        <row r="3087">
          <cell r="A3087">
            <v>15</v>
          </cell>
          <cell r="M3087">
            <v>0.5</v>
          </cell>
        </row>
        <row r="3088">
          <cell r="A3088">
            <v>65</v>
          </cell>
          <cell r="M3088" t="e">
            <v>#VALUE!</v>
          </cell>
        </row>
        <row r="3089">
          <cell r="A3089">
            <v>60</v>
          </cell>
          <cell r="M3089">
            <v>2</v>
          </cell>
        </row>
        <row r="3090">
          <cell r="A3090">
            <v>53</v>
          </cell>
          <cell r="M3090">
            <v>2</v>
          </cell>
        </row>
        <row r="3091">
          <cell r="A3091">
            <v>113</v>
          </cell>
          <cell r="M3091">
            <v>4</v>
          </cell>
        </row>
        <row r="3092">
          <cell r="A3092">
            <v>50</v>
          </cell>
          <cell r="M3092">
            <v>2</v>
          </cell>
        </row>
        <row r="3093">
          <cell r="A3093">
            <v>59</v>
          </cell>
          <cell r="M3093">
            <v>2</v>
          </cell>
        </row>
        <row r="3094">
          <cell r="A3094">
            <v>56</v>
          </cell>
          <cell r="M3094">
            <v>2</v>
          </cell>
        </row>
        <row r="3095">
          <cell r="M3095">
            <v>0</v>
          </cell>
        </row>
        <row r="3096">
          <cell r="M3096">
            <v>0</v>
          </cell>
        </row>
        <row r="3097">
          <cell r="M3097">
            <v>0</v>
          </cell>
        </row>
        <row r="3098">
          <cell r="M3098">
            <v>0</v>
          </cell>
        </row>
        <row r="3099">
          <cell r="M3099">
            <v>0</v>
          </cell>
        </row>
        <row r="3100">
          <cell r="M3100">
            <v>0</v>
          </cell>
        </row>
        <row r="3101">
          <cell r="M3101">
            <v>0</v>
          </cell>
        </row>
        <row r="3102">
          <cell r="A3102" t="str">
            <v>S141</v>
          </cell>
          <cell r="M3102">
            <v>0</v>
          </cell>
        </row>
        <row r="3105">
          <cell r="M3105">
            <v>1</v>
          </cell>
        </row>
        <row r="3108">
          <cell r="A3108">
            <v>13</v>
          </cell>
          <cell r="M3108">
            <v>0.25</v>
          </cell>
        </row>
        <row r="3109">
          <cell r="A3109">
            <v>15</v>
          </cell>
          <cell r="M3109">
            <v>0.25</v>
          </cell>
        </row>
        <row r="3110">
          <cell r="M3110">
            <v>0</v>
          </cell>
        </row>
        <row r="3111">
          <cell r="M3111">
            <v>0</v>
          </cell>
        </row>
        <row r="3112">
          <cell r="M3112">
            <v>0</v>
          </cell>
        </row>
        <row r="3113">
          <cell r="M3113">
            <v>0</v>
          </cell>
        </row>
        <row r="3114">
          <cell r="M3114">
            <v>0</v>
          </cell>
        </row>
        <row r="3115">
          <cell r="M3115">
            <v>0</v>
          </cell>
        </row>
        <row r="3116">
          <cell r="M3116">
            <v>0</v>
          </cell>
        </row>
        <row r="3117">
          <cell r="M3117">
            <v>0</v>
          </cell>
        </row>
        <row r="3118">
          <cell r="M3118">
            <v>0</v>
          </cell>
        </row>
        <row r="3119">
          <cell r="M3119">
            <v>0</v>
          </cell>
        </row>
        <row r="3120">
          <cell r="M3120">
            <v>0</v>
          </cell>
        </row>
        <row r="3121">
          <cell r="M3121">
            <v>0</v>
          </cell>
        </row>
        <row r="3122">
          <cell r="M3122">
            <v>0</v>
          </cell>
        </row>
        <row r="3123">
          <cell r="M3123">
            <v>0</v>
          </cell>
        </row>
        <row r="3124">
          <cell r="A3124" t="str">
            <v>S142</v>
          </cell>
          <cell r="M3124">
            <v>0</v>
          </cell>
        </row>
        <row r="3127">
          <cell r="M3127">
            <v>1</v>
          </cell>
        </row>
        <row r="3130">
          <cell r="A3130">
            <v>13</v>
          </cell>
          <cell r="M3130">
            <v>0.25</v>
          </cell>
        </row>
        <row r="3131">
          <cell r="A3131">
            <v>15</v>
          </cell>
          <cell r="M3131">
            <v>0.25</v>
          </cell>
        </row>
        <row r="3132">
          <cell r="M3132">
            <v>0</v>
          </cell>
        </row>
        <row r="3133">
          <cell r="M3133">
            <v>0</v>
          </cell>
        </row>
        <row r="3134">
          <cell r="M3134">
            <v>0</v>
          </cell>
        </row>
        <row r="3135">
          <cell r="M3135">
            <v>0</v>
          </cell>
        </row>
        <row r="3136">
          <cell r="M3136">
            <v>0</v>
          </cell>
        </row>
        <row r="3137">
          <cell r="M3137">
            <v>0</v>
          </cell>
        </row>
        <row r="3138">
          <cell r="M3138">
            <v>0</v>
          </cell>
        </row>
        <row r="3139">
          <cell r="M3139">
            <v>0</v>
          </cell>
        </row>
        <row r="3140">
          <cell r="M3140">
            <v>0</v>
          </cell>
        </row>
        <row r="3141">
          <cell r="M3141">
            <v>0</v>
          </cell>
        </row>
        <row r="3142">
          <cell r="M3142">
            <v>0</v>
          </cell>
        </row>
        <row r="3143">
          <cell r="M3143">
            <v>0</v>
          </cell>
        </row>
        <row r="3144">
          <cell r="M3144">
            <v>0</v>
          </cell>
        </row>
        <row r="3145">
          <cell r="M3145">
            <v>0</v>
          </cell>
        </row>
        <row r="3146">
          <cell r="A3146" t="str">
            <v>S143</v>
          </cell>
          <cell r="M3146">
            <v>0</v>
          </cell>
        </row>
        <row r="3149">
          <cell r="M3149">
            <v>1</v>
          </cell>
        </row>
        <row r="3152">
          <cell r="A3152">
            <v>13</v>
          </cell>
          <cell r="M3152">
            <v>0.5</v>
          </cell>
        </row>
        <row r="3153">
          <cell r="A3153">
            <v>15</v>
          </cell>
          <cell r="M3153">
            <v>0.5</v>
          </cell>
        </row>
        <row r="3154">
          <cell r="M3154">
            <v>0</v>
          </cell>
        </row>
        <row r="3155">
          <cell r="M3155">
            <v>0</v>
          </cell>
        </row>
        <row r="3156">
          <cell r="M3156">
            <v>0</v>
          </cell>
        </row>
        <row r="3157">
          <cell r="M3157">
            <v>0</v>
          </cell>
        </row>
        <row r="3158">
          <cell r="M3158">
            <v>0</v>
          </cell>
        </row>
        <row r="3159">
          <cell r="M3159">
            <v>0</v>
          </cell>
        </row>
        <row r="3160">
          <cell r="M3160">
            <v>0</v>
          </cell>
        </row>
        <row r="3161">
          <cell r="M3161">
            <v>0</v>
          </cell>
        </row>
        <row r="3162">
          <cell r="M3162">
            <v>0</v>
          </cell>
        </row>
        <row r="3163">
          <cell r="M3163">
            <v>0</v>
          </cell>
        </row>
        <row r="3164">
          <cell r="M3164">
            <v>0</v>
          </cell>
        </row>
        <row r="3165">
          <cell r="M3165">
            <v>0</v>
          </cell>
        </row>
        <row r="3166">
          <cell r="M3166">
            <v>0</v>
          </cell>
        </row>
        <row r="3167">
          <cell r="M3167">
            <v>0</v>
          </cell>
        </row>
        <row r="3168">
          <cell r="A3168" t="str">
            <v>S144</v>
          </cell>
          <cell r="M3168">
            <v>0</v>
          </cell>
        </row>
        <row r="3171">
          <cell r="M3171">
            <v>1</v>
          </cell>
        </row>
        <row r="3174">
          <cell r="A3174">
            <v>13</v>
          </cell>
          <cell r="M3174">
            <v>0.5</v>
          </cell>
        </row>
        <row r="3175">
          <cell r="A3175">
            <v>15</v>
          </cell>
          <cell r="M3175">
            <v>0.5</v>
          </cell>
        </row>
        <row r="3176">
          <cell r="A3176">
            <v>359</v>
          </cell>
          <cell r="M3176">
            <v>1</v>
          </cell>
        </row>
        <row r="3177">
          <cell r="A3177">
            <v>62</v>
          </cell>
          <cell r="M3177">
            <v>4</v>
          </cell>
        </row>
        <row r="3178">
          <cell r="A3178">
            <v>53</v>
          </cell>
          <cell r="M3178">
            <v>2</v>
          </cell>
        </row>
        <row r="3179">
          <cell r="A3179">
            <v>113</v>
          </cell>
          <cell r="M3179">
            <v>4</v>
          </cell>
        </row>
        <row r="3180">
          <cell r="A3180">
            <v>50</v>
          </cell>
          <cell r="M3180">
            <v>4</v>
          </cell>
        </row>
        <row r="3181">
          <cell r="A3181">
            <v>59</v>
          </cell>
          <cell r="M3181">
            <v>2</v>
          </cell>
        </row>
        <row r="3182">
          <cell r="A3182">
            <v>56</v>
          </cell>
          <cell r="M3182">
            <v>2</v>
          </cell>
        </row>
        <row r="3183">
          <cell r="M3183">
            <v>0</v>
          </cell>
        </row>
        <row r="3184">
          <cell r="M3184">
            <v>0</v>
          </cell>
        </row>
        <row r="3185">
          <cell r="M3185">
            <v>0</v>
          </cell>
        </row>
        <row r="3186">
          <cell r="M3186">
            <v>0</v>
          </cell>
        </row>
        <row r="3187">
          <cell r="M3187">
            <v>0</v>
          </cell>
        </row>
        <row r="3188">
          <cell r="M3188">
            <v>0</v>
          </cell>
        </row>
        <row r="3189">
          <cell r="M3189">
            <v>0</v>
          </cell>
        </row>
        <row r="3190">
          <cell r="A3190" t="str">
            <v>S145</v>
          </cell>
          <cell r="M3190">
            <v>0</v>
          </cell>
        </row>
        <row r="3193">
          <cell r="M3193">
            <v>30</v>
          </cell>
        </row>
        <row r="3196">
          <cell r="A3196">
            <v>13</v>
          </cell>
          <cell r="M3196">
            <v>0.89999999999999991</v>
          </cell>
        </row>
        <row r="3197">
          <cell r="A3197">
            <v>15</v>
          </cell>
          <cell r="M3197">
            <v>0.6</v>
          </cell>
        </row>
        <row r="3198">
          <cell r="A3198">
            <v>361</v>
          </cell>
          <cell r="M3198">
            <v>30</v>
          </cell>
        </row>
        <row r="3199">
          <cell r="M3199">
            <v>0</v>
          </cell>
        </row>
        <row r="3200">
          <cell r="M3200">
            <v>0</v>
          </cell>
        </row>
        <row r="3201">
          <cell r="M3201">
            <v>0</v>
          </cell>
        </row>
        <row r="3202">
          <cell r="M3202">
            <v>0</v>
          </cell>
        </row>
        <row r="3203">
          <cell r="M3203">
            <v>0</v>
          </cell>
        </row>
        <row r="3204">
          <cell r="M3204">
            <v>0</v>
          </cell>
        </row>
        <row r="3205">
          <cell r="M3205">
            <v>0</v>
          </cell>
        </row>
        <row r="3206">
          <cell r="M3206">
            <v>0</v>
          </cell>
        </row>
        <row r="3207">
          <cell r="M3207">
            <v>0</v>
          </cell>
        </row>
        <row r="3208">
          <cell r="M3208">
            <v>0</v>
          </cell>
        </row>
        <row r="3209">
          <cell r="M3209">
            <v>0</v>
          </cell>
        </row>
        <row r="3210">
          <cell r="M3210">
            <v>0</v>
          </cell>
        </row>
        <row r="3211">
          <cell r="M3211">
            <v>0</v>
          </cell>
        </row>
        <row r="3212">
          <cell r="A3212" t="str">
            <v>S146</v>
          </cell>
          <cell r="M3212">
            <v>0</v>
          </cell>
        </row>
        <row r="3215">
          <cell r="M3215">
            <v>1</v>
          </cell>
        </row>
        <row r="3218">
          <cell r="A3218">
            <v>13</v>
          </cell>
          <cell r="M3218">
            <v>0.15</v>
          </cell>
        </row>
        <row r="3219">
          <cell r="A3219">
            <v>15</v>
          </cell>
          <cell r="M3219">
            <v>0.15</v>
          </cell>
        </row>
        <row r="3220">
          <cell r="M3220">
            <v>0</v>
          </cell>
        </row>
        <row r="3221">
          <cell r="M3221">
            <v>0</v>
          </cell>
        </row>
        <row r="3222">
          <cell r="M3222">
            <v>0</v>
          </cell>
        </row>
        <row r="3223">
          <cell r="M3223">
            <v>0</v>
          </cell>
        </row>
        <row r="3224">
          <cell r="M3224">
            <v>0</v>
          </cell>
        </row>
        <row r="3225">
          <cell r="M3225">
            <v>0</v>
          </cell>
        </row>
        <row r="3226">
          <cell r="M3226">
            <v>0</v>
          </cell>
        </row>
        <row r="3227">
          <cell r="M3227">
            <v>0</v>
          </cell>
        </row>
        <row r="3228">
          <cell r="M3228">
            <v>0</v>
          </cell>
        </row>
        <row r="3229">
          <cell r="M3229">
            <v>0</v>
          </cell>
        </row>
        <row r="3230">
          <cell r="M3230">
            <v>0</v>
          </cell>
        </row>
        <row r="3231">
          <cell r="M3231">
            <v>0</v>
          </cell>
        </row>
        <row r="3232">
          <cell r="M3232">
            <v>0</v>
          </cell>
        </row>
        <row r="3233">
          <cell r="M3233">
            <v>0</v>
          </cell>
        </row>
        <row r="3234">
          <cell r="A3234" t="str">
            <v>S147</v>
          </cell>
          <cell r="M3234">
            <v>0</v>
          </cell>
        </row>
        <row r="3237">
          <cell r="M3237">
            <v>1</v>
          </cell>
        </row>
        <row r="3240">
          <cell r="A3240">
            <v>13</v>
          </cell>
          <cell r="M3240">
            <v>0.15</v>
          </cell>
        </row>
        <row r="3241">
          <cell r="A3241">
            <v>15</v>
          </cell>
          <cell r="M3241">
            <v>0.15</v>
          </cell>
        </row>
        <row r="3242">
          <cell r="M3242">
            <v>0</v>
          </cell>
        </row>
        <row r="3243">
          <cell r="M3243">
            <v>0</v>
          </cell>
        </row>
        <row r="3244">
          <cell r="M3244">
            <v>0</v>
          </cell>
        </row>
        <row r="3245">
          <cell r="M3245">
            <v>0</v>
          </cell>
        </row>
        <row r="3246">
          <cell r="M3246">
            <v>0</v>
          </cell>
        </row>
        <row r="3247">
          <cell r="M3247">
            <v>0</v>
          </cell>
        </row>
        <row r="3248">
          <cell r="M3248">
            <v>0</v>
          </cell>
        </row>
        <row r="3249">
          <cell r="M3249">
            <v>0</v>
          </cell>
        </row>
        <row r="3250">
          <cell r="M3250">
            <v>0</v>
          </cell>
        </row>
        <row r="3251">
          <cell r="M3251">
            <v>0</v>
          </cell>
        </row>
        <row r="3252">
          <cell r="M3252">
            <v>0</v>
          </cell>
        </row>
        <row r="3253">
          <cell r="M3253">
            <v>0</v>
          </cell>
        </row>
        <row r="3254">
          <cell r="M3254">
            <v>0</v>
          </cell>
        </row>
        <row r="3255">
          <cell r="M3255">
            <v>0</v>
          </cell>
        </row>
        <row r="3256">
          <cell r="A3256" t="str">
            <v>S148</v>
          </cell>
          <cell r="M3256">
            <v>0</v>
          </cell>
        </row>
        <row r="3259">
          <cell r="M3259">
            <v>29</v>
          </cell>
        </row>
        <row r="3262">
          <cell r="A3262">
            <v>13</v>
          </cell>
          <cell r="M3262">
            <v>0.26099999999999995</v>
          </cell>
        </row>
        <row r="3263">
          <cell r="A3263">
            <v>15</v>
          </cell>
          <cell r="M3263">
            <v>0.17400000000000002</v>
          </cell>
        </row>
        <row r="3264">
          <cell r="M3264">
            <v>0</v>
          </cell>
        </row>
        <row r="3265">
          <cell r="M3265">
            <v>0</v>
          </cell>
        </row>
        <row r="3266">
          <cell r="M3266">
            <v>0</v>
          </cell>
        </row>
        <row r="3267">
          <cell r="M3267">
            <v>0</v>
          </cell>
        </row>
        <row r="3268">
          <cell r="M3268">
            <v>0</v>
          </cell>
        </row>
        <row r="3269">
          <cell r="M3269">
            <v>0</v>
          </cell>
        </row>
        <row r="3270">
          <cell r="M3270">
            <v>0</v>
          </cell>
        </row>
        <row r="3271">
          <cell r="M3271">
            <v>0</v>
          </cell>
        </row>
        <row r="3272">
          <cell r="M3272">
            <v>0</v>
          </cell>
        </row>
        <row r="3273">
          <cell r="M3273">
            <v>0</v>
          </cell>
        </row>
        <row r="3274">
          <cell r="M3274">
            <v>0</v>
          </cell>
        </row>
        <row r="3275">
          <cell r="M3275">
            <v>0</v>
          </cell>
        </row>
        <row r="3276">
          <cell r="M3276">
            <v>0</v>
          </cell>
        </row>
        <row r="3277">
          <cell r="M3277">
            <v>0</v>
          </cell>
        </row>
        <row r="3278">
          <cell r="A3278" t="str">
            <v>S149</v>
          </cell>
          <cell r="M3278">
            <v>0</v>
          </cell>
        </row>
        <row r="3281">
          <cell r="M3281">
            <v>1</v>
          </cell>
        </row>
        <row r="3284">
          <cell r="A3284">
            <v>13</v>
          </cell>
          <cell r="M3284">
            <v>0.5</v>
          </cell>
        </row>
        <row r="3285">
          <cell r="A3285">
            <v>15</v>
          </cell>
          <cell r="M3285">
            <v>0.5</v>
          </cell>
        </row>
        <row r="3286">
          <cell r="M3286">
            <v>0</v>
          </cell>
        </row>
        <row r="3287">
          <cell r="M3287">
            <v>0</v>
          </cell>
        </row>
        <row r="3288">
          <cell r="M3288">
            <v>0</v>
          </cell>
        </row>
        <row r="3289">
          <cell r="M3289">
            <v>0</v>
          </cell>
        </row>
        <row r="3290">
          <cell r="M3290">
            <v>0</v>
          </cell>
        </row>
        <row r="3291">
          <cell r="M3291">
            <v>0</v>
          </cell>
        </row>
        <row r="3292">
          <cell r="M3292">
            <v>0</v>
          </cell>
        </row>
        <row r="3293">
          <cell r="M3293">
            <v>0</v>
          </cell>
        </row>
        <row r="3294">
          <cell r="M3294">
            <v>0</v>
          </cell>
        </row>
        <row r="3295">
          <cell r="M3295">
            <v>0</v>
          </cell>
        </row>
        <row r="3296">
          <cell r="M3296">
            <v>0</v>
          </cell>
        </row>
        <row r="3297">
          <cell r="M3297">
            <v>0</v>
          </cell>
        </row>
        <row r="3298">
          <cell r="M3298">
            <v>0</v>
          </cell>
        </row>
        <row r="3299">
          <cell r="M3299">
            <v>0</v>
          </cell>
        </row>
        <row r="3300">
          <cell r="A3300" t="str">
            <v>S150</v>
          </cell>
          <cell r="M3300">
            <v>0</v>
          </cell>
        </row>
        <row r="3303">
          <cell r="M3303">
            <v>1</v>
          </cell>
        </row>
        <row r="3306">
          <cell r="A3306">
            <v>13</v>
          </cell>
          <cell r="M3306">
            <v>0.25</v>
          </cell>
        </row>
        <row r="3307">
          <cell r="A3307">
            <v>15</v>
          </cell>
          <cell r="M3307">
            <v>0.25</v>
          </cell>
        </row>
        <row r="3308">
          <cell r="M3308">
            <v>0</v>
          </cell>
        </row>
        <row r="3309">
          <cell r="M3309">
            <v>0</v>
          </cell>
        </row>
        <row r="3310">
          <cell r="M3310">
            <v>0</v>
          </cell>
        </row>
        <row r="3311">
          <cell r="M3311">
            <v>0</v>
          </cell>
        </row>
        <row r="3312">
          <cell r="M3312">
            <v>0</v>
          </cell>
        </row>
        <row r="3313">
          <cell r="M3313">
            <v>0</v>
          </cell>
        </row>
        <row r="3314">
          <cell r="M3314">
            <v>0</v>
          </cell>
        </row>
        <row r="3315">
          <cell r="M3315">
            <v>0</v>
          </cell>
        </row>
        <row r="3316">
          <cell r="M3316">
            <v>0</v>
          </cell>
        </row>
        <row r="3317">
          <cell r="M3317">
            <v>0</v>
          </cell>
        </row>
        <row r="3318">
          <cell r="M3318">
            <v>0</v>
          </cell>
        </row>
        <row r="3319">
          <cell r="M3319">
            <v>0</v>
          </cell>
        </row>
        <row r="3320">
          <cell r="M3320">
            <v>0</v>
          </cell>
        </row>
        <row r="3321">
          <cell r="M3321">
            <v>0</v>
          </cell>
        </row>
        <row r="3322">
          <cell r="A3322" t="str">
            <v>S151</v>
          </cell>
          <cell r="M3322">
            <v>0</v>
          </cell>
        </row>
        <row r="3325">
          <cell r="M3325">
            <v>1</v>
          </cell>
        </row>
        <row r="3328">
          <cell r="A3328">
            <v>13</v>
          </cell>
          <cell r="M3328">
            <v>0.5</v>
          </cell>
        </row>
        <row r="3329">
          <cell r="A3329">
            <v>15</v>
          </cell>
          <cell r="M3329">
            <v>0.5</v>
          </cell>
        </row>
        <row r="3330">
          <cell r="M3330">
            <v>0</v>
          </cell>
        </row>
        <row r="3331">
          <cell r="M3331">
            <v>0</v>
          </cell>
        </row>
        <row r="3332">
          <cell r="M3332">
            <v>0</v>
          </cell>
        </row>
        <row r="3333">
          <cell r="M3333">
            <v>0</v>
          </cell>
        </row>
        <row r="3334">
          <cell r="M3334">
            <v>0</v>
          </cell>
        </row>
        <row r="3335">
          <cell r="M3335">
            <v>0</v>
          </cell>
        </row>
        <row r="3336">
          <cell r="M3336">
            <v>0</v>
          </cell>
        </row>
        <row r="3337">
          <cell r="M3337">
            <v>0</v>
          </cell>
        </row>
        <row r="3338">
          <cell r="M3338">
            <v>0</v>
          </cell>
        </row>
        <row r="3339">
          <cell r="M3339">
            <v>0</v>
          </cell>
        </row>
        <row r="3340">
          <cell r="M3340">
            <v>0</v>
          </cell>
        </row>
        <row r="3341">
          <cell r="M3341">
            <v>0</v>
          </cell>
        </row>
        <row r="3342">
          <cell r="M3342">
            <v>0</v>
          </cell>
        </row>
        <row r="3343">
          <cell r="M3343">
            <v>0</v>
          </cell>
        </row>
        <row r="3344">
          <cell r="A3344" t="str">
            <v>S152</v>
          </cell>
          <cell r="M3344">
            <v>0</v>
          </cell>
        </row>
        <row r="3347">
          <cell r="M3347">
            <v>1</v>
          </cell>
        </row>
        <row r="3350">
          <cell r="A3350">
            <v>13</v>
          </cell>
          <cell r="M3350">
            <v>0.5</v>
          </cell>
        </row>
        <row r="3351">
          <cell r="A3351">
            <v>15</v>
          </cell>
          <cell r="M3351">
            <v>0.5</v>
          </cell>
        </row>
        <row r="3352">
          <cell r="A3352">
            <v>62</v>
          </cell>
          <cell r="M3352">
            <v>4</v>
          </cell>
        </row>
        <row r="3353">
          <cell r="A3353">
            <v>53</v>
          </cell>
          <cell r="M3353">
            <v>2</v>
          </cell>
        </row>
        <row r="3354">
          <cell r="A3354">
            <v>113</v>
          </cell>
          <cell r="M3354">
            <v>4</v>
          </cell>
        </row>
        <row r="3355">
          <cell r="A3355">
            <v>50</v>
          </cell>
          <cell r="M3355">
            <v>4</v>
          </cell>
        </row>
        <row r="3356">
          <cell r="A3356">
            <v>59</v>
          </cell>
          <cell r="M3356">
            <v>2</v>
          </cell>
        </row>
        <row r="3357">
          <cell r="A3357">
            <v>56</v>
          </cell>
          <cell r="M3357">
            <v>2</v>
          </cell>
        </row>
        <row r="3358">
          <cell r="M3358">
            <v>0</v>
          </cell>
        </row>
        <row r="3359">
          <cell r="M3359">
            <v>0</v>
          </cell>
        </row>
        <row r="3360">
          <cell r="M3360">
            <v>0</v>
          </cell>
        </row>
        <row r="3361">
          <cell r="M3361">
            <v>0</v>
          </cell>
        </row>
        <row r="3362">
          <cell r="M3362">
            <v>0</v>
          </cell>
        </row>
        <row r="3363">
          <cell r="M3363">
            <v>0</v>
          </cell>
        </row>
        <row r="3364">
          <cell r="M3364">
            <v>0</v>
          </cell>
        </row>
        <row r="3365">
          <cell r="M3365">
            <v>0</v>
          </cell>
        </row>
        <row r="3366">
          <cell r="A3366" t="str">
            <v>S153</v>
          </cell>
          <cell r="M3366">
            <v>0</v>
          </cell>
        </row>
        <row r="3369">
          <cell r="M3369">
            <v>1</v>
          </cell>
        </row>
        <row r="3372">
          <cell r="A3372">
            <v>16</v>
          </cell>
          <cell r="M3372">
            <v>0.2</v>
          </cell>
        </row>
        <row r="3373">
          <cell r="M3373">
            <v>0</v>
          </cell>
        </row>
        <row r="3374">
          <cell r="M3374">
            <v>0</v>
          </cell>
        </row>
        <row r="3375">
          <cell r="M3375">
            <v>0</v>
          </cell>
        </row>
        <row r="3376">
          <cell r="M3376">
            <v>0</v>
          </cell>
        </row>
        <row r="3377">
          <cell r="M3377">
            <v>0</v>
          </cell>
        </row>
        <row r="3378">
          <cell r="M3378">
            <v>0</v>
          </cell>
        </row>
        <row r="3379">
          <cell r="M3379">
            <v>0</v>
          </cell>
        </row>
        <row r="3380">
          <cell r="M3380">
            <v>0</v>
          </cell>
        </row>
        <row r="3381">
          <cell r="M3381">
            <v>0</v>
          </cell>
        </row>
        <row r="3382">
          <cell r="M3382">
            <v>0</v>
          </cell>
        </row>
        <row r="3383">
          <cell r="M3383">
            <v>0</v>
          </cell>
        </row>
        <row r="3384">
          <cell r="M3384">
            <v>0</v>
          </cell>
        </row>
        <row r="3385">
          <cell r="M3385">
            <v>0</v>
          </cell>
        </row>
        <row r="3386">
          <cell r="M3386">
            <v>0</v>
          </cell>
        </row>
        <row r="3387">
          <cell r="M3387">
            <v>0</v>
          </cell>
        </row>
        <row r="3388">
          <cell r="A3388" t="str">
            <v>S154</v>
          </cell>
          <cell r="M3388">
            <v>0</v>
          </cell>
        </row>
        <row r="3391">
          <cell r="M3391">
            <v>1</v>
          </cell>
        </row>
        <row r="3394">
          <cell r="A3394">
            <v>16</v>
          </cell>
          <cell r="M3394">
            <v>0.5</v>
          </cell>
        </row>
        <row r="3395">
          <cell r="M3395">
            <v>0</v>
          </cell>
        </row>
        <row r="3396">
          <cell r="M3396">
            <v>0</v>
          </cell>
        </row>
        <row r="3397">
          <cell r="M3397">
            <v>0</v>
          </cell>
        </row>
        <row r="3398">
          <cell r="M3398">
            <v>0</v>
          </cell>
        </row>
        <row r="3399">
          <cell r="M3399">
            <v>0</v>
          </cell>
        </row>
        <row r="3400">
          <cell r="M3400">
            <v>0</v>
          </cell>
        </row>
        <row r="3401">
          <cell r="M3401">
            <v>0</v>
          </cell>
        </row>
        <row r="3402">
          <cell r="M3402">
            <v>0</v>
          </cell>
        </row>
        <row r="3403">
          <cell r="M3403">
            <v>0</v>
          </cell>
        </row>
        <row r="3404">
          <cell r="M3404">
            <v>0</v>
          </cell>
        </row>
        <row r="3405">
          <cell r="M3405">
            <v>0</v>
          </cell>
        </row>
        <row r="3406">
          <cell r="M3406">
            <v>0</v>
          </cell>
        </row>
        <row r="3407">
          <cell r="M3407">
            <v>0</v>
          </cell>
        </row>
        <row r="3408">
          <cell r="M3408">
            <v>0</v>
          </cell>
        </row>
        <row r="3409">
          <cell r="M3409">
            <v>0</v>
          </cell>
        </row>
        <row r="3410">
          <cell r="A3410" t="str">
            <v>S155</v>
          </cell>
          <cell r="M3410">
            <v>0</v>
          </cell>
        </row>
        <row r="3413">
          <cell r="M3413">
            <v>1</v>
          </cell>
        </row>
        <row r="3416">
          <cell r="A3416">
            <v>13</v>
          </cell>
          <cell r="M3416">
            <v>0.15</v>
          </cell>
        </row>
        <row r="3417">
          <cell r="A3417">
            <v>15</v>
          </cell>
          <cell r="M3417">
            <v>0.15</v>
          </cell>
        </row>
        <row r="3418">
          <cell r="M3418">
            <v>0</v>
          </cell>
        </row>
        <row r="3419">
          <cell r="M3419">
            <v>0</v>
          </cell>
        </row>
        <row r="3420">
          <cell r="M3420">
            <v>0</v>
          </cell>
        </row>
        <row r="3421">
          <cell r="M3421">
            <v>0</v>
          </cell>
        </row>
        <row r="3422">
          <cell r="M3422">
            <v>0</v>
          </cell>
        </row>
        <row r="3423">
          <cell r="M3423">
            <v>0</v>
          </cell>
        </row>
        <row r="3424">
          <cell r="M3424">
            <v>0</v>
          </cell>
        </row>
        <row r="3425">
          <cell r="M3425">
            <v>0</v>
          </cell>
        </row>
        <row r="3426">
          <cell r="M3426">
            <v>0</v>
          </cell>
        </row>
        <row r="3427">
          <cell r="M3427">
            <v>0</v>
          </cell>
        </row>
        <row r="3428">
          <cell r="M3428">
            <v>0</v>
          </cell>
        </row>
        <row r="3429">
          <cell r="M3429">
            <v>0</v>
          </cell>
        </row>
        <row r="3430">
          <cell r="M3430">
            <v>0</v>
          </cell>
        </row>
        <row r="3431">
          <cell r="M3431">
            <v>0</v>
          </cell>
        </row>
        <row r="3432">
          <cell r="A3432" t="str">
            <v>S156</v>
          </cell>
          <cell r="M3432">
            <v>0</v>
          </cell>
        </row>
        <row r="3435">
          <cell r="M3435">
            <v>1</v>
          </cell>
        </row>
        <row r="3438">
          <cell r="M3438">
            <v>0</v>
          </cell>
        </row>
        <row r="3439">
          <cell r="M3439">
            <v>0.15</v>
          </cell>
        </row>
        <row r="3440">
          <cell r="M3440">
            <v>0.15</v>
          </cell>
        </row>
        <row r="3441">
          <cell r="M3441">
            <v>0</v>
          </cell>
        </row>
        <row r="3442">
          <cell r="M3442">
            <v>0</v>
          </cell>
        </row>
        <row r="3443">
          <cell r="M3443">
            <v>0</v>
          </cell>
        </row>
        <row r="3444">
          <cell r="M3444">
            <v>0</v>
          </cell>
        </row>
        <row r="3445">
          <cell r="M3445">
            <v>0</v>
          </cell>
        </row>
        <row r="3446">
          <cell r="M3446">
            <v>0</v>
          </cell>
        </row>
        <row r="3447">
          <cell r="M3447">
            <v>0</v>
          </cell>
        </row>
        <row r="3448">
          <cell r="M3448">
            <v>0</v>
          </cell>
        </row>
        <row r="3449">
          <cell r="M3449">
            <v>0</v>
          </cell>
        </row>
        <row r="3450">
          <cell r="M3450">
            <v>0</v>
          </cell>
        </row>
        <row r="3451">
          <cell r="M3451">
            <v>0</v>
          </cell>
        </row>
        <row r="3452">
          <cell r="M3452">
            <v>0</v>
          </cell>
        </row>
        <row r="3453">
          <cell r="M3453">
            <v>0</v>
          </cell>
        </row>
        <row r="3454">
          <cell r="A3454" t="str">
            <v>S157</v>
          </cell>
          <cell r="M3454">
            <v>0</v>
          </cell>
        </row>
        <row r="3457">
          <cell r="M3457">
            <v>3</v>
          </cell>
        </row>
        <row r="3460">
          <cell r="A3460">
            <v>15</v>
          </cell>
          <cell r="M3460">
            <v>14.850000000000001</v>
          </cell>
        </row>
        <row r="3461">
          <cell r="A3461">
            <v>18</v>
          </cell>
          <cell r="M3461">
            <v>15.09</v>
          </cell>
        </row>
        <row r="3462">
          <cell r="M3462">
            <v>0</v>
          </cell>
        </row>
        <row r="3463">
          <cell r="M3463">
            <v>0</v>
          </cell>
        </row>
        <row r="3464">
          <cell r="M3464">
            <v>0</v>
          </cell>
        </row>
        <row r="3465">
          <cell r="M3465">
            <v>0</v>
          </cell>
        </row>
        <row r="3466">
          <cell r="M3466">
            <v>0</v>
          </cell>
        </row>
        <row r="3467">
          <cell r="M3467">
            <v>0</v>
          </cell>
        </row>
        <row r="3468">
          <cell r="M3468">
            <v>0</v>
          </cell>
        </row>
        <row r="3469">
          <cell r="M3469">
            <v>0</v>
          </cell>
        </row>
        <row r="3470">
          <cell r="M3470">
            <v>0</v>
          </cell>
        </row>
        <row r="3471">
          <cell r="M3471">
            <v>0</v>
          </cell>
        </row>
        <row r="3472">
          <cell r="M3472">
            <v>0</v>
          </cell>
        </row>
        <row r="3473">
          <cell r="M3473">
            <v>0</v>
          </cell>
        </row>
        <row r="3474">
          <cell r="M3474">
            <v>0</v>
          </cell>
        </row>
        <row r="3475">
          <cell r="M3475">
            <v>0</v>
          </cell>
        </row>
        <row r="3476">
          <cell r="A3476" t="str">
            <v>S158</v>
          </cell>
          <cell r="M3476">
            <v>0</v>
          </cell>
        </row>
        <row r="3479">
          <cell r="M3479">
            <v>1</v>
          </cell>
        </row>
        <row r="3482">
          <cell r="A3482">
            <v>15</v>
          </cell>
          <cell r="M3482">
            <v>3.96</v>
          </cell>
        </row>
        <row r="3483">
          <cell r="A3483">
            <v>18</v>
          </cell>
          <cell r="M3483">
            <v>4.42</v>
          </cell>
        </row>
        <row r="3484">
          <cell r="M3484">
            <v>0</v>
          </cell>
        </row>
        <row r="3485">
          <cell r="M3485">
            <v>0</v>
          </cell>
        </row>
        <row r="3486">
          <cell r="M3486">
            <v>0</v>
          </cell>
        </row>
        <row r="3487">
          <cell r="M3487">
            <v>0</v>
          </cell>
        </row>
        <row r="3488">
          <cell r="M3488">
            <v>0</v>
          </cell>
        </row>
        <row r="3489">
          <cell r="M3489">
            <v>0</v>
          </cell>
        </row>
        <row r="3490">
          <cell r="M3490">
            <v>0</v>
          </cell>
        </row>
        <row r="3491">
          <cell r="M3491">
            <v>0</v>
          </cell>
        </row>
        <row r="3492">
          <cell r="M3492">
            <v>0</v>
          </cell>
        </row>
        <row r="3493">
          <cell r="M3493">
            <v>0</v>
          </cell>
        </row>
        <row r="3494">
          <cell r="M3494">
            <v>0</v>
          </cell>
        </row>
        <row r="3495">
          <cell r="M3495">
            <v>0</v>
          </cell>
        </row>
        <row r="3496">
          <cell r="M3496">
            <v>0</v>
          </cell>
        </row>
        <row r="3497">
          <cell r="M3497">
            <v>0</v>
          </cell>
        </row>
        <row r="3498">
          <cell r="A3498" t="str">
            <v>S159</v>
          </cell>
          <cell r="M3498">
            <v>0</v>
          </cell>
        </row>
        <row r="3501">
          <cell r="M3501">
            <v>3</v>
          </cell>
        </row>
        <row r="3504">
          <cell r="A3504">
            <v>15</v>
          </cell>
          <cell r="M3504">
            <v>5.9399999999999995</v>
          </cell>
        </row>
        <row r="3505">
          <cell r="A3505">
            <v>18</v>
          </cell>
          <cell r="M3505">
            <v>6.0299999999999994</v>
          </cell>
        </row>
        <row r="3506">
          <cell r="M3506">
            <v>0</v>
          </cell>
        </row>
        <row r="3507">
          <cell r="M3507">
            <v>0</v>
          </cell>
        </row>
        <row r="3508">
          <cell r="M3508">
            <v>0</v>
          </cell>
        </row>
        <row r="3509">
          <cell r="M3509">
            <v>0</v>
          </cell>
        </row>
        <row r="3510">
          <cell r="M3510">
            <v>0</v>
          </cell>
        </row>
        <row r="3511">
          <cell r="M3511">
            <v>0</v>
          </cell>
        </row>
        <row r="3512">
          <cell r="M3512">
            <v>0</v>
          </cell>
        </row>
        <row r="3513">
          <cell r="M3513">
            <v>0</v>
          </cell>
        </row>
        <row r="3514">
          <cell r="M3514">
            <v>0</v>
          </cell>
        </row>
        <row r="3515">
          <cell r="M3515">
            <v>0</v>
          </cell>
        </row>
        <row r="3516">
          <cell r="M3516">
            <v>0</v>
          </cell>
        </row>
        <row r="3517">
          <cell r="M3517">
            <v>0</v>
          </cell>
        </row>
        <row r="3518">
          <cell r="M3518">
            <v>0</v>
          </cell>
        </row>
        <row r="3519">
          <cell r="M3519">
            <v>0</v>
          </cell>
        </row>
        <row r="3520">
          <cell r="A3520" t="str">
            <v>S160</v>
          </cell>
          <cell r="M3520">
            <v>0</v>
          </cell>
        </row>
        <row r="3523">
          <cell r="M3523">
            <v>1</v>
          </cell>
        </row>
        <row r="3526">
          <cell r="A3526">
            <v>15</v>
          </cell>
          <cell r="M3526">
            <v>1.58</v>
          </cell>
        </row>
        <row r="3527">
          <cell r="A3527">
            <v>18</v>
          </cell>
          <cell r="M3527">
            <v>1.76</v>
          </cell>
        </row>
        <row r="3528">
          <cell r="M3528">
            <v>0</v>
          </cell>
        </row>
        <row r="3529">
          <cell r="M3529">
            <v>0</v>
          </cell>
        </row>
        <row r="3530">
          <cell r="M3530">
            <v>0</v>
          </cell>
        </row>
        <row r="3531">
          <cell r="M3531">
            <v>0</v>
          </cell>
        </row>
        <row r="3532">
          <cell r="M3532">
            <v>0</v>
          </cell>
        </row>
        <row r="3533">
          <cell r="M3533">
            <v>0</v>
          </cell>
        </row>
        <row r="3534">
          <cell r="M3534">
            <v>0</v>
          </cell>
        </row>
        <row r="3535">
          <cell r="M3535">
            <v>0</v>
          </cell>
        </row>
        <row r="3536">
          <cell r="M3536">
            <v>0</v>
          </cell>
        </row>
        <row r="3537">
          <cell r="M3537">
            <v>0</v>
          </cell>
        </row>
        <row r="3538">
          <cell r="M3538">
            <v>0</v>
          </cell>
        </row>
        <row r="3539">
          <cell r="M3539">
            <v>0</v>
          </cell>
        </row>
        <row r="3540">
          <cell r="M3540">
            <v>0</v>
          </cell>
        </row>
        <row r="3541">
          <cell r="M3541">
            <v>0</v>
          </cell>
        </row>
        <row r="3542">
          <cell r="A3542" t="str">
            <v>S161</v>
          </cell>
          <cell r="M3542">
            <v>0</v>
          </cell>
        </row>
        <row r="3545">
          <cell r="M3545">
            <v>1</v>
          </cell>
        </row>
        <row r="3548">
          <cell r="A3548">
            <v>15</v>
          </cell>
          <cell r="M3548">
            <v>1.5</v>
          </cell>
        </row>
        <row r="3549">
          <cell r="A3549">
            <v>18</v>
          </cell>
          <cell r="M3549">
            <v>4.5999999999999996</v>
          </cell>
        </row>
        <row r="3550">
          <cell r="M3550">
            <v>0</v>
          </cell>
        </row>
        <row r="3551">
          <cell r="M3551">
            <v>0</v>
          </cell>
        </row>
        <row r="3552">
          <cell r="M3552">
            <v>0</v>
          </cell>
        </row>
        <row r="3553">
          <cell r="M3553">
            <v>0</v>
          </cell>
        </row>
        <row r="3554">
          <cell r="M3554">
            <v>0</v>
          </cell>
        </row>
        <row r="3555">
          <cell r="M3555">
            <v>0</v>
          </cell>
        </row>
        <row r="3556">
          <cell r="M3556">
            <v>0</v>
          </cell>
        </row>
        <row r="3557">
          <cell r="M3557">
            <v>0</v>
          </cell>
        </row>
        <row r="3558">
          <cell r="M3558">
            <v>0</v>
          </cell>
        </row>
        <row r="3559">
          <cell r="M3559">
            <v>0</v>
          </cell>
        </row>
        <row r="3560">
          <cell r="M3560">
            <v>0</v>
          </cell>
        </row>
        <row r="3561">
          <cell r="M3561">
            <v>0</v>
          </cell>
        </row>
        <row r="3562">
          <cell r="M3562">
            <v>0</v>
          </cell>
        </row>
        <row r="3563">
          <cell r="M3563">
            <v>0</v>
          </cell>
        </row>
        <row r="3564">
          <cell r="A3564" t="str">
            <v>S162</v>
          </cell>
          <cell r="M3564">
            <v>0</v>
          </cell>
        </row>
        <row r="3567">
          <cell r="M3567">
            <v>1</v>
          </cell>
        </row>
        <row r="3570">
          <cell r="A3570">
            <v>15</v>
          </cell>
          <cell r="M3570">
            <v>0.6</v>
          </cell>
        </row>
        <row r="3571">
          <cell r="A3571">
            <v>18</v>
          </cell>
          <cell r="M3571">
            <v>1.84</v>
          </cell>
        </row>
        <row r="3572">
          <cell r="M3572">
            <v>0</v>
          </cell>
        </row>
        <row r="3573">
          <cell r="M3573">
            <v>0</v>
          </cell>
        </row>
        <row r="3574">
          <cell r="M3574">
            <v>0</v>
          </cell>
        </row>
        <row r="3575">
          <cell r="M3575">
            <v>0</v>
          </cell>
        </row>
        <row r="3576">
          <cell r="M3576">
            <v>0</v>
          </cell>
        </row>
        <row r="3577">
          <cell r="M3577">
            <v>0</v>
          </cell>
        </row>
        <row r="3578">
          <cell r="M3578">
            <v>0</v>
          </cell>
        </row>
        <row r="3579">
          <cell r="M3579">
            <v>0</v>
          </cell>
        </row>
        <row r="3580">
          <cell r="M3580">
            <v>0</v>
          </cell>
        </row>
        <row r="3581">
          <cell r="M3581">
            <v>0</v>
          </cell>
        </row>
        <row r="3582">
          <cell r="M3582">
            <v>0</v>
          </cell>
        </row>
        <row r="3583">
          <cell r="M3583">
            <v>0</v>
          </cell>
        </row>
        <row r="3584">
          <cell r="M3584">
            <v>0</v>
          </cell>
        </row>
        <row r="3585">
          <cell r="M3585">
            <v>0</v>
          </cell>
        </row>
        <row r="3586">
          <cell r="A3586" t="str">
            <v>S163</v>
          </cell>
          <cell r="M3586">
            <v>0</v>
          </cell>
        </row>
        <row r="3589">
          <cell r="M3589">
            <v>1</v>
          </cell>
        </row>
        <row r="3592">
          <cell r="A3592">
            <v>15</v>
          </cell>
          <cell r="M3592">
            <v>1.5</v>
          </cell>
        </row>
        <row r="3593">
          <cell r="A3593">
            <v>18</v>
          </cell>
          <cell r="M3593">
            <v>4.5999999999999996</v>
          </cell>
        </row>
        <row r="3594">
          <cell r="M3594">
            <v>0</v>
          </cell>
        </row>
        <row r="3595">
          <cell r="M3595">
            <v>0</v>
          </cell>
        </row>
        <row r="3596">
          <cell r="M3596">
            <v>0</v>
          </cell>
        </row>
        <row r="3597">
          <cell r="M3597">
            <v>0</v>
          </cell>
        </row>
        <row r="3598">
          <cell r="M3598">
            <v>0</v>
          </cell>
        </row>
        <row r="3599">
          <cell r="M3599">
            <v>0</v>
          </cell>
        </row>
        <row r="3600">
          <cell r="M3600">
            <v>0</v>
          </cell>
        </row>
        <row r="3601">
          <cell r="M3601">
            <v>0</v>
          </cell>
        </row>
        <row r="3602">
          <cell r="M3602">
            <v>0</v>
          </cell>
        </row>
        <row r="3603">
          <cell r="M3603">
            <v>0</v>
          </cell>
        </row>
        <row r="3604">
          <cell r="M3604">
            <v>0</v>
          </cell>
        </row>
        <row r="3605">
          <cell r="M3605">
            <v>0</v>
          </cell>
        </row>
        <row r="3606">
          <cell r="M3606">
            <v>0</v>
          </cell>
        </row>
        <row r="3607">
          <cell r="M3607">
            <v>0</v>
          </cell>
        </row>
        <row r="3608">
          <cell r="A3608" t="str">
            <v>S164</v>
          </cell>
          <cell r="M3608">
            <v>0</v>
          </cell>
        </row>
        <row r="3611">
          <cell r="M3611">
            <v>1</v>
          </cell>
        </row>
        <row r="3614">
          <cell r="A3614">
            <v>15</v>
          </cell>
          <cell r="M3614">
            <v>0.6</v>
          </cell>
        </row>
        <row r="3615">
          <cell r="A3615">
            <v>18</v>
          </cell>
          <cell r="M3615">
            <v>1.84</v>
          </cell>
        </row>
        <row r="3616">
          <cell r="M3616">
            <v>0</v>
          </cell>
        </row>
        <row r="3617">
          <cell r="M3617">
            <v>0</v>
          </cell>
        </row>
        <row r="3618">
          <cell r="M3618">
            <v>0</v>
          </cell>
        </row>
        <row r="3619">
          <cell r="M3619">
            <v>0</v>
          </cell>
        </row>
        <row r="3620">
          <cell r="M3620">
            <v>0</v>
          </cell>
        </row>
        <row r="3621">
          <cell r="M3621">
            <v>0</v>
          </cell>
        </row>
        <row r="3622">
          <cell r="M3622">
            <v>0</v>
          </cell>
        </row>
        <row r="3623">
          <cell r="M3623">
            <v>0</v>
          </cell>
        </row>
        <row r="3624">
          <cell r="M3624">
            <v>0</v>
          </cell>
        </row>
        <row r="3625">
          <cell r="M3625">
            <v>0</v>
          </cell>
        </row>
        <row r="3626">
          <cell r="M3626">
            <v>0</v>
          </cell>
        </row>
        <row r="3627">
          <cell r="M3627">
            <v>0</v>
          </cell>
        </row>
        <row r="3628">
          <cell r="M3628">
            <v>0</v>
          </cell>
        </row>
        <row r="3629">
          <cell r="M3629">
            <v>0</v>
          </cell>
        </row>
        <row r="3630">
          <cell r="A3630" t="str">
            <v>S165</v>
          </cell>
          <cell r="M3630">
            <v>0</v>
          </cell>
        </row>
        <row r="3633">
          <cell r="M3633">
            <v>1</v>
          </cell>
        </row>
        <row r="3636">
          <cell r="A3636">
            <v>13</v>
          </cell>
          <cell r="M3636">
            <v>3</v>
          </cell>
        </row>
        <row r="3637">
          <cell r="M3637">
            <v>0</v>
          </cell>
        </row>
        <row r="3638">
          <cell r="M3638">
            <v>0</v>
          </cell>
        </row>
        <row r="3639">
          <cell r="M3639">
            <v>0</v>
          </cell>
        </row>
        <row r="3640">
          <cell r="M3640">
            <v>0</v>
          </cell>
        </row>
        <row r="3641">
          <cell r="M3641">
            <v>0</v>
          </cell>
        </row>
        <row r="3642">
          <cell r="M3642">
            <v>0</v>
          </cell>
        </row>
        <row r="3643">
          <cell r="M3643">
            <v>0</v>
          </cell>
        </row>
        <row r="3644">
          <cell r="M3644">
            <v>0</v>
          </cell>
        </row>
        <row r="3645">
          <cell r="M3645">
            <v>0</v>
          </cell>
        </row>
        <row r="3646">
          <cell r="M3646">
            <v>0</v>
          </cell>
        </row>
        <row r="3647">
          <cell r="M3647">
            <v>0</v>
          </cell>
        </row>
        <row r="3648">
          <cell r="M3648">
            <v>0</v>
          </cell>
        </row>
        <row r="3649">
          <cell r="M3649">
            <v>0</v>
          </cell>
        </row>
        <row r="3650">
          <cell r="M3650">
            <v>0</v>
          </cell>
        </row>
        <row r="3651">
          <cell r="M3651">
            <v>0</v>
          </cell>
        </row>
        <row r="3652">
          <cell r="A3652" t="str">
            <v>S166</v>
          </cell>
          <cell r="M3652">
            <v>0</v>
          </cell>
        </row>
        <row r="3655">
          <cell r="M3655">
            <v>1</v>
          </cell>
        </row>
        <row r="3658">
          <cell r="A3658">
            <v>13</v>
          </cell>
          <cell r="M3658">
            <v>0.9</v>
          </cell>
        </row>
        <row r="3659">
          <cell r="M3659">
            <v>0</v>
          </cell>
        </row>
        <row r="3660">
          <cell r="M3660">
            <v>0</v>
          </cell>
        </row>
        <row r="3661">
          <cell r="M3661">
            <v>0</v>
          </cell>
        </row>
        <row r="3662">
          <cell r="M3662">
            <v>0</v>
          </cell>
        </row>
        <row r="3663">
          <cell r="M3663">
            <v>0</v>
          </cell>
        </row>
        <row r="3664">
          <cell r="M3664">
            <v>0</v>
          </cell>
        </row>
        <row r="3665">
          <cell r="M3665">
            <v>0</v>
          </cell>
        </row>
        <row r="3666">
          <cell r="M3666">
            <v>0</v>
          </cell>
        </row>
        <row r="3667">
          <cell r="M3667">
            <v>0</v>
          </cell>
        </row>
        <row r="3668">
          <cell r="M3668">
            <v>0</v>
          </cell>
        </row>
        <row r="3669">
          <cell r="M3669">
            <v>0</v>
          </cell>
        </row>
        <row r="3670">
          <cell r="M3670">
            <v>0</v>
          </cell>
        </row>
        <row r="3671">
          <cell r="M3671">
            <v>0</v>
          </cell>
        </row>
        <row r="3672">
          <cell r="M3672">
            <v>0</v>
          </cell>
        </row>
        <row r="3673">
          <cell r="M3673">
            <v>0</v>
          </cell>
        </row>
        <row r="3674">
          <cell r="A3674" t="str">
            <v>S167</v>
          </cell>
          <cell r="M3674">
            <v>0</v>
          </cell>
        </row>
        <row r="3677">
          <cell r="M3677">
            <v>2</v>
          </cell>
        </row>
        <row r="3680">
          <cell r="A3680">
            <v>15</v>
          </cell>
          <cell r="M3680">
            <v>7.68</v>
          </cell>
        </row>
        <row r="3681">
          <cell r="A3681">
            <v>18</v>
          </cell>
          <cell r="M3681">
            <v>13.12</v>
          </cell>
        </row>
        <row r="3682">
          <cell r="A3682">
            <v>321</v>
          </cell>
          <cell r="M3682">
            <v>2</v>
          </cell>
        </row>
        <row r="3683">
          <cell r="M3683">
            <v>0</v>
          </cell>
        </row>
        <row r="3684">
          <cell r="M3684">
            <v>0</v>
          </cell>
        </row>
        <row r="3685">
          <cell r="M3685">
            <v>0</v>
          </cell>
        </row>
        <row r="3686">
          <cell r="M3686">
            <v>0</v>
          </cell>
        </row>
        <row r="3687">
          <cell r="M3687">
            <v>0</v>
          </cell>
        </row>
        <row r="3688">
          <cell r="M3688">
            <v>0</v>
          </cell>
        </row>
        <row r="3689">
          <cell r="M3689">
            <v>0</v>
          </cell>
        </row>
        <row r="3690">
          <cell r="M3690">
            <v>0</v>
          </cell>
        </row>
        <row r="3691">
          <cell r="M3691">
            <v>0</v>
          </cell>
        </row>
        <row r="3692">
          <cell r="M3692">
            <v>0</v>
          </cell>
        </row>
        <row r="3693">
          <cell r="M3693">
            <v>0</v>
          </cell>
        </row>
        <row r="3694">
          <cell r="M3694">
            <v>0</v>
          </cell>
        </row>
        <row r="3695">
          <cell r="M3695">
            <v>0</v>
          </cell>
        </row>
        <row r="3696">
          <cell r="A3696" t="str">
            <v>S168</v>
          </cell>
          <cell r="M3696">
            <v>0</v>
          </cell>
        </row>
        <row r="3699">
          <cell r="M3699">
            <v>2</v>
          </cell>
        </row>
        <row r="3702">
          <cell r="A3702">
            <v>13</v>
          </cell>
          <cell r="M3702">
            <v>1</v>
          </cell>
        </row>
        <row r="3703">
          <cell r="A3703">
            <v>15</v>
          </cell>
          <cell r="M3703">
            <v>1</v>
          </cell>
        </row>
        <row r="3704">
          <cell r="M3704">
            <v>0</v>
          </cell>
        </row>
        <row r="3705">
          <cell r="M3705">
            <v>0</v>
          </cell>
        </row>
        <row r="3706">
          <cell r="M3706">
            <v>0</v>
          </cell>
        </row>
        <row r="3707">
          <cell r="M3707">
            <v>0</v>
          </cell>
        </row>
        <row r="3708">
          <cell r="M3708">
            <v>0</v>
          </cell>
        </row>
        <row r="3709">
          <cell r="M3709">
            <v>0</v>
          </cell>
        </row>
        <row r="3710">
          <cell r="M3710">
            <v>0</v>
          </cell>
        </row>
        <row r="3711">
          <cell r="M3711">
            <v>0</v>
          </cell>
        </row>
        <row r="3712">
          <cell r="M3712">
            <v>0</v>
          </cell>
        </row>
        <row r="3713">
          <cell r="M3713">
            <v>0</v>
          </cell>
        </row>
        <row r="3714">
          <cell r="M3714">
            <v>0</v>
          </cell>
        </row>
        <row r="3715">
          <cell r="M3715">
            <v>0</v>
          </cell>
        </row>
        <row r="3716">
          <cell r="M3716">
            <v>0</v>
          </cell>
        </row>
        <row r="3717">
          <cell r="M3717">
            <v>0</v>
          </cell>
        </row>
        <row r="3718">
          <cell r="A3718" t="str">
            <v>S169</v>
          </cell>
          <cell r="M3718">
            <v>0</v>
          </cell>
        </row>
        <row r="3721">
          <cell r="M3721">
            <v>2</v>
          </cell>
        </row>
        <row r="3724">
          <cell r="A3724">
            <v>13</v>
          </cell>
          <cell r="M3724">
            <v>1</v>
          </cell>
        </row>
        <row r="3725">
          <cell r="A3725">
            <v>15</v>
          </cell>
          <cell r="M3725">
            <v>1</v>
          </cell>
        </row>
        <row r="3726">
          <cell r="A3726">
            <v>62</v>
          </cell>
          <cell r="M3726">
            <v>8</v>
          </cell>
        </row>
        <row r="3727">
          <cell r="A3727">
            <v>53</v>
          </cell>
          <cell r="M3727">
            <v>4</v>
          </cell>
        </row>
        <row r="3728">
          <cell r="A3728">
            <v>113</v>
          </cell>
          <cell r="M3728">
            <v>8</v>
          </cell>
        </row>
        <row r="3729">
          <cell r="A3729">
            <v>50</v>
          </cell>
          <cell r="M3729">
            <v>8</v>
          </cell>
        </row>
        <row r="3730">
          <cell r="A3730">
            <v>59</v>
          </cell>
          <cell r="M3730">
            <v>4</v>
          </cell>
        </row>
        <row r="3731">
          <cell r="A3731">
            <v>56</v>
          </cell>
          <cell r="M3731">
            <v>4</v>
          </cell>
        </row>
        <row r="3732">
          <cell r="M3732">
            <v>0</v>
          </cell>
        </row>
        <row r="3733">
          <cell r="M3733">
            <v>0</v>
          </cell>
        </row>
        <row r="3734">
          <cell r="M3734">
            <v>0</v>
          </cell>
        </row>
        <row r="3735">
          <cell r="M3735">
            <v>0</v>
          </cell>
        </row>
        <row r="3736">
          <cell r="M3736">
            <v>0</v>
          </cell>
        </row>
        <row r="3737">
          <cell r="M3737">
            <v>0</v>
          </cell>
        </row>
        <row r="3738">
          <cell r="M3738">
            <v>0</v>
          </cell>
        </row>
        <row r="3739">
          <cell r="M3739">
            <v>0</v>
          </cell>
        </row>
        <row r="3740">
          <cell r="A3740" t="str">
            <v>S170</v>
          </cell>
          <cell r="M3740">
            <v>0</v>
          </cell>
        </row>
        <row r="3743">
          <cell r="M3743">
            <v>8</v>
          </cell>
        </row>
        <row r="3746">
          <cell r="A3746">
            <v>26</v>
          </cell>
          <cell r="M3746">
            <v>0.152</v>
          </cell>
        </row>
        <row r="3747">
          <cell r="A3747">
            <v>189</v>
          </cell>
          <cell r="M3747">
            <v>8.4</v>
          </cell>
        </row>
        <row r="3748">
          <cell r="M3748">
            <v>0</v>
          </cell>
        </row>
        <row r="3749">
          <cell r="M3749">
            <v>0</v>
          </cell>
        </row>
        <row r="3750">
          <cell r="M3750">
            <v>0</v>
          </cell>
        </row>
        <row r="3751">
          <cell r="M3751">
            <v>0</v>
          </cell>
        </row>
        <row r="3752">
          <cell r="M3752">
            <v>0</v>
          </cell>
        </row>
        <row r="3753">
          <cell r="M3753">
            <v>0</v>
          </cell>
        </row>
        <row r="3754">
          <cell r="M3754">
            <v>0</v>
          </cell>
        </row>
        <row r="3755">
          <cell r="M3755">
            <v>0</v>
          </cell>
        </row>
        <row r="3756">
          <cell r="M3756">
            <v>0</v>
          </cell>
        </row>
        <row r="3757">
          <cell r="M3757">
            <v>0</v>
          </cell>
        </row>
        <row r="3758">
          <cell r="M3758">
            <v>0</v>
          </cell>
        </row>
        <row r="3759">
          <cell r="M3759">
            <v>0</v>
          </cell>
        </row>
        <row r="3760">
          <cell r="M3760">
            <v>0</v>
          </cell>
        </row>
        <row r="3761">
          <cell r="M3761">
            <v>0</v>
          </cell>
        </row>
        <row r="3762">
          <cell r="A3762" t="str">
            <v>S171</v>
          </cell>
          <cell r="M3762">
            <v>0</v>
          </cell>
        </row>
        <row r="3765">
          <cell r="M3765">
            <v>36</v>
          </cell>
        </row>
        <row r="3768">
          <cell r="A3768">
            <v>26</v>
          </cell>
          <cell r="M3768">
            <v>3.528</v>
          </cell>
        </row>
        <row r="3769">
          <cell r="A3769">
            <v>192</v>
          </cell>
          <cell r="M3769">
            <v>37.800000000000004</v>
          </cell>
        </row>
        <row r="3770">
          <cell r="M3770">
            <v>0</v>
          </cell>
        </row>
        <row r="3771">
          <cell r="M3771">
            <v>0</v>
          </cell>
        </row>
        <row r="3772">
          <cell r="M3772">
            <v>0</v>
          </cell>
        </row>
        <row r="3773">
          <cell r="M3773">
            <v>0</v>
          </cell>
        </row>
        <row r="3774">
          <cell r="M3774">
            <v>0</v>
          </cell>
        </row>
        <row r="3775">
          <cell r="M3775">
            <v>0</v>
          </cell>
        </row>
        <row r="3776">
          <cell r="M3776">
            <v>0</v>
          </cell>
        </row>
        <row r="3777">
          <cell r="M3777">
            <v>0</v>
          </cell>
        </row>
        <row r="3778">
          <cell r="M3778">
            <v>0</v>
          </cell>
        </row>
        <row r="3779">
          <cell r="M3779">
            <v>0</v>
          </cell>
        </row>
        <row r="3780">
          <cell r="M3780">
            <v>0</v>
          </cell>
        </row>
        <row r="3781">
          <cell r="M3781">
            <v>0</v>
          </cell>
        </row>
        <row r="3782">
          <cell r="M3782">
            <v>0</v>
          </cell>
        </row>
        <row r="3783">
          <cell r="M3783">
            <v>0</v>
          </cell>
        </row>
        <row r="3784">
          <cell r="A3784" t="str">
            <v>S172</v>
          </cell>
          <cell r="M3784">
            <v>0</v>
          </cell>
        </row>
        <row r="3787">
          <cell r="M3787">
            <v>26</v>
          </cell>
        </row>
        <row r="3790">
          <cell r="A3790">
            <v>26</v>
          </cell>
          <cell r="M3790">
            <v>2.1840000000000002</v>
          </cell>
        </row>
        <row r="3791">
          <cell r="A3791">
            <v>193</v>
          </cell>
          <cell r="M3791">
            <v>27.3</v>
          </cell>
        </row>
        <row r="3792">
          <cell r="M3792">
            <v>0</v>
          </cell>
        </row>
        <row r="3793">
          <cell r="M3793">
            <v>0</v>
          </cell>
        </row>
        <row r="3794">
          <cell r="M3794">
            <v>0</v>
          </cell>
        </row>
        <row r="3795">
          <cell r="M3795">
            <v>0</v>
          </cell>
        </row>
        <row r="3796">
          <cell r="M3796">
            <v>0</v>
          </cell>
        </row>
        <row r="3797">
          <cell r="M3797">
            <v>0</v>
          </cell>
        </row>
        <row r="3798">
          <cell r="M3798">
            <v>0</v>
          </cell>
        </row>
        <row r="3799">
          <cell r="M3799">
            <v>0</v>
          </cell>
        </row>
        <row r="3800">
          <cell r="M3800">
            <v>0</v>
          </cell>
        </row>
        <row r="3801">
          <cell r="M3801">
            <v>0</v>
          </cell>
        </row>
        <row r="3802">
          <cell r="M3802">
            <v>0</v>
          </cell>
        </row>
        <row r="3803">
          <cell r="M3803">
            <v>0</v>
          </cell>
        </row>
        <row r="3804">
          <cell r="M3804">
            <v>0</v>
          </cell>
        </row>
        <row r="3805">
          <cell r="M3805">
            <v>0</v>
          </cell>
        </row>
        <row r="3806">
          <cell r="A3806" t="str">
            <v>S173</v>
          </cell>
          <cell r="M3806">
            <v>0</v>
          </cell>
        </row>
        <row r="3809">
          <cell r="M3809">
            <v>2</v>
          </cell>
        </row>
        <row r="3812">
          <cell r="A3812">
            <v>13</v>
          </cell>
          <cell r="M3812">
            <v>0.5</v>
          </cell>
        </row>
        <row r="3813">
          <cell r="A3813">
            <v>15</v>
          </cell>
          <cell r="M3813">
            <v>0.5</v>
          </cell>
        </row>
        <row r="3814">
          <cell r="M3814">
            <v>0</v>
          </cell>
        </row>
        <row r="3815">
          <cell r="M3815">
            <v>0</v>
          </cell>
        </row>
        <row r="3816">
          <cell r="M3816">
            <v>0</v>
          </cell>
        </row>
        <row r="3817">
          <cell r="M3817">
            <v>0</v>
          </cell>
        </row>
        <row r="3818">
          <cell r="M3818">
            <v>0</v>
          </cell>
        </row>
        <row r="3819">
          <cell r="M3819">
            <v>0</v>
          </cell>
        </row>
        <row r="3820">
          <cell r="M3820">
            <v>0</v>
          </cell>
        </row>
        <row r="3821">
          <cell r="M3821">
            <v>0</v>
          </cell>
        </row>
        <row r="3822">
          <cell r="M3822">
            <v>0</v>
          </cell>
        </row>
        <row r="3823">
          <cell r="M3823">
            <v>0</v>
          </cell>
        </row>
        <row r="3824">
          <cell r="M3824">
            <v>0</v>
          </cell>
        </row>
        <row r="3825">
          <cell r="M3825">
            <v>0</v>
          </cell>
        </row>
        <row r="3826">
          <cell r="M3826">
            <v>0</v>
          </cell>
        </row>
        <row r="3827">
          <cell r="M3827">
            <v>0</v>
          </cell>
        </row>
        <row r="3828">
          <cell r="A3828" t="str">
            <v>S174</v>
          </cell>
          <cell r="M3828">
            <v>0</v>
          </cell>
        </row>
        <row r="3831">
          <cell r="M3831">
            <v>2</v>
          </cell>
        </row>
        <row r="3834">
          <cell r="A3834">
            <v>13</v>
          </cell>
          <cell r="M3834">
            <v>0.5</v>
          </cell>
        </row>
        <row r="3835">
          <cell r="A3835">
            <v>15</v>
          </cell>
          <cell r="M3835">
            <v>0.5</v>
          </cell>
        </row>
        <row r="3836">
          <cell r="M3836">
            <v>0</v>
          </cell>
        </row>
        <row r="3837">
          <cell r="M3837">
            <v>0</v>
          </cell>
        </row>
        <row r="3838">
          <cell r="M3838">
            <v>0</v>
          </cell>
        </row>
        <row r="3839">
          <cell r="M3839">
            <v>0</v>
          </cell>
        </row>
        <row r="3840">
          <cell r="M3840">
            <v>0</v>
          </cell>
        </row>
        <row r="3841">
          <cell r="M3841">
            <v>0</v>
          </cell>
        </row>
        <row r="3842">
          <cell r="M3842">
            <v>0</v>
          </cell>
        </row>
        <row r="3843">
          <cell r="M3843">
            <v>0</v>
          </cell>
        </row>
        <row r="3844">
          <cell r="M3844">
            <v>0</v>
          </cell>
        </row>
        <row r="3845">
          <cell r="M3845">
            <v>0</v>
          </cell>
        </row>
        <row r="3846">
          <cell r="M3846">
            <v>0</v>
          </cell>
        </row>
        <row r="3847">
          <cell r="M3847">
            <v>0</v>
          </cell>
        </row>
        <row r="3848">
          <cell r="M3848">
            <v>0</v>
          </cell>
        </row>
        <row r="3849">
          <cell r="M3849">
            <v>0</v>
          </cell>
        </row>
        <row r="3850">
          <cell r="A3850" t="str">
            <v>S175</v>
          </cell>
          <cell r="M3850">
            <v>0</v>
          </cell>
        </row>
        <row r="3853">
          <cell r="M3853">
            <v>0.5</v>
          </cell>
        </row>
        <row r="3856">
          <cell r="A3856">
            <v>15</v>
          </cell>
          <cell r="M3856">
            <v>1.2050000000000001</v>
          </cell>
        </row>
        <row r="3857">
          <cell r="A3857">
            <v>23</v>
          </cell>
          <cell r="M3857">
            <v>0.47499999999999998</v>
          </cell>
        </row>
        <row r="3858">
          <cell r="A3858">
            <v>1154</v>
          </cell>
          <cell r="M3858">
            <v>51.5</v>
          </cell>
        </row>
        <row r="3859">
          <cell r="M3859">
            <v>0</v>
          </cell>
        </row>
        <row r="3860">
          <cell r="M3860">
            <v>0</v>
          </cell>
        </row>
        <row r="3861">
          <cell r="M3861">
            <v>0</v>
          </cell>
        </row>
        <row r="3862">
          <cell r="M3862">
            <v>0</v>
          </cell>
        </row>
        <row r="3863">
          <cell r="M3863">
            <v>0</v>
          </cell>
        </row>
        <row r="3864">
          <cell r="M3864">
            <v>0</v>
          </cell>
        </row>
        <row r="3865">
          <cell r="M3865">
            <v>0</v>
          </cell>
        </row>
        <row r="3866">
          <cell r="M3866">
            <v>0</v>
          </cell>
        </row>
        <row r="3867">
          <cell r="M3867">
            <v>0</v>
          </cell>
        </row>
        <row r="3868">
          <cell r="M3868">
            <v>0</v>
          </cell>
        </row>
        <row r="3869">
          <cell r="M3869">
            <v>0</v>
          </cell>
        </row>
        <row r="3870">
          <cell r="M3870">
            <v>0</v>
          </cell>
        </row>
        <row r="3871">
          <cell r="M3871">
            <v>0</v>
          </cell>
        </row>
        <row r="3872">
          <cell r="A3872" t="str">
            <v>S176</v>
          </cell>
          <cell r="M3872">
            <v>0</v>
          </cell>
        </row>
        <row r="3875">
          <cell r="M3875">
            <v>8</v>
          </cell>
        </row>
        <row r="3878">
          <cell r="A3878">
            <v>17</v>
          </cell>
          <cell r="M3878">
            <v>1.04</v>
          </cell>
        </row>
        <row r="3879">
          <cell r="A3879">
            <v>23</v>
          </cell>
          <cell r="M3879">
            <v>1.36</v>
          </cell>
        </row>
        <row r="3880">
          <cell r="A3880">
            <v>270</v>
          </cell>
          <cell r="M3880">
            <v>4</v>
          </cell>
        </row>
        <row r="3881">
          <cell r="M3881">
            <v>0</v>
          </cell>
        </row>
        <row r="3882">
          <cell r="M3882">
            <v>0</v>
          </cell>
        </row>
        <row r="3883">
          <cell r="M3883">
            <v>0</v>
          </cell>
        </row>
        <row r="3884">
          <cell r="M3884">
            <v>0</v>
          </cell>
        </row>
        <row r="3885">
          <cell r="M3885">
            <v>0</v>
          </cell>
        </row>
        <row r="3886">
          <cell r="M3886">
            <v>0</v>
          </cell>
        </row>
        <row r="3887">
          <cell r="M3887">
            <v>0</v>
          </cell>
        </row>
        <row r="3888">
          <cell r="M3888">
            <v>0</v>
          </cell>
        </row>
        <row r="3889">
          <cell r="M3889">
            <v>0</v>
          </cell>
        </row>
        <row r="3890">
          <cell r="M3890">
            <v>0</v>
          </cell>
        </row>
        <row r="3891">
          <cell r="M3891">
            <v>0</v>
          </cell>
        </row>
        <row r="3892">
          <cell r="M3892">
            <v>0</v>
          </cell>
        </row>
        <row r="3893">
          <cell r="M3893">
            <v>0</v>
          </cell>
        </row>
        <row r="3894">
          <cell r="A3894" t="str">
            <v>S177</v>
          </cell>
          <cell r="M3894">
            <v>0</v>
          </cell>
        </row>
        <row r="3897">
          <cell r="M3897">
            <v>5</v>
          </cell>
        </row>
        <row r="3900">
          <cell r="A3900">
            <v>11</v>
          </cell>
          <cell r="M3900">
            <v>2.3499999999999996</v>
          </cell>
        </row>
        <row r="3901">
          <cell r="A3901">
            <v>254</v>
          </cell>
          <cell r="M3901">
            <v>25</v>
          </cell>
        </row>
        <row r="3902">
          <cell r="A3902">
            <v>1035</v>
          </cell>
          <cell r="M3902">
            <v>51.5</v>
          </cell>
        </row>
        <row r="3903">
          <cell r="M3903">
            <v>0</v>
          </cell>
        </row>
        <row r="3904">
          <cell r="M3904">
            <v>0</v>
          </cell>
        </row>
        <row r="3905">
          <cell r="M3905">
            <v>0</v>
          </cell>
        </row>
        <row r="3906">
          <cell r="M3906">
            <v>0</v>
          </cell>
        </row>
        <row r="3907">
          <cell r="M3907">
            <v>0</v>
          </cell>
        </row>
        <row r="3908">
          <cell r="M3908">
            <v>0</v>
          </cell>
        </row>
        <row r="3909">
          <cell r="M3909">
            <v>0</v>
          </cell>
        </row>
        <row r="3910">
          <cell r="M3910">
            <v>0</v>
          </cell>
        </row>
        <row r="3911">
          <cell r="M3911">
            <v>0</v>
          </cell>
        </row>
        <row r="3912">
          <cell r="M3912">
            <v>0</v>
          </cell>
        </row>
        <row r="3913">
          <cell r="M3913">
            <v>0</v>
          </cell>
        </row>
        <row r="3914">
          <cell r="M3914">
            <v>0</v>
          </cell>
        </row>
        <row r="3915">
          <cell r="M3915">
            <v>0</v>
          </cell>
        </row>
        <row r="3916">
          <cell r="A3916" t="str">
            <v>S178</v>
          </cell>
          <cell r="M3916">
            <v>0</v>
          </cell>
        </row>
        <row r="3919">
          <cell r="M3919">
            <v>9.6</v>
          </cell>
        </row>
        <row r="3922">
          <cell r="A3922">
            <v>11</v>
          </cell>
          <cell r="M3922">
            <v>15.552</v>
          </cell>
        </row>
        <row r="3923">
          <cell r="A3923">
            <v>254</v>
          </cell>
          <cell r="M3923">
            <v>48</v>
          </cell>
        </row>
        <row r="3924">
          <cell r="A3924">
            <v>351</v>
          </cell>
          <cell r="M3924">
            <v>98.88000000000001</v>
          </cell>
        </row>
        <row r="3925">
          <cell r="M3925">
            <v>0</v>
          </cell>
        </row>
        <row r="3926">
          <cell r="M3926">
            <v>0</v>
          </cell>
        </row>
        <row r="3927">
          <cell r="M3927">
            <v>0</v>
          </cell>
        </row>
        <row r="3928">
          <cell r="M3928">
            <v>0</v>
          </cell>
        </row>
        <row r="3929">
          <cell r="M3929">
            <v>0</v>
          </cell>
        </row>
        <row r="3930">
          <cell r="M3930">
            <v>0</v>
          </cell>
        </row>
        <row r="3931">
          <cell r="M3931">
            <v>0</v>
          </cell>
        </row>
        <row r="3932">
          <cell r="M3932">
            <v>0</v>
          </cell>
        </row>
        <row r="3933">
          <cell r="M3933">
            <v>0</v>
          </cell>
        </row>
        <row r="3934">
          <cell r="M3934">
            <v>0</v>
          </cell>
        </row>
        <row r="3935">
          <cell r="M3935">
            <v>0</v>
          </cell>
        </row>
        <row r="3936">
          <cell r="M3936">
            <v>0</v>
          </cell>
        </row>
        <row r="3937">
          <cell r="M3937">
            <v>0</v>
          </cell>
        </row>
        <row r="3938">
          <cell r="A3938" t="str">
            <v>S179</v>
          </cell>
          <cell r="M3938">
            <v>0</v>
          </cell>
        </row>
        <row r="3941">
          <cell r="M3941">
            <v>3.5</v>
          </cell>
        </row>
        <row r="3944">
          <cell r="A3944">
            <v>11</v>
          </cell>
          <cell r="M3944">
            <v>5.67</v>
          </cell>
        </row>
        <row r="3945">
          <cell r="A3945">
            <v>254</v>
          </cell>
          <cell r="M3945">
            <v>17.5</v>
          </cell>
        </row>
        <row r="3946">
          <cell r="A3946">
            <v>352</v>
          </cell>
          <cell r="M3946">
            <v>36.050000000000004</v>
          </cell>
        </row>
        <row r="3947">
          <cell r="M3947">
            <v>0</v>
          </cell>
        </row>
        <row r="3948">
          <cell r="M3948">
            <v>0</v>
          </cell>
        </row>
        <row r="3949">
          <cell r="M3949">
            <v>0</v>
          </cell>
        </row>
        <row r="3950">
          <cell r="M3950">
            <v>0</v>
          </cell>
        </row>
        <row r="3951">
          <cell r="M3951">
            <v>0</v>
          </cell>
        </row>
        <row r="3952">
          <cell r="M3952">
            <v>0</v>
          </cell>
        </row>
        <row r="3953">
          <cell r="M3953">
            <v>0</v>
          </cell>
        </row>
        <row r="3954">
          <cell r="M3954">
            <v>0</v>
          </cell>
        </row>
        <row r="3955">
          <cell r="M3955">
            <v>0</v>
          </cell>
        </row>
        <row r="3956">
          <cell r="M3956">
            <v>0</v>
          </cell>
        </row>
        <row r="3957">
          <cell r="M3957">
            <v>0</v>
          </cell>
        </row>
        <row r="3958">
          <cell r="M3958">
            <v>0</v>
          </cell>
        </row>
        <row r="3959">
          <cell r="M3959">
            <v>0</v>
          </cell>
        </row>
        <row r="3960">
          <cell r="A3960" t="str">
            <v>S180</v>
          </cell>
          <cell r="M3960">
            <v>0</v>
          </cell>
        </row>
        <row r="3963">
          <cell r="M3963">
            <v>8.5</v>
          </cell>
        </row>
        <row r="3966">
          <cell r="A3966">
            <v>11</v>
          </cell>
          <cell r="M3966">
            <v>3.9949999999999997</v>
          </cell>
        </row>
        <row r="3967">
          <cell r="A3967">
            <v>254</v>
          </cell>
          <cell r="M3967">
            <v>42.5</v>
          </cell>
        </row>
        <row r="3968">
          <cell r="A3968">
            <v>354</v>
          </cell>
          <cell r="M3968">
            <v>87.550000000000011</v>
          </cell>
        </row>
        <row r="3969">
          <cell r="M3969">
            <v>0</v>
          </cell>
        </row>
        <row r="3970">
          <cell r="M3970">
            <v>0</v>
          </cell>
        </row>
        <row r="3971">
          <cell r="M3971">
            <v>0</v>
          </cell>
        </row>
        <row r="3972">
          <cell r="M3972">
            <v>0</v>
          </cell>
        </row>
        <row r="3973">
          <cell r="M3973">
            <v>0</v>
          </cell>
        </row>
        <row r="3974">
          <cell r="M3974">
            <v>0</v>
          </cell>
        </row>
        <row r="3975">
          <cell r="M3975">
            <v>0</v>
          </cell>
        </row>
        <row r="3976">
          <cell r="M3976">
            <v>0</v>
          </cell>
        </row>
        <row r="3977">
          <cell r="M3977">
            <v>0</v>
          </cell>
        </row>
        <row r="3978">
          <cell r="M3978">
            <v>0</v>
          </cell>
        </row>
        <row r="3979">
          <cell r="M3979">
            <v>0</v>
          </cell>
        </row>
        <row r="3980">
          <cell r="M3980">
            <v>0</v>
          </cell>
        </row>
        <row r="3981">
          <cell r="M3981">
            <v>0</v>
          </cell>
        </row>
        <row r="3982">
          <cell r="A3982" t="str">
            <v>S181</v>
          </cell>
          <cell r="M3982">
            <v>0</v>
          </cell>
        </row>
        <row r="3985">
          <cell r="M3985">
            <v>4.4000000000000004</v>
          </cell>
        </row>
        <row r="3988">
          <cell r="A3988">
            <v>11</v>
          </cell>
          <cell r="M3988">
            <v>2.64</v>
          </cell>
        </row>
        <row r="3989">
          <cell r="A3989">
            <v>15</v>
          </cell>
          <cell r="M3989">
            <v>1.32</v>
          </cell>
        </row>
        <row r="3990">
          <cell r="M3990">
            <v>0</v>
          </cell>
        </row>
        <row r="3991">
          <cell r="M3991">
            <v>0</v>
          </cell>
        </row>
        <row r="3992">
          <cell r="M3992">
            <v>0</v>
          </cell>
        </row>
        <row r="3993">
          <cell r="M3993">
            <v>0</v>
          </cell>
        </row>
        <row r="3994">
          <cell r="M3994">
            <v>0</v>
          </cell>
        </row>
        <row r="3995">
          <cell r="M3995">
            <v>0</v>
          </cell>
        </row>
        <row r="3996">
          <cell r="M3996">
            <v>0</v>
          </cell>
        </row>
        <row r="3997">
          <cell r="M3997">
            <v>0</v>
          </cell>
        </row>
        <row r="3998">
          <cell r="M3998">
            <v>0</v>
          </cell>
        </row>
        <row r="3999">
          <cell r="M3999">
            <v>0</v>
          </cell>
        </row>
        <row r="4000">
          <cell r="M4000">
            <v>0</v>
          </cell>
        </row>
        <row r="4001">
          <cell r="M4001">
            <v>0</v>
          </cell>
        </row>
        <row r="4002">
          <cell r="M4002">
            <v>0</v>
          </cell>
        </row>
        <row r="4003">
          <cell r="M4003">
            <v>0</v>
          </cell>
        </row>
        <row r="4004">
          <cell r="A4004" t="str">
            <v>S182</v>
          </cell>
          <cell r="M4004">
            <v>0</v>
          </cell>
        </row>
        <row r="4007">
          <cell r="M4007">
            <v>2</v>
          </cell>
        </row>
        <row r="4010">
          <cell r="A4010">
            <v>14</v>
          </cell>
          <cell r="M4010">
            <v>1</v>
          </cell>
        </row>
        <row r="4011">
          <cell r="A4011">
            <v>15</v>
          </cell>
          <cell r="M4011">
            <v>1</v>
          </cell>
        </row>
        <row r="4012">
          <cell r="A4012">
            <v>400</v>
          </cell>
          <cell r="M4012">
            <v>2</v>
          </cell>
        </row>
        <row r="4013">
          <cell r="M4013">
            <v>0</v>
          </cell>
        </row>
        <row r="4014">
          <cell r="M4014">
            <v>0</v>
          </cell>
        </row>
        <row r="4015">
          <cell r="M4015">
            <v>0</v>
          </cell>
        </row>
        <row r="4016">
          <cell r="M4016">
            <v>0</v>
          </cell>
        </row>
        <row r="4017">
          <cell r="M4017">
            <v>0</v>
          </cell>
        </row>
        <row r="4018">
          <cell r="M4018">
            <v>0</v>
          </cell>
        </row>
        <row r="4019">
          <cell r="M4019">
            <v>0</v>
          </cell>
        </row>
        <row r="4020">
          <cell r="M4020">
            <v>0</v>
          </cell>
        </row>
        <row r="4021">
          <cell r="M4021">
            <v>0</v>
          </cell>
        </row>
        <row r="4022">
          <cell r="M4022">
            <v>0</v>
          </cell>
        </row>
        <row r="4023">
          <cell r="M4023">
            <v>0</v>
          </cell>
        </row>
        <row r="4024">
          <cell r="M4024">
            <v>0</v>
          </cell>
        </row>
        <row r="4025">
          <cell r="M4025">
            <v>0</v>
          </cell>
        </row>
        <row r="4026">
          <cell r="A4026" t="str">
            <v>S183</v>
          </cell>
          <cell r="M4026">
            <v>0</v>
          </cell>
        </row>
        <row r="4029">
          <cell r="M4029">
            <v>9</v>
          </cell>
        </row>
        <row r="4032">
          <cell r="A4032">
            <v>11</v>
          </cell>
          <cell r="M4032">
            <v>4.95</v>
          </cell>
        </row>
        <row r="4033">
          <cell r="M4033">
            <v>0</v>
          </cell>
        </row>
        <row r="4034">
          <cell r="M4034">
            <v>0</v>
          </cell>
        </row>
        <row r="4035">
          <cell r="M4035">
            <v>0</v>
          </cell>
        </row>
        <row r="4036">
          <cell r="M4036">
            <v>0</v>
          </cell>
        </row>
        <row r="4037">
          <cell r="M4037">
            <v>0</v>
          </cell>
        </row>
        <row r="4038">
          <cell r="M4038">
            <v>0</v>
          </cell>
        </row>
        <row r="4039">
          <cell r="M4039">
            <v>0</v>
          </cell>
        </row>
        <row r="4040">
          <cell r="M4040">
            <v>0</v>
          </cell>
        </row>
        <row r="4041">
          <cell r="M4041">
            <v>0</v>
          </cell>
        </row>
        <row r="4042">
          <cell r="M4042">
            <v>0</v>
          </cell>
        </row>
        <row r="4043">
          <cell r="M4043">
            <v>0</v>
          </cell>
        </row>
        <row r="4044">
          <cell r="M4044">
            <v>0</v>
          </cell>
        </row>
        <row r="4045">
          <cell r="M4045">
            <v>0</v>
          </cell>
        </row>
        <row r="4046">
          <cell r="M4046">
            <v>0</v>
          </cell>
        </row>
        <row r="4047">
          <cell r="M4047">
            <v>0</v>
          </cell>
        </row>
        <row r="4048">
          <cell r="A4048" t="str">
            <v>S184</v>
          </cell>
          <cell r="M4048">
            <v>0</v>
          </cell>
        </row>
        <row r="4051">
          <cell r="M4051">
            <v>0</v>
          </cell>
        </row>
        <row r="4054">
          <cell r="M4054">
            <v>0</v>
          </cell>
        </row>
        <row r="4055">
          <cell r="M4055">
            <v>0</v>
          </cell>
        </row>
        <row r="4056">
          <cell r="M4056">
            <v>0</v>
          </cell>
        </row>
        <row r="4057">
          <cell r="M4057">
            <v>0</v>
          </cell>
        </row>
        <row r="4058">
          <cell r="M4058">
            <v>0</v>
          </cell>
        </row>
        <row r="4059">
          <cell r="M4059">
            <v>0</v>
          </cell>
        </row>
        <row r="4060">
          <cell r="M4060">
            <v>0</v>
          </cell>
        </row>
        <row r="4061">
          <cell r="M4061">
            <v>0</v>
          </cell>
        </row>
        <row r="4062">
          <cell r="M4062">
            <v>0</v>
          </cell>
        </row>
        <row r="4063">
          <cell r="M4063">
            <v>0</v>
          </cell>
        </row>
        <row r="4064">
          <cell r="M4064">
            <v>0</v>
          </cell>
        </row>
        <row r="4065">
          <cell r="M4065">
            <v>0</v>
          </cell>
        </row>
        <row r="4066">
          <cell r="M4066">
            <v>0</v>
          </cell>
        </row>
        <row r="4067">
          <cell r="M4067">
            <v>0</v>
          </cell>
        </row>
        <row r="4068">
          <cell r="M4068">
            <v>0</v>
          </cell>
        </row>
        <row r="4069">
          <cell r="M4069">
            <v>0</v>
          </cell>
        </row>
        <row r="4070">
          <cell r="M4070">
            <v>0</v>
          </cell>
        </row>
        <row r="4073">
          <cell r="M4073">
            <v>0</v>
          </cell>
        </row>
        <row r="4076">
          <cell r="M4076">
            <v>0</v>
          </cell>
        </row>
        <row r="4077">
          <cell r="M4077">
            <v>0</v>
          </cell>
        </row>
        <row r="4078">
          <cell r="M4078">
            <v>0</v>
          </cell>
        </row>
        <row r="4079">
          <cell r="M4079">
            <v>0</v>
          </cell>
        </row>
        <row r="4080">
          <cell r="M4080">
            <v>0</v>
          </cell>
        </row>
        <row r="4081">
          <cell r="M4081">
            <v>0</v>
          </cell>
        </row>
        <row r="4082">
          <cell r="M4082">
            <v>0</v>
          </cell>
        </row>
        <row r="4083">
          <cell r="M4083">
            <v>0</v>
          </cell>
        </row>
        <row r="4084">
          <cell r="M4084">
            <v>0</v>
          </cell>
        </row>
        <row r="4085">
          <cell r="M4085">
            <v>0</v>
          </cell>
        </row>
        <row r="4086">
          <cell r="M4086">
            <v>0</v>
          </cell>
        </row>
        <row r="4087">
          <cell r="M4087">
            <v>0</v>
          </cell>
        </row>
        <row r="4088">
          <cell r="M4088">
            <v>0</v>
          </cell>
        </row>
        <row r="4089">
          <cell r="M4089">
            <v>0</v>
          </cell>
        </row>
        <row r="4090">
          <cell r="M4090">
            <v>0</v>
          </cell>
        </row>
        <row r="4091">
          <cell r="M4091">
            <v>0</v>
          </cell>
        </row>
        <row r="4092">
          <cell r="M4092">
            <v>0</v>
          </cell>
        </row>
        <row r="4095">
          <cell r="M4095">
            <v>0</v>
          </cell>
        </row>
        <row r="4098">
          <cell r="M4098">
            <v>0</v>
          </cell>
        </row>
        <row r="4099">
          <cell r="M4099">
            <v>0</v>
          </cell>
        </row>
        <row r="4100">
          <cell r="M4100">
            <v>0</v>
          </cell>
        </row>
        <row r="4101">
          <cell r="M4101">
            <v>0</v>
          </cell>
        </row>
        <row r="4102">
          <cell r="M4102">
            <v>0</v>
          </cell>
        </row>
        <row r="4103">
          <cell r="M4103">
            <v>0</v>
          </cell>
        </row>
        <row r="4104">
          <cell r="M4104">
            <v>0</v>
          </cell>
        </row>
        <row r="4105">
          <cell r="M4105">
            <v>0</v>
          </cell>
        </row>
        <row r="4106">
          <cell r="M4106">
            <v>0</v>
          </cell>
        </row>
        <row r="4107">
          <cell r="M4107">
            <v>0</v>
          </cell>
        </row>
        <row r="4108">
          <cell r="M4108">
            <v>0</v>
          </cell>
        </row>
        <row r="4109">
          <cell r="M4109">
            <v>0</v>
          </cell>
        </row>
        <row r="4110">
          <cell r="M4110">
            <v>0</v>
          </cell>
        </row>
        <row r="4111">
          <cell r="M4111">
            <v>0</v>
          </cell>
        </row>
        <row r="4112">
          <cell r="M4112">
            <v>0</v>
          </cell>
        </row>
        <row r="4113">
          <cell r="M4113">
            <v>0</v>
          </cell>
        </row>
        <row r="4114">
          <cell r="M4114">
            <v>0</v>
          </cell>
        </row>
        <row r="4117">
          <cell r="M4117">
            <v>0</v>
          </cell>
        </row>
        <row r="4120">
          <cell r="M4120">
            <v>0</v>
          </cell>
        </row>
        <row r="4121">
          <cell r="M4121">
            <v>0</v>
          </cell>
        </row>
        <row r="4122">
          <cell r="M4122">
            <v>0</v>
          </cell>
        </row>
        <row r="4123">
          <cell r="M4123">
            <v>0</v>
          </cell>
        </row>
        <row r="4124">
          <cell r="M4124">
            <v>0</v>
          </cell>
        </row>
        <row r="4125">
          <cell r="M4125">
            <v>0</v>
          </cell>
        </row>
        <row r="4126">
          <cell r="M4126">
            <v>0</v>
          </cell>
        </row>
        <row r="4127">
          <cell r="M4127">
            <v>0</v>
          </cell>
        </row>
        <row r="4128">
          <cell r="M4128">
            <v>0</v>
          </cell>
        </row>
        <row r="4129">
          <cell r="M4129">
            <v>0</v>
          </cell>
        </row>
        <row r="4130">
          <cell r="M4130">
            <v>0</v>
          </cell>
        </row>
        <row r="4131">
          <cell r="M4131">
            <v>0</v>
          </cell>
        </row>
        <row r="4132">
          <cell r="M4132">
            <v>0</v>
          </cell>
        </row>
        <row r="4133">
          <cell r="M4133">
            <v>0</v>
          </cell>
        </row>
        <row r="4134">
          <cell r="M4134">
            <v>0</v>
          </cell>
        </row>
        <row r="4135">
          <cell r="M4135">
            <v>0</v>
          </cell>
        </row>
        <row r="4136">
          <cell r="M4136">
            <v>0</v>
          </cell>
        </row>
        <row r="4139">
          <cell r="M4139">
            <v>0</v>
          </cell>
        </row>
        <row r="4142">
          <cell r="M4142">
            <v>0</v>
          </cell>
        </row>
        <row r="4143">
          <cell r="M4143">
            <v>0</v>
          </cell>
        </row>
        <row r="4144">
          <cell r="M4144">
            <v>0</v>
          </cell>
        </row>
        <row r="4145">
          <cell r="M4145">
            <v>0</v>
          </cell>
        </row>
        <row r="4146">
          <cell r="M4146">
            <v>0</v>
          </cell>
        </row>
        <row r="4147">
          <cell r="M4147">
            <v>0</v>
          </cell>
        </row>
        <row r="4148">
          <cell r="M4148">
            <v>0</v>
          </cell>
        </row>
        <row r="4149">
          <cell r="M4149">
            <v>0</v>
          </cell>
        </row>
        <row r="4150">
          <cell r="M4150">
            <v>0</v>
          </cell>
        </row>
        <row r="4151">
          <cell r="M4151">
            <v>0</v>
          </cell>
        </row>
        <row r="4152">
          <cell r="M4152">
            <v>0</v>
          </cell>
        </row>
        <row r="4153">
          <cell r="M4153">
            <v>0</v>
          </cell>
        </row>
        <row r="4154">
          <cell r="M4154">
            <v>0</v>
          </cell>
        </row>
        <row r="4155">
          <cell r="M4155">
            <v>0</v>
          </cell>
        </row>
        <row r="4156">
          <cell r="M4156">
            <v>0</v>
          </cell>
        </row>
        <row r="4157">
          <cell r="M4157">
            <v>0</v>
          </cell>
        </row>
        <row r="4158">
          <cell r="M4158">
            <v>0</v>
          </cell>
        </row>
        <row r="4161">
          <cell r="M4161">
            <v>0</v>
          </cell>
        </row>
        <row r="4164">
          <cell r="M4164">
            <v>0</v>
          </cell>
        </row>
        <row r="4165">
          <cell r="M4165">
            <v>0</v>
          </cell>
        </row>
        <row r="4166">
          <cell r="M4166">
            <v>0</v>
          </cell>
        </row>
        <row r="4167">
          <cell r="M4167">
            <v>0</v>
          </cell>
        </row>
        <row r="4168">
          <cell r="M4168">
            <v>0</v>
          </cell>
        </row>
        <row r="4169">
          <cell r="M4169">
            <v>0</v>
          </cell>
        </row>
        <row r="4170">
          <cell r="M4170">
            <v>0</v>
          </cell>
        </row>
        <row r="4171">
          <cell r="M4171">
            <v>0</v>
          </cell>
        </row>
        <row r="4172">
          <cell r="M4172">
            <v>0</v>
          </cell>
        </row>
        <row r="4173">
          <cell r="M4173">
            <v>0</v>
          </cell>
        </row>
        <row r="4174">
          <cell r="M4174">
            <v>0</v>
          </cell>
        </row>
        <row r="4175">
          <cell r="M4175">
            <v>0</v>
          </cell>
        </row>
        <row r="4176">
          <cell r="M4176">
            <v>0</v>
          </cell>
        </row>
        <row r="4177">
          <cell r="M4177">
            <v>0</v>
          </cell>
        </row>
        <row r="4178">
          <cell r="M4178">
            <v>0</v>
          </cell>
        </row>
        <row r="4179">
          <cell r="M4179">
            <v>0</v>
          </cell>
        </row>
        <row r="4180">
          <cell r="M4180">
            <v>0</v>
          </cell>
        </row>
        <row r="4183">
          <cell r="M4183">
            <v>0</v>
          </cell>
        </row>
        <row r="4186">
          <cell r="M4186">
            <v>0</v>
          </cell>
        </row>
        <row r="4187">
          <cell r="M4187">
            <v>0</v>
          </cell>
        </row>
        <row r="4188">
          <cell r="M4188">
            <v>0</v>
          </cell>
        </row>
        <row r="4189">
          <cell r="M4189">
            <v>0</v>
          </cell>
        </row>
        <row r="4190">
          <cell r="M4190">
            <v>0</v>
          </cell>
        </row>
        <row r="4191">
          <cell r="M4191">
            <v>0</v>
          </cell>
        </row>
        <row r="4192">
          <cell r="M4192">
            <v>0</v>
          </cell>
        </row>
        <row r="4193">
          <cell r="M4193">
            <v>0</v>
          </cell>
        </row>
        <row r="4194">
          <cell r="M4194">
            <v>0</v>
          </cell>
        </row>
        <row r="4195">
          <cell r="M4195">
            <v>0</v>
          </cell>
        </row>
        <row r="4196">
          <cell r="M4196">
            <v>0</v>
          </cell>
        </row>
        <row r="4197">
          <cell r="M4197">
            <v>0</v>
          </cell>
        </row>
        <row r="4198">
          <cell r="M4198">
            <v>0</v>
          </cell>
        </row>
        <row r="4199">
          <cell r="M4199">
            <v>0</v>
          </cell>
        </row>
        <row r="4200">
          <cell r="M4200">
            <v>0</v>
          </cell>
        </row>
        <row r="4201">
          <cell r="M4201">
            <v>0</v>
          </cell>
        </row>
        <row r="4202">
          <cell r="M4202">
            <v>0</v>
          </cell>
        </row>
        <row r="4205">
          <cell r="M4205">
            <v>0</v>
          </cell>
        </row>
        <row r="4208">
          <cell r="M4208">
            <v>0</v>
          </cell>
        </row>
        <row r="4209">
          <cell r="M4209">
            <v>0</v>
          </cell>
        </row>
        <row r="4210">
          <cell r="M4210">
            <v>0</v>
          </cell>
        </row>
        <row r="4211">
          <cell r="M4211">
            <v>0</v>
          </cell>
        </row>
        <row r="4212">
          <cell r="M4212">
            <v>0</v>
          </cell>
        </row>
        <row r="4213">
          <cell r="M4213">
            <v>0</v>
          </cell>
        </row>
        <row r="4214">
          <cell r="M4214">
            <v>0</v>
          </cell>
        </row>
        <row r="4215">
          <cell r="M4215">
            <v>0</v>
          </cell>
        </row>
        <row r="4216">
          <cell r="M4216">
            <v>0</v>
          </cell>
        </row>
        <row r="4217">
          <cell r="M4217">
            <v>0</v>
          </cell>
        </row>
        <row r="4218">
          <cell r="M4218">
            <v>0</v>
          </cell>
        </row>
        <row r="4219">
          <cell r="M4219">
            <v>0</v>
          </cell>
        </row>
        <row r="4220">
          <cell r="M4220">
            <v>0</v>
          </cell>
        </row>
        <row r="4221">
          <cell r="M4221">
            <v>0</v>
          </cell>
        </row>
        <row r="4222">
          <cell r="M4222">
            <v>0</v>
          </cell>
        </row>
        <row r="4223">
          <cell r="M4223">
            <v>0</v>
          </cell>
        </row>
        <row r="4224">
          <cell r="M4224">
            <v>0</v>
          </cell>
        </row>
        <row r="4227">
          <cell r="M4227">
            <v>0</v>
          </cell>
        </row>
        <row r="4230">
          <cell r="M4230">
            <v>0</v>
          </cell>
        </row>
        <row r="4231">
          <cell r="M4231">
            <v>0</v>
          </cell>
        </row>
        <row r="4232">
          <cell r="M4232">
            <v>0</v>
          </cell>
        </row>
        <row r="4233">
          <cell r="M4233">
            <v>0</v>
          </cell>
        </row>
        <row r="4234">
          <cell r="M4234">
            <v>0</v>
          </cell>
        </row>
        <row r="4235">
          <cell r="M4235">
            <v>0</v>
          </cell>
        </row>
        <row r="4236">
          <cell r="M4236">
            <v>0</v>
          </cell>
        </row>
        <row r="4237">
          <cell r="M4237">
            <v>0</v>
          </cell>
        </row>
        <row r="4238">
          <cell r="M4238">
            <v>0</v>
          </cell>
        </row>
        <row r="4239">
          <cell r="M4239">
            <v>0</v>
          </cell>
        </row>
        <row r="4240">
          <cell r="M4240">
            <v>0</v>
          </cell>
        </row>
        <row r="4241">
          <cell r="M4241">
            <v>0</v>
          </cell>
        </row>
        <row r="4242">
          <cell r="M4242">
            <v>0</v>
          </cell>
        </row>
        <row r="4243">
          <cell r="M4243">
            <v>0</v>
          </cell>
        </row>
        <row r="4244">
          <cell r="M4244">
            <v>0</v>
          </cell>
        </row>
        <row r="4245">
          <cell r="M4245">
            <v>0</v>
          </cell>
        </row>
        <row r="4246">
          <cell r="M4246">
            <v>0</v>
          </cell>
        </row>
        <row r="4249">
          <cell r="M4249">
            <v>0</v>
          </cell>
        </row>
        <row r="4252">
          <cell r="M4252">
            <v>0</v>
          </cell>
        </row>
        <row r="4253">
          <cell r="M4253">
            <v>0</v>
          </cell>
        </row>
        <row r="4254">
          <cell r="M4254">
            <v>0</v>
          </cell>
        </row>
        <row r="4255">
          <cell r="M4255">
            <v>0</v>
          </cell>
        </row>
        <row r="4256">
          <cell r="M4256">
            <v>0</v>
          </cell>
        </row>
        <row r="4257">
          <cell r="M4257">
            <v>0</v>
          </cell>
        </row>
        <row r="4258">
          <cell r="M4258">
            <v>0</v>
          </cell>
        </row>
        <row r="4259">
          <cell r="M4259">
            <v>0</v>
          </cell>
        </row>
        <row r="4260">
          <cell r="M4260">
            <v>0</v>
          </cell>
        </row>
        <row r="4261">
          <cell r="M4261">
            <v>0</v>
          </cell>
        </row>
        <row r="4262">
          <cell r="M4262">
            <v>0</v>
          </cell>
        </row>
        <row r="4263">
          <cell r="M4263">
            <v>0</v>
          </cell>
        </row>
        <row r="4264">
          <cell r="M4264">
            <v>0</v>
          </cell>
        </row>
        <row r="4265">
          <cell r="M4265">
            <v>0</v>
          </cell>
        </row>
        <row r="4266">
          <cell r="M4266">
            <v>0</v>
          </cell>
        </row>
        <row r="4267">
          <cell r="M4267">
            <v>0</v>
          </cell>
        </row>
        <row r="4268">
          <cell r="M4268">
            <v>0</v>
          </cell>
        </row>
        <row r="4271">
          <cell r="M4271">
            <v>0</v>
          </cell>
        </row>
        <row r="4274">
          <cell r="M4274">
            <v>0</v>
          </cell>
        </row>
        <row r="4275">
          <cell r="M4275">
            <v>0</v>
          </cell>
        </row>
        <row r="4276">
          <cell r="M4276">
            <v>0</v>
          </cell>
        </row>
        <row r="4277">
          <cell r="M4277">
            <v>0</v>
          </cell>
        </row>
        <row r="4278">
          <cell r="M4278">
            <v>0</v>
          </cell>
        </row>
        <row r="4279">
          <cell r="M4279">
            <v>0</v>
          </cell>
        </row>
        <row r="4280">
          <cell r="M4280">
            <v>0</v>
          </cell>
        </row>
        <row r="4281">
          <cell r="M4281">
            <v>0</v>
          </cell>
        </row>
        <row r="4282">
          <cell r="M4282">
            <v>0</v>
          </cell>
        </row>
        <row r="4283">
          <cell r="M4283">
            <v>0</v>
          </cell>
        </row>
        <row r="4284">
          <cell r="M4284">
            <v>0</v>
          </cell>
        </row>
        <row r="4285">
          <cell r="M4285">
            <v>0</v>
          </cell>
        </row>
        <row r="4286">
          <cell r="M4286">
            <v>0</v>
          </cell>
        </row>
        <row r="4287">
          <cell r="M4287">
            <v>0</v>
          </cell>
        </row>
        <row r="4288">
          <cell r="M4288">
            <v>0</v>
          </cell>
        </row>
        <row r="4289">
          <cell r="M4289">
            <v>0</v>
          </cell>
        </row>
        <row r="4290">
          <cell r="M4290">
            <v>0</v>
          </cell>
        </row>
        <row r="4293">
          <cell r="M4293">
            <v>0</v>
          </cell>
        </row>
        <row r="4296">
          <cell r="M4296">
            <v>0</v>
          </cell>
        </row>
        <row r="4297">
          <cell r="M4297">
            <v>0</v>
          </cell>
        </row>
        <row r="4298">
          <cell r="M4298">
            <v>0</v>
          </cell>
        </row>
        <row r="4299">
          <cell r="M4299">
            <v>0</v>
          </cell>
        </row>
        <row r="4300">
          <cell r="M4300">
            <v>0</v>
          </cell>
        </row>
        <row r="4301">
          <cell r="M4301">
            <v>0</v>
          </cell>
        </row>
        <row r="4302">
          <cell r="M4302">
            <v>0</v>
          </cell>
        </row>
        <row r="4303">
          <cell r="M4303">
            <v>0</v>
          </cell>
        </row>
        <row r="4304">
          <cell r="M4304">
            <v>0</v>
          </cell>
        </row>
        <row r="4305">
          <cell r="M4305">
            <v>0</v>
          </cell>
        </row>
        <row r="4306">
          <cell r="M4306">
            <v>0</v>
          </cell>
        </row>
        <row r="4307">
          <cell r="M4307">
            <v>0</v>
          </cell>
        </row>
        <row r="4308">
          <cell r="M4308">
            <v>0</v>
          </cell>
        </row>
        <row r="4309">
          <cell r="M4309">
            <v>0</v>
          </cell>
        </row>
        <row r="4310">
          <cell r="M4310">
            <v>0</v>
          </cell>
        </row>
        <row r="4311">
          <cell r="M4311">
            <v>0</v>
          </cell>
        </row>
        <row r="4312">
          <cell r="M4312">
            <v>0</v>
          </cell>
        </row>
        <row r="4315">
          <cell r="M4315">
            <v>0</v>
          </cell>
        </row>
        <row r="4318">
          <cell r="M4318">
            <v>0</v>
          </cell>
        </row>
        <row r="4319">
          <cell r="M4319">
            <v>0</v>
          </cell>
        </row>
        <row r="4320">
          <cell r="M4320">
            <v>0</v>
          </cell>
        </row>
        <row r="4321">
          <cell r="M4321">
            <v>0</v>
          </cell>
        </row>
        <row r="4322">
          <cell r="M4322">
            <v>0</v>
          </cell>
        </row>
        <row r="4323">
          <cell r="M4323">
            <v>0</v>
          </cell>
        </row>
        <row r="4324">
          <cell r="M4324">
            <v>0</v>
          </cell>
        </row>
        <row r="4325">
          <cell r="M4325">
            <v>0</v>
          </cell>
        </row>
        <row r="4326">
          <cell r="M4326">
            <v>0</v>
          </cell>
        </row>
        <row r="4327">
          <cell r="M4327">
            <v>0</v>
          </cell>
        </row>
        <row r="4328">
          <cell r="M4328">
            <v>0</v>
          </cell>
        </row>
        <row r="4329">
          <cell r="M4329">
            <v>0</v>
          </cell>
        </row>
        <row r="4330">
          <cell r="M4330">
            <v>0</v>
          </cell>
        </row>
        <row r="4331">
          <cell r="M4331">
            <v>0</v>
          </cell>
        </row>
        <row r="4332">
          <cell r="M4332">
            <v>0</v>
          </cell>
        </row>
        <row r="4333">
          <cell r="M4333">
            <v>0</v>
          </cell>
        </row>
        <row r="4334">
          <cell r="M4334">
            <v>0</v>
          </cell>
        </row>
        <row r="4337">
          <cell r="M4337">
            <v>0</v>
          </cell>
        </row>
        <row r="4340">
          <cell r="M4340">
            <v>0</v>
          </cell>
        </row>
        <row r="4341">
          <cell r="M4341">
            <v>0</v>
          </cell>
        </row>
        <row r="4342">
          <cell r="M4342">
            <v>0</v>
          </cell>
        </row>
        <row r="4343">
          <cell r="M4343">
            <v>0</v>
          </cell>
        </row>
        <row r="4344">
          <cell r="M4344">
            <v>0</v>
          </cell>
        </row>
        <row r="4345">
          <cell r="M4345">
            <v>0</v>
          </cell>
        </row>
        <row r="4346">
          <cell r="M4346">
            <v>0</v>
          </cell>
        </row>
        <row r="4347">
          <cell r="M4347">
            <v>0</v>
          </cell>
        </row>
        <row r="4348">
          <cell r="M4348">
            <v>0</v>
          </cell>
        </row>
        <row r="4349">
          <cell r="M4349">
            <v>0</v>
          </cell>
        </row>
        <row r="4350">
          <cell r="M4350">
            <v>0</v>
          </cell>
        </row>
        <row r="4351">
          <cell r="M4351">
            <v>0</v>
          </cell>
        </row>
        <row r="4352">
          <cell r="M4352">
            <v>0</v>
          </cell>
        </row>
        <row r="4353">
          <cell r="M4353">
            <v>0</v>
          </cell>
        </row>
        <row r="4354">
          <cell r="M4354">
            <v>0</v>
          </cell>
        </row>
        <row r="4355">
          <cell r="M4355">
            <v>0</v>
          </cell>
        </row>
        <row r="4356">
          <cell r="M4356">
            <v>0</v>
          </cell>
        </row>
        <row r="4359">
          <cell r="M4359">
            <v>0</v>
          </cell>
        </row>
        <row r="4362">
          <cell r="M4362">
            <v>0</v>
          </cell>
        </row>
        <row r="4363">
          <cell r="M4363">
            <v>0</v>
          </cell>
        </row>
        <row r="4364">
          <cell r="M4364">
            <v>0</v>
          </cell>
        </row>
        <row r="4365">
          <cell r="M4365">
            <v>0</v>
          </cell>
        </row>
        <row r="4366">
          <cell r="M4366">
            <v>0</v>
          </cell>
        </row>
        <row r="4367">
          <cell r="M4367">
            <v>0</v>
          </cell>
        </row>
        <row r="4368">
          <cell r="M4368">
            <v>0</v>
          </cell>
        </row>
        <row r="4369">
          <cell r="M4369">
            <v>0</v>
          </cell>
        </row>
        <row r="4370">
          <cell r="M4370">
            <v>0</v>
          </cell>
        </row>
        <row r="4371">
          <cell r="M4371">
            <v>0</v>
          </cell>
        </row>
        <row r="4372">
          <cell r="M4372">
            <v>0</v>
          </cell>
        </row>
        <row r="4373">
          <cell r="M4373">
            <v>0</v>
          </cell>
        </row>
        <row r="4374">
          <cell r="M4374">
            <v>0</v>
          </cell>
        </row>
        <row r="4375">
          <cell r="M4375">
            <v>0</v>
          </cell>
        </row>
        <row r="4376">
          <cell r="M4376">
            <v>0</v>
          </cell>
        </row>
        <row r="4377">
          <cell r="M4377">
            <v>0</v>
          </cell>
        </row>
        <row r="4378">
          <cell r="M4378">
            <v>0</v>
          </cell>
        </row>
        <row r="4381">
          <cell r="M4381">
            <v>0</v>
          </cell>
        </row>
        <row r="4384">
          <cell r="M4384">
            <v>0</v>
          </cell>
        </row>
        <row r="4385">
          <cell r="M4385">
            <v>0</v>
          </cell>
        </row>
        <row r="4386">
          <cell r="M4386">
            <v>0</v>
          </cell>
        </row>
        <row r="4387">
          <cell r="M4387">
            <v>0</v>
          </cell>
        </row>
        <row r="4388">
          <cell r="M4388">
            <v>0</v>
          </cell>
        </row>
        <row r="4389">
          <cell r="M4389">
            <v>0</v>
          </cell>
        </row>
        <row r="4390">
          <cell r="M4390">
            <v>0</v>
          </cell>
        </row>
        <row r="4391">
          <cell r="M4391">
            <v>0</v>
          </cell>
        </row>
        <row r="4392">
          <cell r="M4392">
            <v>0</v>
          </cell>
        </row>
        <row r="4393">
          <cell r="M4393">
            <v>0</v>
          </cell>
        </row>
        <row r="4394">
          <cell r="M4394">
            <v>0</v>
          </cell>
        </row>
        <row r="4395">
          <cell r="M4395">
            <v>0</v>
          </cell>
        </row>
        <row r="4396">
          <cell r="M4396">
            <v>0</v>
          </cell>
        </row>
        <row r="4397">
          <cell r="M4397">
            <v>0</v>
          </cell>
        </row>
        <row r="4398">
          <cell r="M4398">
            <v>0</v>
          </cell>
        </row>
        <row r="4399">
          <cell r="M4399">
            <v>0</v>
          </cell>
        </row>
        <row r="4400">
          <cell r="M4400">
            <v>0</v>
          </cell>
        </row>
        <row r="4403">
          <cell r="M4403">
            <v>0</v>
          </cell>
        </row>
        <row r="4406">
          <cell r="M4406">
            <v>0</v>
          </cell>
        </row>
        <row r="4407">
          <cell r="M4407">
            <v>0</v>
          </cell>
        </row>
        <row r="4408">
          <cell r="M4408">
            <v>0</v>
          </cell>
        </row>
        <row r="4409">
          <cell r="M4409">
            <v>0</v>
          </cell>
        </row>
        <row r="4410">
          <cell r="M4410">
            <v>0</v>
          </cell>
        </row>
        <row r="4411">
          <cell r="M4411">
            <v>0</v>
          </cell>
        </row>
        <row r="4412">
          <cell r="M4412">
            <v>0</v>
          </cell>
        </row>
        <row r="4413">
          <cell r="M4413">
            <v>0</v>
          </cell>
        </row>
        <row r="4414">
          <cell r="M4414">
            <v>0</v>
          </cell>
        </row>
        <row r="4415">
          <cell r="M4415">
            <v>0</v>
          </cell>
        </row>
        <row r="4416">
          <cell r="M4416">
            <v>0</v>
          </cell>
        </row>
        <row r="4417">
          <cell r="M4417">
            <v>0</v>
          </cell>
        </row>
        <row r="4418">
          <cell r="M4418">
            <v>0</v>
          </cell>
        </row>
        <row r="4419">
          <cell r="M4419">
            <v>0</v>
          </cell>
        </row>
        <row r="4420">
          <cell r="M4420">
            <v>0</v>
          </cell>
        </row>
        <row r="4421">
          <cell r="M4421">
            <v>0</v>
          </cell>
        </row>
        <row r="4422">
          <cell r="M4422">
            <v>0</v>
          </cell>
        </row>
        <row r="4425">
          <cell r="M4425">
            <v>0</v>
          </cell>
        </row>
        <row r="4428">
          <cell r="M4428">
            <v>0</v>
          </cell>
        </row>
        <row r="4429">
          <cell r="M4429">
            <v>0</v>
          </cell>
        </row>
        <row r="4430">
          <cell r="M4430">
            <v>0</v>
          </cell>
        </row>
        <row r="4431">
          <cell r="M4431">
            <v>0</v>
          </cell>
        </row>
        <row r="4432">
          <cell r="M4432">
            <v>0</v>
          </cell>
        </row>
        <row r="4433">
          <cell r="M4433">
            <v>0</v>
          </cell>
        </row>
        <row r="4434">
          <cell r="M4434">
            <v>0</v>
          </cell>
        </row>
        <row r="4435">
          <cell r="M4435">
            <v>0</v>
          </cell>
        </row>
        <row r="4436">
          <cell r="M4436">
            <v>0</v>
          </cell>
        </row>
        <row r="4437">
          <cell r="M4437">
            <v>0</v>
          </cell>
        </row>
        <row r="4438">
          <cell r="M4438">
            <v>0</v>
          </cell>
        </row>
        <row r="4439">
          <cell r="M4439">
            <v>0</v>
          </cell>
        </row>
        <row r="4440">
          <cell r="M4440">
            <v>0</v>
          </cell>
        </row>
        <row r="4441">
          <cell r="M4441">
            <v>0</v>
          </cell>
        </row>
        <row r="4442">
          <cell r="M4442">
            <v>0</v>
          </cell>
        </row>
        <row r="4443">
          <cell r="M4443">
            <v>0</v>
          </cell>
        </row>
        <row r="4444">
          <cell r="M4444">
            <v>0</v>
          </cell>
        </row>
        <row r="4447">
          <cell r="M4447">
            <v>0</v>
          </cell>
        </row>
        <row r="4450">
          <cell r="M4450">
            <v>0</v>
          </cell>
        </row>
        <row r="4451">
          <cell r="M4451">
            <v>0</v>
          </cell>
        </row>
        <row r="4452">
          <cell r="M4452">
            <v>0</v>
          </cell>
        </row>
        <row r="4453">
          <cell r="M4453">
            <v>0</v>
          </cell>
        </row>
        <row r="4454">
          <cell r="M4454">
            <v>0</v>
          </cell>
        </row>
        <row r="4455">
          <cell r="M4455">
            <v>0</v>
          </cell>
        </row>
        <row r="4456">
          <cell r="M4456">
            <v>0</v>
          </cell>
        </row>
        <row r="4457">
          <cell r="M4457">
            <v>0</v>
          </cell>
        </row>
        <row r="4458">
          <cell r="M4458">
            <v>0</v>
          </cell>
        </row>
        <row r="4459">
          <cell r="M4459">
            <v>0</v>
          </cell>
        </row>
        <row r="4460">
          <cell r="M4460">
            <v>0</v>
          </cell>
        </row>
        <row r="4461">
          <cell r="M4461">
            <v>0</v>
          </cell>
        </row>
        <row r="4462">
          <cell r="M4462">
            <v>0</v>
          </cell>
        </row>
        <row r="4463">
          <cell r="M4463">
            <v>0</v>
          </cell>
        </row>
        <row r="4464">
          <cell r="M4464">
            <v>0</v>
          </cell>
        </row>
        <row r="4465">
          <cell r="M4465">
            <v>0</v>
          </cell>
        </row>
        <row r="4466">
          <cell r="M4466">
            <v>0</v>
          </cell>
        </row>
        <row r="4469">
          <cell r="M4469">
            <v>0</v>
          </cell>
        </row>
        <row r="4472">
          <cell r="M4472">
            <v>0</v>
          </cell>
        </row>
        <row r="4473">
          <cell r="M4473">
            <v>0</v>
          </cell>
        </row>
        <row r="4474">
          <cell r="M4474">
            <v>0</v>
          </cell>
        </row>
        <row r="4475">
          <cell r="M4475">
            <v>0</v>
          </cell>
        </row>
        <row r="4476">
          <cell r="M4476">
            <v>0</v>
          </cell>
        </row>
        <row r="4477">
          <cell r="M4477">
            <v>0</v>
          </cell>
        </row>
        <row r="4478">
          <cell r="M4478">
            <v>0</v>
          </cell>
        </row>
        <row r="4479">
          <cell r="M4479">
            <v>0</v>
          </cell>
        </row>
        <row r="4480">
          <cell r="M4480">
            <v>0</v>
          </cell>
        </row>
        <row r="4481">
          <cell r="M4481">
            <v>0</v>
          </cell>
        </row>
        <row r="4482">
          <cell r="M4482">
            <v>0</v>
          </cell>
        </row>
        <row r="4483">
          <cell r="M4483">
            <v>0</v>
          </cell>
        </row>
        <row r="4484">
          <cell r="M4484">
            <v>0</v>
          </cell>
        </row>
        <row r="4485">
          <cell r="M4485">
            <v>0</v>
          </cell>
        </row>
        <row r="4486">
          <cell r="M4486">
            <v>0</v>
          </cell>
        </row>
        <row r="4487">
          <cell r="M4487">
            <v>0</v>
          </cell>
        </row>
        <row r="4488">
          <cell r="M4488">
            <v>0</v>
          </cell>
        </row>
        <row r="4491">
          <cell r="M4491">
            <v>0</v>
          </cell>
        </row>
        <row r="4494">
          <cell r="M4494">
            <v>0</v>
          </cell>
        </row>
        <row r="4495">
          <cell r="M4495">
            <v>0</v>
          </cell>
        </row>
        <row r="4496">
          <cell r="M4496">
            <v>0</v>
          </cell>
        </row>
        <row r="4497">
          <cell r="M4497">
            <v>0</v>
          </cell>
        </row>
        <row r="4498">
          <cell r="M4498">
            <v>0</v>
          </cell>
        </row>
        <row r="4499">
          <cell r="M4499">
            <v>0</v>
          </cell>
        </row>
        <row r="4500">
          <cell r="M4500">
            <v>0</v>
          </cell>
        </row>
        <row r="4501">
          <cell r="M4501">
            <v>0</v>
          </cell>
        </row>
        <row r="4502">
          <cell r="M4502">
            <v>0</v>
          </cell>
        </row>
        <row r="4503">
          <cell r="M4503">
            <v>0</v>
          </cell>
        </row>
        <row r="4504">
          <cell r="M4504">
            <v>0</v>
          </cell>
        </row>
        <row r="4505">
          <cell r="M4505">
            <v>0</v>
          </cell>
        </row>
        <row r="4506">
          <cell r="M4506">
            <v>0</v>
          </cell>
        </row>
        <row r="4507">
          <cell r="M4507">
            <v>0</v>
          </cell>
        </row>
        <row r="4508">
          <cell r="M4508">
            <v>0</v>
          </cell>
        </row>
        <row r="4509">
          <cell r="M4509">
            <v>0</v>
          </cell>
        </row>
        <row r="4510">
          <cell r="M4510">
            <v>0</v>
          </cell>
        </row>
        <row r="4513">
          <cell r="M4513">
            <v>0</v>
          </cell>
        </row>
        <row r="4516">
          <cell r="M4516">
            <v>0</v>
          </cell>
        </row>
        <row r="4517">
          <cell r="M4517">
            <v>0</v>
          </cell>
        </row>
        <row r="4518">
          <cell r="M4518">
            <v>0</v>
          </cell>
        </row>
        <row r="4519">
          <cell r="M4519">
            <v>0</v>
          </cell>
        </row>
        <row r="4520">
          <cell r="M4520">
            <v>0</v>
          </cell>
        </row>
        <row r="4521">
          <cell r="M4521">
            <v>0</v>
          </cell>
        </row>
        <row r="4522">
          <cell r="M4522">
            <v>0</v>
          </cell>
        </row>
        <row r="4523">
          <cell r="M4523">
            <v>0</v>
          </cell>
        </row>
        <row r="4524">
          <cell r="M4524">
            <v>0</v>
          </cell>
        </row>
        <row r="4525">
          <cell r="M4525">
            <v>0</v>
          </cell>
        </row>
        <row r="4526">
          <cell r="M4526">
            <v>0</v>
          </cell>
        </row>
        <row r="4527">
          <cell r="M4527">
            <v>0</v>
          </cell>
        </row>
        <row r="4528">
          <cell r="M4528">
            <v>0</v>
          </cell>
        </row>
        <row r="4529">
          <cell r="M4529">
            <v>0</v>
          </cell>
        </row>
        <row r="4530">
          <cell r="M4530">
            <v>0</v>
          </cell>
        </row>
        <row r="4531">
          <cell r="M4531">
            <v>0</v>
          </cell>
        </row>
        <row r="4532">
          <cell r="M4532">
            <v>0</v>
          </cell>
        </row>
        <row r="4535">
          <cell r="M4535">
            <v>0</v>
          </cell>
        </row>
        <row r="4538">
          <cell r="M4538">
            <v>0</v>
          </cell>
        </row>
        <row r="4539">
          <cell r="M4539">
            <v>0</v>
          </cell>
        </row>
        <row r="4540">
          <cell r="M4540">
            <v>0</v>
          </cell>
        </row>
        <row r="4541">
          <cell r="M4541">
            <v>0</v>
          </cell>
        </row>
        <row r="4542">
          <cell r="M4542">
            <v>0</v>
          </cell>
        </row>
        <row r="4543">
          <cell r="M4543">
            <v>0</v>
          </cell>
        </row>
        <row r="4544">
          <cell r="M4544">
            <v>0</v>
          </cell>
        </row>
        <row r="4545">
          <cell r="M4545">
            <v>0</v>
          </cell>
        </row>
        <row r="4546">
          <cell r="M4546">
            <v>0</v>
          </cell>
        </row>
        <row r="4547">
          <cell r="M4547">
            <v>0</v>
          </cell>
        </row>
        <row r="4548">
          <cell r="M4548">
            <v>0</v>
          </cell>
        </row>
        <row r="4549">
          <cell r="M4549">
            <v>0</v>
          </cell>
        </row>
        <row r="4550">
          <cell r="M4550">
            <v>0</v>
          </cell>
        </row>
        <row r="4551">
          <cell r="M4551">
            <v>0</v>
          </cell>
        </row>
        <row r="4552">
          <cell r="M4552">
            <v>0</v>
          </cell>
        </row>
        <row r="4553">
          <cell r="M4553">
            <v>0</v>
          </cell>
        </row>
        <row r="4554">
          <cell r="M4554">
            <v>0</v>
          </cell>
        </row>
        <row r="4557">
          <cell r="M4557">
            <v>0</v>
          </cell>
        </row>
        <row r="4560">
          <cell r="M4560">
            <v>0</v>
          </cell>
        </row>
        <row r="4561">
          <cell r="M4561">
            <v>0</v>
          </cell>
        </row>
        <row r="4562">
          <cell r="M4562">
            <v>0</v>
          </cell>
        </row>
        <row r="4563">
          <cell r="M4563">
            <v>0</v>
          </cell>
        </row>
        <row r="4564">
          <cell r="M4564">
            <v>0</v>
          </cell>
        </row>
        <row r="4565">
          <cell r="M4565">
            <v>0</v>
          </cell>
        </row>
        <row r="4566">
          <cell r="M4566">
            <v>0</v>
          </cell>
        </row>
        <row r="4567">
          <cell r="M4567">
            <v>0</v>
          </cell>
        </row>
        <row r="4568">
          <cell r="M4568">
            <v>0</v>
          </cell>
        </row>
        <row r="4569">
          <cell r="M4569">
            <v>0</v>
          </cell>
        </row>
        <row r="4570">
          <cell r="M4570">
            <v>0</v>
          </cell>
        </row>
        <row r="4571">
          <cell r="M4571">
            <v>0</v>
          </cell>
        </row>
        <row r="4572">
          <cell r="M4572">
            <v>0</v>
          </cell>
        </row>
        <row r="4573">
          <cell r="M4573">
            <v>0</v>
          </cell>
        </row>
        <row r="4574">
          <cell r="M4574">
            <v>0</v>
          </cell>
        </row>
        <row r="4575">
          <cell r="M4575">
            <v>0</v>
          </cell>
        </row>
        <row r="4576">
          <cell r="M4576">
            <v>0</v>
          </cell>
        </row>
        <row r="4579">
          <cell r="M4579">
            <v>0</v>
          </cell>
        </row>
        <row r="4582">
          <cell r="M4582">
            <v>0</v>
          </cell>
        </row>
        <row r="4583">
          <cell r="M4583">
            <v>0</v>
          </cell>
        </row>
        <row r="4584">
          <cell r="M4584">
            <v>0</v>
          </cell>
        </row>
        <row r="4585">
          <cell r="M4585">
            <v>0</v>
          </cell>
        </row>
        <row r="4586">
          <cell r="M4586">
            <v>0</v>
          </cell>
        </row>
        <row r="4587">
          <cell r="M4587">
            <v>0</v>
          </cell>
        </row>
        <row r="4588">
          <cell r="M4588">
            <v>0</v>
          </cell>
        </row>
        <row r="4589">
          <cell r="M4589">
            <v>0</v>
          </cell>
        </row>
        <row r="4590">
          <cell r="M4590">
            <v>0</v>
          </cell>
        </row>
        <row r="4591">
          <cell r="M4591">
            <v>0</v>
          </cell>
        </row>
        <row r="4592">
          <cell r="M4592">
            <v>0</v>
          </cell>
        </row>
        <row r="4593">
          <cell r="M4593">
            <v>0</v>
          </cell>
        </row>
        <row r="4594">
          <cell r="M4594">
            <v>0</v>
          </cell>
        </row>
        <row r="4595">
          <cell r="M4595">
            <v>0</v>
          </cell>
        </row>
        <row r="4596">
          <cell r="M4596">
            <v>0</v>
          </cell>
        </row>
        <row r="4597">
          <cell r="M4597">
            <v>0</v>
          </cell>
        </row>
        <row r="4598">
          <cell r="M4598">
            <v>0</v>
          </cell>
        </row>
        <row r="4601">
          <cell r="M4601">
            <v>0</v>
          </cell>
        </row>
        <row r="4604">
          <cell r="M4604">
            <v>0</v>
          </cell>
        </row>
        <row r="4605">
          <cell r="M4605">
            <v>0</v>
          </cell>
        </row>
        <row r="4606">
          <cell r="M4606">
            <v>0</v>
          </cell>
        </row>
        <row r="4607">
          <cell r="M4607">
            <v>0</v>
          </cell>
        </row>
        <row r="4608">
          <cell r="M4608">
            <v>0</v>
          </cell>
        </row>
        <row r="4609">
          <cell r="M4609">
            <v>0</v>
          </cell>
        </row>
        <row r="4610">
          <cell r="M4610">
            <v>0</v>
          </cell>
        </row>
        <row r="4611">
          <cell r="M4611">
            <v>0</v>
          </cell>
        </row>
        <row r="4612">
          <cell r="M4612">
            <v>0</v>
          </cell>
        </row>
        <row r="4613">
          <cell r="M4613">
            <v>0</v>
          </cell>
        </row>
        <row r="4614">
          <cell r="M4614">
            <v>0</v>
          </cell>
        </row>
        <row r="4615">
          <cell r="M4615">
            <v>0</v>
          </cell>
        </row>
        <row r="4616">
          <cell r="M4616">
            <v>0</v>
          </cell>
        </row>
        <row r="4617">
          <cell r="M4617">
            <v>0</v>
          </cell>
        </row>
        <row r="4618">
          <cell r="M4618">
            <v>0</v>
          </cell>
        </row>
        <row r="4619">
          <cell r="M4619">
            <v>0</v>
          </cell>
        </row>
        <row r="4620">
          <cell r="M4620">
            <v>0</v>
          </cell>
        </row>
        <row r="4623">
          <cell r="M4623">
            <v>0</v>
          </cell>
        </row>
        <row r="4626">
          <cell r="M4626">
            <v>0</v>
          </cell>
        </row>
        <row r="4627">
          <cell r="M4627">
            <v>0</v>
          </cell>
        </row>
        <row r="4628">
          <cell r="M4628">
            <v>0</v>
          </cell>
        </row>
        <row r="4629">
          <cell r="M4629">
            <v>0</v>
          </cell>
        </row>
        <row r="4630">
          <cell r="M4630">
            <v>0</v>
          </cell>
        </row>
        <row r="4631">
          <cell r="M4631">
            <v>0</v>
          </cell>
        </row>
        <row r="4632">
          <cell r="M4632">
            <v>0</v>
          </cell>
        </row>
        <row r="4633">
          <cell r="M4633">
            <v>0</v>
          </cell>
        </row>
        <row r="4634">
          <cell r="M4634">
            <v>0</v>
          </cell>
        </row>
        <row r="4635">
          <cell r="M4635">
            <v>0</v>
          </cell>
        </row>
        <row r="4636">
          <cell r="M4636">
            <v>0</v>
          </cell>
        </row>
        <row r="4637">
          <cell r="M4637">
            <v>0</v>
          </cell>
        </row>
        <row r="4638">
          <cell r="M4638">
            <v>0</v>
          </cell>
        </row>
        <row r="4639">
          <cell r="M4639">
            <v>0</v>
          </cell>
        </row>
        <row r="4640">
          <cell r="M4640">
            <v>0</v>
          </cell>
        </row>
        <row r="4641">
          <cell r="M4641">
            <v>0</v>
          </cell>
        </row>
        <row r="4642">
          <cell r="M4642">
            <v>0</v>
          </cell>
        </row>
        <row r="4645">
          <cell r="M4645">
            <v>0</v>
          </cell>
        </row>
        <row r="4648">
          <cell r="M4648">
            <v>0</v>
          </cell>
        </row>
        <row r="4649">
          <cell r="M4649">
            <v>0</v>
          </cell>
        </row>
        <row r="4650">
          <cell r="M4650">
            <v>0</v>
          </cell>
        </row>
        <row r="4651">
          <cell r="M4651">
            <v>0</v>
          </cell>
        </row>
        <row r="4652">
          <cell r="M4652">
            <v>0</v>
          </cell>
        </row>
        <row r="4653">
          <cell r="M4653">
            <v>0</v>
          </cell>
        </row>
        <row r="4654">
          <cell r="M4654">
            <v>0</v>
          </cell>
        </row>
        <row r="4655">
          <cell r="M4655">
            <v>0</v>
          </cell>
        </row>
        <row r="4656">
          <cell r="M4656">
            <v>0</v>
          </cell>
        </row>
        <row r="4657">
          <cell r="M4657">
            <v>0</v>
          </cell>
        </row>
        <row r="4658">
          <cell r="M4658">
            <v>0</v>
          </cell>
        </row>
        <row r="4659">
          <cell r="M4659">
            <v>0</v>
          </cell>
        </row>
        <row r="4660">
          <cell r="M4660">
            <v>0</v>
          </cell>
        </row>
        <row r="4661">
          <cell r="M4661">
            <v>0</v>
          </cell>
        </row>
        <row r="4662">
          <cell r="M4662">
            <v>0</v>
          </cell>
        </row>
        <row r="4663">
          <cell r="M4663">
            <v>0</v>
          </cell>
        </row>
        <row r="4664">
          <cell r="M4664">
            <v>0</v>
          </cell>
        </row>
        <row r="4667">
          <cell r="M4667">
            <v>0</v>
          </cell>
        </row>
        <row r="4670">
          <cell r="M4670">
            <v>0</v>
          </cell>
        </row>
        <row r="4671">
          <cell r="M4671">
            <v>0</v>
          </cell>
        </row>
        <row r="4672">
          <cell r="M4672">
            <v>0</v>
          </cell>
        </row>
        <row r="4673">
          <cell r="M4673">
            <v>0</v>
          </cell>
        </row>
        <row r="4674">
          <cell r="M4674">
            <v>0</v>
          </cell>
        </row>
        <row r="4675">
          <cell r="M4675">
            <v>0</v>
          </cell>
        </row>
        <row r="4676">
          <cell r="M4676">
            <v>0</v>
          </cell>
        </row>
        <row r="4677">
          <cell r="M4677">
            <v>0</v>
          </cell>
        </row>
        <row r="4678">
          <cell r="M4678">
            <v>0</v>
          </cell>
        </row>
        <row r="4679">
          <cell r="M4679">
            <v>0</v>
          </cell>
        </row>
        <row r="4680">
          <cell r="M4680">
            <v>0</v>
          </cell>
        </row>
        <row r="4681">
          <cell r="M4681">
            <v>0</v>
          </cell>
        </row>
        <row r="4682">
          <cell r="M4682">
            <v>0</v>
          </cell>
        </row>
        <row r="4683">
          <cell r="M4683">
            <v>0</v>
          </cell>
        </row>
        <row r="4684">
          <cell r="M4684">
            <v>0</v>
          </cell>
        </row>
        <row r="4685">
          <cell r="M4685">
            <v>0</v>
          </cell>
        </row>
        <row r="4686">
          <cell r="M4686">
            <v>0</v>
          </cell>
        </row>
        <row r="4689">
          <cell r="M4689">
            <v>0</v>
          </cell>
        </row>
        <row r="4692">
          <cell r="M4692">
            <v>0</v>
          </cell>
        </row>
        <row r="4693">
          <cell r="M4693">
            <v>0</v>
          </cell>
        </row>
        <row r="4694">
          <cell r="M4694">
            <v>0</v>
          </cell>
        </row>
        <row r="4695">
          <cell r="M4695">
            <v>0</v>
          </cell>
        </row>
        <row r="4696">
          <cell r="M4696">
            <v>0</v>
          </cell>
        </row>
        <row r="4697">
          <cell r="M4697">
            <v>0</v>
          </cell>
        </row>
        <row r="4698">
          <cell r="M4698">
            <v>0</v>
          </cell>
        </row>
        <row r="4699">
          <cell r="M4699">
            <v>0</v>
          </cell>
        </row>
        <row r="4700">
          <cell r="M4700">
            <v>0</v>
          </cell>
        </row>
        <row r="4701">
          <cell r="M4701">
            <v>0</v>
          </cell>
        </row>
        <row r="4702">
          <cell r="M4702">
            <v>0</v>
          </cell>
        </row>
        <row r="4703">
          <cell r="M4703">
            <v>0</v>
          </cell>
        </row>
        <row r="4704">
          <cell r="M4704">
            <v>0</v>
          </cell>
        </row>
        <row r="4705">
          <cell r="M4705">
            <v>0</v>
          </cell>
        </row>
        <row r="4706">
          <cell r="M4706">
            <v>0</v>
          </cell>
        </row>
        <row r="4707">
          <cell r="M4707">
            <v>0</v>
          </cell>
        </row>
        <row r="4708">
          <cell r="M4708">
            <v>0</v>
          </cell>
        </row>
        <row r="4711">
          <cell r="M4711">
            <v>0</v>
          </cell>
        </row>
        <row r="4714">
          <cell r="M4714">
            <v>0</v>
          </cell>
        </row>
        <row r="4715">
          <cell r="M4715">
            <v>0</v>
          </cell>
        </row>
        <row r="4716">
          <cell r="M4716">
            <v>0</v>
          </cell>
        </row>
        <row r="4717">
          <cell r="M4717">
            <v>0</v>
          </cell>
        </row>
        <row r="4718">
          <cell r="M4718">
            <v>0</v>
          </cell>
        </row>
        <row r="4719">
          <cell r="M4719">
            <v>0</v>
          </cell>
        </row>
        <row r="4720">
          <cell r="M4720">
            <v>0</v>
          </cell>
        </row>
        <row r="4721">
          <cell r="M4721">
            <v>0</v>
          </cell>
        </row>
        <row r="4722">
          <cell r="M4722">
            <v>0</v>
          </cell>
        </row>
        <row r="4723">
          <cell r="M4723">
            <v>0</v>
          </cell>
        </row>
        <row r="4724">
          <cell r="M4724">
            <v>0</v>
          </cell>
        </row>
        <row r="4725">
          <cell r="M4725">
            <v>0</v>
          </cell>
        </row>
        <row r="4726">
          <cell r="M4726">
            <v>0</v>
          </cell>
        </row>
        <row r="4727">
          <cell r="M4727">
            <v>0</v>
          </cell>
        </row>
        <row r="4728">
          <cell r="M4728">
            <v>0</v>
          </cell>
        </row>
        <row r="4729">
          <cell r="M4729">
            <v>0</v>
          </cell>
        </row>
        <row r="4730">
          <cell r="M4730">
            <v>0</v>
          </cell>
        </row>
        <row r="4733">
          <cell r="M4733">
            <v>0</v>
          </cell>
        </row>
        <row r="4736">
          <cell r="M4736">
            <v>0</v>
          </cell>
        </row>
        <row r="4737">
          <cell r="M4737">
            <v>0</v>
          </cell>
        </row>
        <row r="4738">
          <cell r="M4738">
            <v>0</v>
          </cell>
        </row>
        <row r="4739">
          <cell r="M4739">
            <v>0</v>
          </cell>
        </row>
        <row r="4740">
          <cell r="M4740">
            <v>0</v>
          </cell>
        </row>
        <row r="4741">
          <cell r="M4741">
            <v>0</v>
          </cell>
        </row>
        <row r="4742">
          <cell r="M4742">
            <v>0</v>
          </cell>
        </row>
        <row r="4743">
          <cell r="M4743">
            <v>0</v>
          </cell>
        </row>
        <row r="4744">
          <cell r="M4744">
            <v>0</v>
          </cell>
        </row>
        <row r="4745">
          <cell r="M4745">
            <v>0</v>
          </cell>
        </row>
        <row r="4746">
          <cell r="M4746">
            <v>0</v>
          </cell>
        </row>
        <row r="4747">
          <cell r="M4747">
            <v>0</v>
          </cell>
        </row>
        <row r="4748">
          <cell r="M4748">
            <v>0</v>
          </cell>
        </row>
        <row r="4749">
          <cell r="M4749">
            <v>0</v>
          </cell>
        </row>
        <row r="4750">
          <cell r="M4750">
            <v>0</v>
          </cell>
        </row>
        <row r="4751">
          <cell r="M4751">
            <v>0</v>
          </cell>
        </row>
        <row r="4752">
          <cell r="M4752">
            <v>0</v>
          </cell>
        </row>
        <row r="4755">
          <cell r="M4755">
            <v>0</v>
          </cell>
        </row>
        <row r="4758">
          <cell r="M4758">
            <v>0</v>
          </cell>
        </row>
        <row r="4759">
          <cell r="M4759">
            <v>0</v>
          </cell>
        </row>
        <row r="4760">
          <cell r="M4760">
            <v>0</v>
          </cell>
        </row>
        <row r="4761">
          <cell r="M4761">
            <v>0</v>
          </cell>
        </row>
        <row r="4762">
          <cell r="M4762">
            <v>0</v>
          </cell>
        </row>
        <row r="4763">
          <cell r="M4763">
            <v>0</v>
          </cell>
        </row>
        <row r="4764">
          <cell r="M4764">
            <v>0</v>
          </cell>
        </row>
        <row r="4765">
          <cell r="M4765">
            <v>0</v>
          </cell>
        </row>
        <row r="4766">
          <cell r="M4766">
            <v>0</v>
          </cell>
        </row>
        <row r="4767">
          <cell r="M4767">
            <v>0</v>
          </cell>
        </row>
        <row r="4768">
          <cell r="M4768">
            <v>0</v>
          </cell>
        </row>
        <row r="4769">
          <cell r="M4769">
            <v>0</v>
          </cell>
        </row>
        <row r="4770">
          <cell r="M4770">
            <v>0</v>
          </cell>
        </row>
        <row r="4771">
          <cell r="M4771">
            <v>0</v>
          </cell>
        </row>
        <row r="4772">
          <cell r="M4772">
            <v>0</v>
          </cell>
        </row>
        <row r="4773">
          <cell r="M4773">
            <v>0</v>
          </cell>
        </row>
        <row r="4774">
          <cell r="M4774">
            <v>0</v>
          </cell>
        </row>
        <row r="4777">
          <cell r="M4777">
            <v>0</v>
          </cell>
        </row>
        <row r="4780">
          <cell r="M4780">
            <v>0</v>
          </cell>
        </row>
        <row r="4781">
          <cell r="M4781">
            <v>0</v>
          </cell>
        </row>
        <row r="4782">
          <cell r="M4782">
            <v>0</v>
          </cell>
        </row>
        <row r="4783">
          <cell r="M4783">
            <v>0</v>
          </cell>
        </row>
        <row r="4784">
          <cell r="M4784">
            <v>0</v>
          </cell>
        </row>
        <row r="4785">
          <cell r="M4785">
            <v>0</v>
          </cell>
        </row>
        <row r="4786">
          <cell r="M4786">
            <v>0</v>
          </cell>
        </row>
        <row r="4787">
          <cell r="M4787">
            <v>0</v>
          </cell>
        </row>
        <row r="4788">
          <cell r="M4788">
            <v>0</v>
          </cell>
        </row>
        <row r="4789">
          <cell r="M4789">
            <v>0</v>
          </cell>
        </row>
        <row r="4790">
          <cell r="M4790">
            <v>0</v>
          </cell>
        </row>
        <row r="4791">
          <cell r="M4791">
            <v>0</v>
          </cell>
        </row>
        <row r="4792">
          <cell r="M4792">
            <v>0</v>
          </cell>
        </row>
        <row r="4793">
          <cell r="M4793">
            <v>0</v>
          </cell>
        </row>
        <row r="4794">
          <cell r="M4794">
            <v>0</v>
          </cell>
        </row>
        <row r="4795">
          <cell r="M4795">
            <v>0</v>
          </cell>
        </row>
        <row r="4796">
          <cell r="M4796">
            <v>0</v>
          </cell>
        </row>
        <row r="4799">
          <cell r="M4799">
            <v>0</v>
          </cell>
        </row>
        <row r="4802">
          <cell r="M4802">
            <v>0</v>
          </cell>
        </row>
        <row r="4803">
          <cell r="M4803">
            <v>0</v>
          </cell>
        </row>
        <row r="4804">
          <cell r="M4804">
            <v>0</v>
          </cell>
        </row>
        <row r="4805">
          <cell r="M4805">
            <v>0</v>
          </cell>
        </row>
        <row r="4806">
          <cell r="M4806">
            <v>0</v>
          </cell>
        </row>
        <row r="4807">
          <cell r="M4807">
            <v>0</v>
          </cell>
        </row>
        <row r="4808">
          <cell r="M4808">
            <v>0</v>
          </cell>
        </row>
        <row r="4809">
          <cell r="M4809">
            <v>0</v>
          </cell>
        </row>
        <row r="4810">
          <cell r="M4810">
            <v>0</v>
          </cell>
        </row>
        <row r="4811">
          <cell r="M4811">
            <v>0</v>
          </cell>
        </row>
        <row r="4812">
          <cell r="M4812">
            <v>0</v>
          </cell>
        </row>
        <row r="4813">
          <cell r="M4813">
            <v>0</v>
          </cell>
        </row>
        <row r="4814">
          <cell r="M4814">
            <v>0</v>
          </cell>
        </row>
        <row r="4815">
          <cell r="M4815">
            <v>0</v>
          </cell>
        </row>
        <row r="4816">
          <cell r="M4816">
            <v>0</v>
          </cell>
        </row>
        <row r="4817">
          <cell r="M4817">
            <v>0</v>
          </cell>
        </row>
        <row r="4818">
          <cell r="M4818">
            <v>0</v>
          </cell>
        </row>
        <row r="4821">
          <cell r="M4821">
            <v>0</v>
          </cell>
        </row>
        <row r="4824">
          <cell r="M4824">
            <v>0</v>
          </cell>
        </row>
        <row r="4825">
          <cell r="M4825">
            <v>0</v>
          </cell>
        </row>
        <row r="4826">
          <cell r="M4826">
            <v>0</v>
          </cell>
        </row>
        <row r="4827">
          <cell r="M4827">
            <v>0</v>
          </cell>
        </row>
        <row r="4828">
          <cell r="M4828">
            <v>0</v>
          </cell>
        </row>
        <row r="4829">
          <cell r="M4829">
            <v>0</v>
          </cell>
        </row>
        <row r="4830">
          <cell r="M4830">
            <v>0</v>
          </cell>
        </row>
        <row r="4831">
          <cell r="M4831">
            <v>0</v>
          </cell>
        </row>
        <row r="4832">
          <cell r="M4832">
            <v>0</v>
          </cell>
        </row>
        <row r="4833">
          <cell r="M4833">
            <v>0</v>
          </cell>
        </row>
        <row r="4834">
          <cell r="M4834">
            <v>0</v>
          </cell>
        </row>
        <row r="4835">
          <cell r="M4835">
            <v>0</v>
          </cell>
        </row>
        <row r="4836">
          <cell r="M4836">
            <v>0</v>
          </cell>
        </row>
        <row r="4837">
          <cell r="M4837">
            <v>0</v>
          </cell>
        </row>
        <row r="4838">
          <cell r="M4838">
            <v>0</v>
          </cell>
        </row>
        <row r="4839">
          <cell r="M4839">
            <v>0</v>
          </cell>
        </row>
        <row r="4840">
          <cell r="M4840">
            <v>0</v>
          </cell>
        </row>
        <row r="4843">
          <cell r="M4843">
            <v>0</v>
          </cell>
        </row>
        <row r="4846">
          <cell r="M4846">
            <v>0</v>
          </cell>
        </row>
        <row r="4847">
          <cell r="M4847">
            <v>0</v>
          </cell>
        </row>
        <row r="4848">
          <cell r="M4848">
            <v>0</v>
          </cell>
        </row>
        <row r="4849">
          <cell r="M4849">
            <v>0</v>
          </cell>
        </row>
        <row r="4850">
          <cell r="M4850">
            <v>0</v>
          </cell>
        </row>
        <row r="4851">
          <cell r="M4851">
            <v>0</v>
          </cell>
        </row>
        <row r="4852">
          <cell r="M4852">
            <v>0</v>
          </cell>
        </row>
        <row r="4853">
          <cell r="M4853">
            <v>0</v>
          </cell>
        </row>
        <row r="4854">
          <cell r="M4854">
            <v>0</v>
          </cell>
        </row>
        <row r="4855">
          <cell r="M4855">
            <v>0</v>
          </cell>
        </row>
        <row r="4856">
          <cell r="M4856">
            <v>0</v>
          </cell>
        </row>
        <row r="4857">
          <cell r="M4857">
            <v>0</v>
          </cell>
        </row>
        <row r="4858">
          <cell r="M4858">
            <v>0</v>
          </cell>
        </row>
        <row r="4859">
          <cell r="M4859">
            <v>0</v>
          </cell>
        </row>
        <row r="4860">
          <cell r="M4860">
            <v>0</v>
          </cell>
        </row>
        <row r="4861">
          <cell r="M4861">
            <v>0</v>
          </cell>
        </row>
        <row r="4862">
          <cell r="M4862">
            <v>0</v>
          </cell>
        </row>
        <row r="4865">
          <cell r="M4865">
            <v>0</v>
          </cell>
        </row>
        <row r="4868">
          <cell r="M4868">
            <v>0</v>
          </cell>
        </row>
        <row r="4869">
          <cell r="M4869">
            <v>0</v>
          </cell>
        </row>
        <row r="4870">
          <cell r="M4870">
            <v>0</v>
          </cell>
        </row>
        <row r="4871">
          <cell r="M4871">
            <v>0</v>
          </cell>
        </row>
        <row r="4872">
          <cell r="M4872">
            <v>0</v>
          </cell>
        </row>
        <row r="4873">
          <cell r="M4873">
            <v>0</v>
          </cell>
        </row>
        <row r="4874">
          <cell r="M4874">
            <v>0</v>
          </cell>
        </row>
        <row r="4875">
          <cell r="M4875">
            <v>0</v>
          </cell>
        </row>
        <row r="4876">
          <cell r="M4876">
            <v>0</v>
          </cell>
        </row>
        <row r="4877">
          <cell r="M4877">
            <v>0</v>
          </cell>
        </row>
        <row r="4878">
          <cell r="M4878">
            <v>0</v>
          </cell>
        </row>
        <row r="4879">
          <cell r="M4879">
            <v>0</v>
          </cell>
        </row>
        <row r="4880">
          <cell r="M4880">
            <v>0</v>
          </cell>
        </row>
        <row r="4881">
          <cell r="M4881">
            <v>0</v>
          </cell>
        </row>
        <row r="4882">
          <cell r="M4882">
            <v>0</v>
          </cell>
        </row>
        <row r="4883">
          <cell r="M4883">
            <v>0</v>
          </cell>
        </row>
        <row r="4884">
          <cell r="M4884">
            <v>0</v>
          </cell>
        </row>
        <row r="4887">
          <cell r="M4887">
            <v>0</v>
          </cell>
        </row>
        <row r="4890">
          <cell r="M4890">
            <v>0</v>
          </cell>
        </row>
        <row r="4891">
          <cell r="M4891">
            <v>0</v>
          </cell>
        </row>
        <row r="4892">
          <cell r="M4892">
            <v>0</v>
          </cell>
        </row>
        <row r="4893">
          <cell r="M4893">
            <v>0</v>
          </cell>
        </row>
        <row r="4894">
          <cell r="M4894">
            <v>0</v>
          </cell>
        </row>
        <row r="4895">
          <cell r="M4895">
            <v>0</v>
          </cell>
        </row>
        <row r="4896">
          <cell r="M4896">
            <v>0</v>
          </cell>
        </row>
        <row r="4897">
          <cell r="M4897">
            <v>0</v>
          </cell>
        </row>
        <row r="4898">
          <cell r="M4898">
            <v>0</v>
          </cell>
        </row>
        <row r="4899">
          <cell r="M4899">
            <v>0</v>
          </cell>
        </row>
        <row r="4900">
          <cell r="M4900">
            <v>0</v>
          </cell>
        </row>
        <row r="4901">
          <cell r="M4901">
            <v>0</v>
          </cell>
        </row>
        <row r="4902">
          <cell r="M4902">
            <v>0</v>
          </cell>
        </row>
        <row r="4903">
          <cell r="M4903">
            <v>0</v>
          </cell>
        </row>
        <row r="4904">
          <cell r="M4904">
            <v>0</v>
          </cell>
        </row>
        <row r="4905">
          <cell r="M4905">
            <v>0</v>
          </cell>
        </row>
        <row r="4906">
          <cell r="M4906">
            <v>0</v>
          </cell>
        </row>
        <row r="4909">
          <cell r="M4909">
            <v>0</v>
          </cell>
        </row>
        <row r="4912">
          <cell r="M4912">
            <v>0</v>
          </cell>
        </row>
        <row r="4913">
          <cell r="M4913">
            <v>0</v>
          </cell>
        </row>
        <row r="4914">
          <cell r="M4914">
            <v>0</v>
          </cell>
        </row>
        <row r="4915">
          <cell r="M4915">
            <v>0</v>
          </cell>
        </row>
        <row r="4916">
          <cell r="M4916">
            <v>0</v>
          </cell>
        </row>
        <row r="4917">
          <cell r="M4917">
            <v>0</v>
          </cell>
        </row>
        <row r="4918">
          <cell r="M4918">
            <v>0</v>
          </cell>
        </row>
        <row r="4919">
          <cell r="M4919">
            <v>0</v>
          </cell>
        </row>
        <row r="4920">
          <cell r="M4920">
            <v>0</v>
          </cell>
        </row>
        <row r="4921">
          <cell r="M4921">
            <v>0</v>
          </cell>
        </row>
        <row r="4922">
          <cell r="M4922">
            <v>0</v>
          </cell>
        </row>
        <row r="4923">
          <cell r="M4923">
            <v>0</v>
          </cell>
        </row>
        <row r="4924">
          <cell r="M4924">
            <v>0</v>
          </cell>
        </row>
        <row r="4925">
          <cell r="M4925">
            <v>0</v>
          </cell>
        </row>
        <row r="4926">
          <cell r="M4926">
            <v>0</v>
          </cell>
        </row>
        <row r="4927">
          <cell r="M4927">
            <v>0</v>
          </cell>
        </row>
        <row r="4928">
          <cell r="M4928">
            <v>0</v>
          </cell>
        </row>
        <row r="4931">
          <cell r="M4931">
            <v>0</v>
          </cell>
        </row>
        <row r="4934">
          <cell r="M4934">
            <v>0</v>
          </cell>
        </row>
        <row r="4935">
          <cell r="M4935">
            <v>0</v>
          </cell>
        </row>
        <row r="4936">
          <cell r="M4936">
            <v>0</v>
          </cell>
        </row>
        <row r="4937">
          <cell r="M4937">
            <v>0</v>
          </cell>
        </row>
        <row r="4938">
          <cell r="M4938">
            <v>0</v>
          </cell>
        </row>
        <row r="4939">
          <cell r="M4939">
            <v>0</v>
          </cell>
        </row>
        <row r="4940">
          <cell r="M4940">
            <v>0</v>
          </cell>
        </row>
        <row r="4941">
          <cell r="M4941">
            <v>0</v>
          </cell>
        </row>
        <row r="4942">
          <cell r="M4942">
            <v>0</v>
          </cell>
        </row>
        <row r="4943">
          <cell r="M4943">
            <v>0</v>
          </cell>
        </row>
        <row r="4944">
          <cell r="M4944">
            <v>0</v>
          </cell>
        </row>
        <row r="4945">
          <cell r="M4945">
            <v>0</v>
          </cell>
        </row>
        <row r="4946">
          <cell r="M4946">
            <v>0</v>
          </cell>
        </row>
        <row r="4947">
          <cell r="M4947">
            <v>0</v>
          </cell>
        </row>
        <row r="4948">
          <cell r="M4948">
            <v>0</v>
          </cell>
        </row>
        <row r="4949">
          <cell r="M4949">
            <v>0</v>
          </cell>
        </row>
        <row r="4950">
          <cell r="M4950">
            <v>0</v>
          </cell>
        </row>
        <row r="4953">
          <cell r="M4953">
            <v>0</v>
          </cell>
        </row>
        <row r="4956">
          <cell r="M4956">
            <v>0</v>
          </cell>
        </row>
        <row r="4957">
          <cell r="M4957">
            <v>0</v>
          </cell>
        </row>
        <row r="4958">
          <cell r="M4958">
            <v>0</v>
          </cell>
        </row>
        <row r="4959">
          <cell r="M4959">
            <v>0</v>
          </cell>
        </row>
        <row r="4960">
          <cell r="M4960">
            <v>0</v>
          </cell>
        </row>
        <row r="4961">
          <cell r="M4961">
            <v>0</v>
          </cell>
        </row>
        <row r="4962">
          <cell r="M4962">
            <v>0</v>
          </cell>
        </row>
        <row r="4963">
          <cell r="M4963">
            <v>0</v>
          </cell>
        </row>
        <row r="4964">
          <cell r="M4964">
            <v>0</v>
          </cell>
        </row>
        <row r="4965">
          <cell r="M4965">
            <v>0</v>
          </cell>
        </row>
        <row r="4966">
          <cell r="M4966">
            <v>0</v>
          </cell>
        </row>
        <row r="4967">
          <cell r="M4967">
            <v>0</v>
          </cell>
        </row>
        <row r="4968">
          <cell r="M4968">
            <v>0</v>
          </cell>
        </row>
        <row r="4969">
          <cell r="M4969">
            <v>0</v>
          </cell>
        </row>
        <row r="4970">
          <cell r="M4970">
            <v>0</v>
          </cell>
        </row>
        <row r="4971">
          <cell r="M4971">
            <v>0</v>
          </cell>
        </row>
        <row r="4972">
          <cell r="M4972">
            <v>0</v>
          </cell>
        </row>
        <row r="4975">
          <cell r="M4975">
            <v>0</v>
          </cell>
        </row>
        <row r="4978">
          <cell r="M4978">
            <v>0</v>
          </cell>
        </row>
        <row r="4979">
          <cell r="M4979">
            <v>0</v>
          </cell>
        </row>
        <row r="4980">
          <cell r="M4980">
            <v>0</v>
          </cell>
        </row>
        <row r="4981">
          <cell r="M4981">
            <v>0</v>
          </cell>
        </row>
        <row r="4982">
          <cell r="M4982">
            <v>0</v>
          </cell>
        </row>
        <row r="4983">
          <cell r="M4983">
            <v>0</v>
          </cell>
        </row>
        <row r="4984">
          <cell r="M4984">
            <v>0</v>
          </cell>
        </row>
        <row r="4985">
          <cell r="M4985">
            <v>0</v>
          </cell>
        </row>
        <row r="4986">
          <cell r="M4986">
            <v>0</v>
          </cell>
        </row>
        <row r="4987">
          <cell r="M4987">
            <v>0</v>
          </cell>
        </row>
        <row r="4988">
          <cell r="M4988">
            <v>0</v>
          </cell>
        </row>
        <row r="4989">
          <cell r="M4989">
            <v>0</v>
          </cell>
        </row>
        <row r="4990">
          <cell r="M4990">
            <v>0</v>
          </cell>
        </row>
        <row r="4991">
          <cell r="M4991">
            <v>0</v>
          </cell>
        </row>
        <row r="4992">
          <cell r="M4992">
            <v>0</v>
          </cell>
        </row>
        <row r="4993">
          <cell r="M4993">
            <v>0</v>
          </cell>
        </row>
        <row r="4994">
          <cell r="M4994">
            <v>0</v>
          </cell>
        </row>
        <row r="4997">
          <cell r="M4997">
            <v>0</v>
          </cell>
        </row>
        <row r="5000">
          <cell r="M5000">
            <v>0</v>
          </cell>
        </row>
        <row r="5001">
          <cell r="M5001">
            <v>0</v>
          </cell>
        </row>
        <row r="5002">
          <cell r="M5002">
            <v>0</v>
          </cell>
        </row>
        <row r="5003">
          <cell r="M5003">
            <v>0</v>
          </cell>
        </row>
        <row r="5004">
          <cell r="M5004">
            <v>0</v>
          </cell>
        </row>
        <row r="5005">
          <cell r="M5005">
            <v>0</v>
          </cell>
        </row>
        <row r="5006">
          <cell r="M5006">
            <v>0</v>
          </cell>
        </row>
        <row r="5007">
          <cell r="M5007">
            <v>0</v>
          </cell>
        </row>
        <row r="5008">
          <cell r="M5008">
            <v>0</v>
          </cell>
        </row>
        <row r="5009">
          <cell r="M5009">
            <v>0</v>
          </cell>
        </row>
        <row r="5010">
          <cell r="M5010">
            <v>0</v>
          </cell>
        </row>
        <row r="5011">
          <cell r="M5011">
            <v>0</v>
          </cell>
        </row>
        <row r="5012">
          <cell r="M5012">
            <v>0</v>
          </cell>
        </row>
        <row r="5013">
          <cell r="M5013">
            <v>0</v>
          </cell>
        </row>
        <row r="5014">
          <cell r="M5014">
            <v>0</v>
          </cell>
        </row>
        <row r="5015">
          <cell r="M5015">
            <v>0</v>
          </cell>
        </row>
        <row r="5016">
          <cell r="M5016">
            <v>0</v>
          </cell>
        </row>
        <row r="5019">
          <cell r="M5019">
            <v>0</v>
          </cell>
        </row>
        <row r="5022">
          <cell r="M5022">
            <v>0</v>
          </cell>
        </row>
        <row r="5023">
          <cell r="M5023">
            <v>0</v>
          </cell>
        </row>
        <row r="5024">
          <cell r="M5024">
            <v>0</v>
          </cell>
        </row>
        <row r="5025">
          <cell r="M5025">
            <v>0</v>
          </cell>
        </row>
        <row r="5026">
          <cell r="M5026">
            <v>0</v>
          </cell>
        </row>
        <row r="5027">
          <cell r="M5027">
            <v>0</v>
          </cell>
        </row>
        <row r="5028">
          <cell r="M5028">
            <v>0</v>
          </cell>
        </row>
        <row r="5029">
          <cell r="M5029">
            <v>0</v>
          </cell>
        </row>
        <row r="5030">
          <cell r="M5030">
            <v>0</v>
          </cell>
        </row>
        <row r="5031">
          <cell r="M5031">
            <v>0</v>
          </cell>
        </row>
        <row r="5032">
          <cell r="M5032">
            <v>0</v>
          </cell>
        </row>
        <row r="5033">
          <cell r="M5033">
            <v>0</v>
          </cell>
        </row>
        <row r="5034">
          <cell r="M5034">
            <v>0</v>
          </cell>
        </row>
        <row r="5035">
          <cell r="M5035">
            <v>0</v>
          </cell>
        </row>
        <row r="5036">
          <cell r="M5036">
            <v>0</v>
          </cell>
        </row>
        <row r="5037">
          <cell r="M5037">
            <v>0</v>
          </cell>
        </row>
        <row r="5038">
          <cell r="M5038">
            <v>0</v>
          </cell>
        </row>
        <row r="5041">
          <cell r="M5041">
            <v>0</v>
          </cell>
        </row>
        <row r="5044">
          <cell r="M5044">
            <v>0</v>
          </cell>
        </row>
        <row r="5045">
          <cell r="M5045">
            <v>0</v>
          </cell>
        </row>
        <row r="5046">
          <cell r="M5046">
            <v>0</v>
          </cell>
        </row>
        <row r="5047">
          <cell r="M5047">
            <v>0</v>
          </cell>
        </row>
        <row r="5048">
          <cell r="M5048">
            <v>0</v>
          </cell>
        </row>
        <row r="5049">
          <cell r="M5049">
            <v>0</v>
          </cell>
        </row>
        <row r="5050">
          <cell r="M5050">
            <v>0</v>
          </cell>
        </row>
        <row r="5051">
          <cell r="M5051">
            <v>0</v>
          </cell>
        </row>
        <row r="5052">
          <cell r="M5052">
            <v>0</v>
          </cell>
        </row>
        <row r="5053">
          <cell r="M5053">
            <v>0</v>
          </cell>
        </row>
        <row r="5054">
          <cell r="M5054">
            <v>0</v>
          </cell>
        </row>
        <row r="5055">
          <cell r="M5055">
            <v>0</v>
          </cell>
        </row>
        <row r="5056">
          <cell r="M5056">
            <v>0</v>
          </cell>
        </row>
        <row r="5057">
          <cell r="M5057">
            <v>0</v>
          </cell>
        </row>
        <row r="5058">
          <cell r="M5058">
            <v>0</v>
          </cell>
        </row>
        <row r="5059">
          <cell r="M5059">
            <v>0</v>
          </cell>
        </row>
        <row r="5060">
          <cell r="M5060">
            <v>0</v>
          </cell>
        </row>
        <row r="5063">
          <cell r="M5063">
            <v>0</v>
          </cell>
        </row>
        <row r="5066">
          <cell r="M5066">
            <v>0</v>
          </cell>
        </row>
        <row r="5067">
          <cell r="M5067">
            <v>0</v>
          </cell>
        </row>
        <row r="5068">
          <cell r="M5068">
            <v>0</v>
          </cell>
        </row>
        <row r="5069">
          <cell r="M5069">
            <v>0</v>
          </cell>
        </row>
        <row r="5070">
          <cell r="M5070">
            <v>0</v>
          </cell>
        </row>
        <row r="5071">
          <cell r="M5071">
            <v>0</v>
          </cell>
        </row>
        <row r="5072">
          <cell r="M5072">
            <v>0</v>
          </cell>
        </row>
        <row r="5073">
          <cell r="M5073">
            <v>0</v>
          </cell>
        </row>
        <row r="5074">
          <cell r="M5074">
            <v>0</v>
          </cell>
        </row>
        <row r="5075">
          <cell r="M5075">
            <v>0</v>
          </cell>
        </row>
        <row r="5076">
          <cell r="M5076">
            <v>0</v>
          </cell>
        </row>
        <row r="5077">
          <cell r="M5077">
            <v>0</v>
          </cell>
        </row>
        <row r="5078">
          <cell r="M5078">
            <v>0</v>
          </cell>
        </row>
        <row r="5079">
          <cell r="M5079">
            <v>0</v>
          </cell>
        </row>
        <row r="5080">
          <cell r="M5080">
            <v>0</v>
          </cell>
        </row>
        <row r="5081">
          <cell r="M5081">
            <v>0</v>
          </cell>
        </row>
        <row r="5082">
          <cell r="M5082">
            <v>0</v>
          </cell>
        </row>
        <row r="5085">
          <cell r="M5085">
            <v>0</v>
          </cell>
        </row>
        <row r="5088">
          <cell r="M5088">
            <v>0</v>
          </cell>
        </row>
        <row r="5089">
          <cell r="M5089">
            <v>0</v>
          </cell>
        </row>
        <row r="5090">
          <cell r="M5090">
            <v>0</v>
          </cell>
        </row>
        <row r="5091">
          <cell r="M5091">
            <v>0</v>
          </cell>
        </row>
        <row r="5092">
          <cell r="M5092">
            <v>0</v>
          </cell>
        </row>
        <row r="5093">
          <cell r="M5093">
            <v>0</v>
          </cell>
        </row>
        <row r="5094">
          <cell r="M5094">
            <v>0</v>
          </cell>
        </row>
        <row r="5095">
          <cell r="M5095">
            <v>0</v>
          </cell>
        </row>
        <row r="5096">
          <cell r="M5096">
            <v>0</v>
          </cell>
        </row>
        <row r="5097">
          <cell r="M5097">
            <v>0</v>
          </cell>
        </row>
        <row r="5098">
          <cell r="M5098">
            <v>0</v>
          </cell>
        </row>
        <row r="5099">
          <cell r="M5099">
            <v>0</v>
          </cell>
        </row>
        <row r="5100">
          <cell r="M5100">
            <v>0</v>
          </cell>
        </row>
        <row r="5101">
          <cell r="M5101">
            <v>0</v>
          </cell>
        </row>
        <row r="5102">
          <cell r="M5102">
            <v>0</v>
          </cell>
        </row>
        <row r="5103">
          <cell r="M5103">
            <v>0</v>
          </cell>
        </row>
        <row r="5104">
          <cell r="M5104">
            <v>0</v>
          </cell>
        </row>
        <row r="5107">
          <cell r="M5107">
            <v>0</v>
          </cell>
        </row>
        <row r="5110">
          <cell r="M5110">
            <v>0</v>
          </cell>
        </row>
        <row r="5111">
          <cell r="M5111">
            <v>0</v>
          </cell>
        </row>
        <row r="5112">
          <cell r="M5112">
            <v>0</v>
          </cell>
        </row>
        <row r="5113">
          <cell r="M5113">
            <v>0</v>
          </cell>
        </row>
        <row r="5114">
          <cell r="M5114">
            <v>0</v>
          </cell>
        </row>
        <row r="5115">
          <cell r="M5115">
            <v>0</v>
          </cell>
        </row>
        <row r="5116">
          <cell r="M5116">
            <v>0</v>
          </cell>
        </row>
        <row r="5117">
          <cell r="M5117">
            <v>0</v>
          </cell>
        </row>
        <row r="5118">
          <cell r="M5118">
            <v>0</v>
          </cell>
        </row>
        <row r="5119">
          <cell r="M5119">
            <v>0</v>
          </cell>
        </row>
        <row r="5120">
          <cell r="M5120">
            <v>0</v>
          </cell>
        </row>
        <row r="5121">
          <cell r="M5121">
            <v>0</v>
          </cell>
        </row>
        <row r="5122">
          <cell r="M5122">
            <v>0</v>
          </cell>
        </row>
        <row r="5123">
          <cell r="M5123">
            <v>0</v>
          </cell>
        </row>
        <row r="5124">
          <cell r="M5124">
            <v>0</v>
          </cell>
        </row>
        <row r="5125">
          <cell r="M5125">
            <v>0</v>
          </cell>
        </row>
        <row r="5126">
          <cell r="M5126">
            <v>0</v>
          </cell>
        </row>
        <row r="5129">
          <cell r="M5129">
            <v>0</v>
          </cell>
        </row>
        <row r="5132">
          <cell r="M5132">
            <v>0</v>
          </cell>
        </row>
        <row r="5133">
          <cell r="M5133">
            <v>0</v>
          </cell>
        </row>
        <row r="5134">
          <cell r="M5134">
            <v>0</v>
          </cell>
        </row>
        <row r="5135">
          <cell r="M5135">
            <v>0</v>
          </cell>
        </row>
        <row r="5136">
          <cell r="M5136">
            <v>0</v>
          </cell>
        </row>
        <row r="5137">
          <cell r="M5137">
            <v>0</v>
          </cell>
        </row>
        <row r="5138">
          <cell r="M5138">
            <v>0</v>
          </cell>
        </row>
        <row r="5139">
          <cell r="M5139">
            <v>0</v>
          </cell>
        </row>
        <row r="5140">
          <cell r="M5140">
            <v>0</v>
          </cell>
        </row>
        <row r="5141">
          <cell r="M5141">
            <v>0</v>
          </cell>
        </row>
        <row r="5142">
          <cell r="M5142">
            <v>0</v>
          </cell>
        </row>
        <row r="5143">
          <cell r="M5143">
            <v>0</v>
          </cell>
        </row>
        <row r="5144">
          <cell r="M5144">
            <v>0</v>
          </cell>
        </row>
        <row r="5145">
          <cell r="M5145">
            <v>0</v>
          </cell>
        </row>
        <row r="5146">
          <cell r="M5146">
            <v>0</v>
          </cell>
        </row>
        <row r="5147">
          <cell r="M5147">
            <v>0</v>
          </cell>
        </row>
        <row r="5148">
          <cell r="M5148">
            <v>0</v>
          </cell>
        </row>
        <row r="5151">
          <cell r="M5151">
            <v>0</v>
          </cell>
        </row>
        <row r="5154">
          <cell r="M5154">
            <v>0</v>
          </cell>
        </row>
        <row r="5155">
          <cell r="M5155">
            <v>0</v>
          </cell>
        </row>
        <row r="5156">
          <cell r="M5156">
            <v>0</v>
          </cell>
        </row>
        <row r="5157">
          <cell r="M5157">
            <v>0</v>
          </cell>
        </row>
        <row r="5158">
          <cell r="M5158">
            <v>0</v>
          </cell>
        </row>
        <row r="5159">
          <cell r="M5159">
            <v>0</v>
          </cell>
        </row>
        <row r="5160">
          <cell r="M5160">
            <v>0</v>
          </cell>
        </row>
        <row r="5161">
          <cell r="M5161">
            <v>0</v>
          </cell>
        </row>
        <row r="5162">
          <cell r="M5162">
            <v>0</v>
          </cell>
        </row>
        <row r="5163">
          <cell r="M5163">
            <v>0</v>
          </cell>
        </row>
        <row r="5164">
          <cell r="M5164">
            <v>0</v>
          </cell>
        </row>
        <row r="5165">
          <cell r="M5165">
            <v>0</v>
          </cell>
        </row>
        <row r="5166">
          <cell r="M5166">
            <v>0</v>
          </cell>
        </row>
        <row r="5167">
          <cell r="M5167">
            <v>0</v>
          </cell>
        </row>
        <row r="5168">
          <cell r="M5168">
            <v>0</v>
          </cell>
        </row>
        <row r="5169">
          <cell r="M5169">
            <v>0</v>
          </cell>
        </row>
        <row r="5170">
          <cell r="M5170">
            <v>0</v>
          </cell>
        </row>
        <row r="5173">
          <cell r="M5173">
            <v>0</v>
          </cell>
        </row>
        <row r="5176">
          <cell r="M5176">
            <v>0</v>
          </cell>
        </row>
        <row r="5177">
          <cell r="M5177">
            <v>0</v>
          </cell>
        </row>
        <row r="5178">
          <cell r="M5178">
            <v>0</v>
          </cell>
        </row>
        <row r="5179">
          <cell r="M5179">
            <v>0</v>
          </cell>
        </row>
        <row r="5180">
          <cell r="M5180">
            <v>0</v>
          </cell>
        </row>
        <row r="5181">
          <cell r="M5181">
            <v>0</v>
          </cell>
        </row>
        <row r="5182">
          <cell r="M5182">
            <v>0</v>
          </cell>
        </row>
        <row r="5183">
          <cell r="M5183">
            <v>0</v>
          </cell>
        </row>
        <row r="5184">
          <cell r="M5184">
            <v>0</v>
          </cell>
        </row>
        <row r="5185">
          <cell r="M5185">
            <v>0</v>
          </cell>
        </row>
        <row r="5186">
          <cell r="M5186">
            <v>0</v>
          </cell>
        </row>
        <row r="5187">
          <cell r="M5187">
            <v>0</v>
          </cell>
        </row>
        <row r="5188">
          <cell r="M5188">
            <v>0</v>
          </cell>
        </row>
        <row r="5189">
          <cell r="M5189">
            <v>0</v>
          </cell>
        </row>
        <row r="5190">
          <cell r="M5190">
            <v>0</v>
          </cell>
        </row>
        <row r="5191">
          <cell r="M5191">
            <v>0</v>
          </cell>
        </row>
        <row r="5192">
          <cell r="M5192">
            <v>0</v>
          </cell>
        </row>
        <row r="5195">
          <cell r="M5195">
            <v>0</v>
          </cell>
        </row>
        <row r="5198">
          <cell r="M5198">
            <v>0</v>
          </cell>
        </row>
        <row r="5199">
          <cell r="M5199">
            <v>0</v>
          </cell>
        </row>
        <row r="5200">
          <cell r="M5200">
            <v>0</v>
          </cell>
        </row>
        <row r="5201">
          <cell r="M5201">
            <v>0</v>
          </cell>
        </row>
        <row r="5202">
          <cell r="M5202">
            <v>0</v>
          </cell>
        </row>
        <row r="5203">
          <cell r="M5203">
            <v>0</v>
          </cell>
        </row>
        <row r="5204">
          <cell r="M5204">
            <v>0</v>
          </cell>
        </row>
        <row r="5205">
          <cell r="M5205">
            <v>0</v>
          </cell>
        </row>
        <row r="5206">
          <cell r="M5206">
            <v>0</v>
          </cell>
        </row>
        <row r="5207">
          <cell r="M5207">
            <v>0</v>
          </cell>
        </row>
        <row r="5208">
          <cell r="M5208">
            <v>0</v>
          </cell>
        </row>
        <row r="5209">
          <cell r="M5209">
            <v>0</v>
          </cell>
        </row>
        <row r="5210">
          <cell r="M5210">
            <v>0</v>
          </cell>
        </row>
        <row r="5211">
          <cell r="M5211">
            <v>0</v>
          </cell>
        </row>
        <row r="5212">
          <cell r="M5212">
            <v>0</v>
          </cell>
        </row>
        <row r="5213">
          <cell r="M5213">
            <v>0</v>
          </cell>
        </row>
        <row r="5214">
          <cell r="M5214">
            <v>0</v>
          </cell>
        </row>
        <row r="5217">
          <cell r="M5217">
            <v>0</v>
          </cell>
        </row>
        <row r="5220">
          <cell r="M5220">
            <v>0</v>
          </cell>
        </row>
        <row r="5221">
          <cell r="M5221">
            <v>0</v>
          </cell>
        </row>
        <row r="5222">
          <cell r="M5222">
            <v>0</v>
          </cell>
        </row>
        <row r="5223">
          <cell r="M5223">
            <v>0</v>
          </cell>
        </row>
        <row r="5224">
          <cell r="M5224">
            <v>0</v>
          </cell>
        </row>
        <row r="5225">
          <cell r="M5225">
            <v>0</v>
          </cell>
        </row>
        <row r="5226">
          <cell r="M5226">
            <v>0</v>
          </cell>
        </row>
        <row r="5227">
          <cell r="M5227">
            <v>0</v>
          </cell>
        </row>
        <row r="5228">
          <cell r="M5228">
            <v>0</v>
          </cell>
        </row>
        <row r="5229">
          <cell r="M5229">
            <v>0</v>
          </cell>
        </row>
        <row r="5230">
          <cell r="M5230">
            <v>0</v>
          </cell>
        </row>
        <row r="5231">
          <cell r="M5231">
            <v>0</v>
          </cell>
        </row>
        <row r="5232">
          <cell r="M5232">
            <v>0</v>
          </cell>
        </row>
        <row r="5233">
          <cell r="M5233">
            <v>0</v>
          </cell>
        </row>
        <row r="5234">
          <cell r="M5234">
            <v>0</v>
          </cell>
        </row>
        <row r="5235">
          <cell r="M5235">
            <v>0</v>
          </cell>
        </row>
        <row r="5236">
          <cell r="M5236">
            <v>0</v>
          </cell>
        </row>
        <row r="5239">
          <cell r="M5239">
            <v>0</v>
          </cell>
        </row>
        <row r="5242">
          <cell r="M5242">
            <v>0</v>
          </cell>
        </row>
        <row r="5243">
          <cell r="M5243">
            <v>0</v>
          </cell>
        </row>
        <row r="5244">
          <cell r="M5244">
            <v>0</v>
          </cell>
        </row>
        <row r="5245">
          <cell r="M5245">
            <v>0</v>
          </cell>
        </row>
        <row r="5246">
          <cell r="M5246">
            <v>0</v>
          </cell>
        </row>
        <row r="5247">
          <cell r="M5247">
            <v>0</v>
          </cell>
        </row>
        <row r="5248">
          <cell r="M5248">
            <v>0</v>
          </cell>
        </row>
        <row r="5249">
          <cell r="M5249">
            <v>0</v>
          </cell>
        </row>
        <row r="5250">
          <cell r="M5250">
            <v>0</v>
          </cell>
        </row>
        <row r="5251">
          <cell r="M5251">
            <v>0</v>
          </cell>
        </row>
        <row r="5252">
          <cell r="M5252">
            <v>0</v>
          </cell>
        </row>
        <row r="5253">
          <cell r="M5253">
            <v>0</v>
          </cell>
        </row>
        <row r="5254">
          <cell r="M5254">
            <v>0</v>
          </cell>
        </row>
        <row r="5255">
          <cell r="M5255">
            <v>0</v>
          </cell>
        </row>
        <row r="5256">
          <cell r="M5256">
            <v>0</v>
          </cell>
        </row>
        <row r="5257">
          <cell r="M5257">
            <v>0</v>
          </cell>
        </row>
        <row r="5258">
          <cell r="M5258">
            <v>0</v>
          </cell>
        </row>
        <row r="5261">
          <cell r="M5261">
            <v>0</v>
          </cell>
        </row>
        <row r="5264">
          <cell r="M5264">
            <v>0</v>
          </cell>
        </row>
        <row r="5265">
          <cell r="M5265">
            <v>0</v>
          </cell>
        </row>
        <row r="5266">
          <cell r="M5266">
            <v>0</v>
          </cell>
        </row>
        <row r="5267">
          <cell r="M5267">
            <v>0</v>
          </cell>
        </row>
        <row r="5268">
          <cell r="M5268">
            <v>0</v>
          </cell>
        </row>
        <row r="5269">
          <cell r="M5269">
            <v>0</v>
          </cell>
        </row>
        <row r="5270">
          <cell r="M5270">
            <v>0</v>
          </cell>
        </row>
        <row r="5271">
          <cell r="M5271">
            <v>0</v>
          </cell>
        </row>
        <row r="5272">
          <cell r="M5272">
            <v>0</v>
          </cell>
        </row>
        <row r="5273">
          <cell r="M5273">
            <v>0</v>
          </cell>
        </row>
        <row r="5274">
          <cell r="M5274">
            <v>0</v>
          </cell>
        </row>
        <row r="5275">
          <cell r="M5275">
            <v>0</v>
          </cell>
        </row>
        <row r="5276">
          <cell r="M5276">
            <v>0</v>
          </cell>
        </row>
        <row r="5277">
          <cell r="M5277">
            <v>0</v>
          </cell>
        </row>
        <row r="5278">
          <cell r="M5278">
            <v>0</v>
          </cell>
        </row>
        <row r="5279">
          <cell r="M5279">
            <v>0</v>
          </cell>
        </row>
        <row r="5280">
          <cell r="M5280">
            <v>0</v>
          </cell>
        </row>
        <row r="5283">
          <cell r="M5283">
            <v>0</v>
          </cell>
        </row>
        <row r="5286">
          <cell r="M5286">
            <v>0</v>
          </cell>
        </row>
        <row r="5287">
          <cell r="M5287">
            <v>0</v>
          </cell>
        </row>
        <row r="5288">
          <cell r="M5288">
            <v>0</v>
          </cell>
        </row>
        <row r="5289">
          <cell r="M5289">
            <v>0</v>
          </cell>
        </row>
        <row r="5290">
          <cell r="M5290">
            <v>0</v>
          </cell>
        </row>
        <row r="5291">
          <cell r="M5291">
            <v>0</v>
          </cell>
        </row>
        <row r="5292">
          <cell r="M5292">
            <v>0</v>
          </cell>
        </row>
        <row r="5293">
          <cell r="M5293">
            <v>0</v>
          </cell>
        </row>
        <row r="5294">
          <cell r="M5294">
            <v>0</v>
          </cell>
        </row>
        <row r="5295">
          <cell r="M5295">
            <v>0</v>
          </cell>
        </row>
        <row r="5296">
          <cell r="M5296">
            <v>0</v>
          </cell>
        </row>
        <row r="5297">
          <cell r="M5297">
            <v>0</v>
          </cell>
        </row>
        <row r="5298">
          <cell r="M5298">
            <v>0</v>
          </cell>
        </row>
        <row r="5299">
          <cell r="M5299">
            <v>0</v>
          </cell>
        </row>
        <row r="5300">
          <cell r="M5300">
            <v>0</v>
          </cell>
        </row>
        <row r="5301">
          <cell r="M5301">
            <v>0</v>
          </cell>
        </row>
        <row r="5302">
          <cell r="M5302">
            <v>0</v>
          </cell>
        </row>
        <row r="5305">
          <cell r="M5305">
            <v>0</v>
          </cell>
        </row>
        <row r="5308">
          <cell r="M5308">
            <v>0</v>
          </cell>
        </row>
        <row r="5309">
          <cell r="M5309">
            <v>0</v>
          </cell>
        </row>
        <row r="5310">
          <cell r="M5310">
            <v>0</v>
          </cell>
        </row>
        <row r="5311">
          <cell r="M5311">
            <v>0</v>
          </cell>
        </row>
        <row r="5312">
          <cell r="M5312">
            <v>0</v>
          </cell>
        </row>
        <row r="5313">
          <cell r="M5313">
            <v>0</v>
          </cell>
        </row>
        <row r="5314">
          <cell r="M5314">
            <v>0</v>
          </cell>
        </row>
        <row r="5315">
          <cell r="M5315">
            <v>0</v>
          </cell>
        </row>
        <row r="5316">
          <cell r="M5316">
            <v>0</v>
          </cell>
        </row>
        <row r="5317">
          <cell r="M5317">
            <v>0</v>
          </cell>
        </row>
        <row r="5318">
          <cell r="M5318">
            <v>0</v>
          </cell>
        </row>
        <row r="5319">
          <cell r="M5319">
            <v>0</v>
          </cell>
        </row>
        <row r="5320">
          <cell r="M5320">
            <v>0</v>
          </cell>
        </row>
        <row r="5321">
          <cell r="M5321">
            <v>0</v>
          </cell>
        </row>
        <row r="5322">
          <cell r="M5322">
            <v>0</v>
          </cell>
        </row>
        <row r="5323">
          <cell r="M5323">
            <v>0</v>
          </cell>
        </row>
        <row r="5324">
          <cell r="M5324">
            <v>0</v>
          </cell>
        </row>
        <row r="5327">
          <cell r="M5327">
            <v>0</v>
          </cell>
        </row>
        <row r="5330">
          <cell r="M5330">
            <v>0</v>
          </cell>
        </row>
        <row r="5331">
          <cell r="M5331">
            <v>0</v>
          </cell>
        </row>
        <row r="5332">
          <cell r="M5332">
            <v>0</v>
          </cell>
        </row>
        <row r="5333">
          <cell r="M5333">
            <v>0</v>
          </cell>
        </row>
        <row r="5334">
          <cell r="M5334">
            <v>0</v>
          </cell>
        </row>
        <row r="5335">
          <cell r="M5335">
            <v>0</v>
          </cell>
        </row>
        <row r="5336">
          <cell r="M5336">
            <v>0</v>
          </cell>
        </row>
        <row r="5337">
          <cell r="M5337">
            <v>0</v>
          </cell>
        </row>
        <row r="5338">
          <cell r="M5338">
            <v>0</v>
          </cell>
        </row>
        <row r="5339">
          <cell r="M5339">
            <v>0</v>
          </cell>
        </row>
        <row r="5340">
          <cell r="M5340">
            <v>0</v>
          </cell>
        </row>
        <row r="5341">
          <cell r="M5341">
            <v>0</v>
          </cell>
        </row>
        <row r="5342">
          <cell r="M5342">
            <v>0</v>
          </cell>
        </row>
        <row r="5343">
          <cell r="M5343">
            <v>0</v>
          </cell>
        </row>
        <row r="5344">
          <cell r="M5344">
            <v>0</v>
          </cell>
        </row>
        <row r="5345">
          <cell r="M5345">
            <v>0</v>
          </cell>
        </row>
        <row r="5346">
          <cell r="M5346">
            <v>0</v>
          </cell>
        </row>
        <row r="5349">
          <cell r="M5349">
            <v>0</v>
          </cell>
        </row>
        <row r="5352">
          <cell r="M5352">
            <v>0</v>
          </cell>
        </row>
        <row r="5353">
          <cell r="M5353">
            <v>0</v>
          </cell>
        </row>
        <row r="5354">
          <cell r="M5354">
            <v>0</v>
          </cell>
        </row>
        <row r="5355">
          <cell r="M5355">
            <v>0</v>
          </cell>
        </row>
        <row r="5356">
          <cell r="M5356">
            <v>0</v>
          </cell>
        </row>
        <row r="5357">
          <cell r="M5357">
            <v>0</v>
          </cell>
        </row>
        <row r="5358">
          <cell r="M5358">
            <v>0</v>
          </cell>
        </row>
        <row r="5359">
          <cell r="M5359">
            <v>0</v>
          </cell>
        </row>
        <row r="5360">
          <cell r="M5360">
            <v>0</v>
          </cell>
        </row>
        <row r="5361">
          <cell r="M5361">
            <v>0</v>
          </cell>
        </row>
        <row r="5362">
          <cell r="M5362">
            <v>0</v>
          </cell>
        </row>
        <row r="5363">
          <cell r="M5363">
            <v>0</v>
          </cell>
        </row>
        <row r="5364">
          <cell r="M5364">
            <v>0</v>
          </cell>
        </row>
        <row r="5365">
          <cell r="M5365">
            <v>0</v>
          </cell>
        </row>
        <row r="5366">
          <cell r="M5366">
            <v>0</v>
          </cell>
        </row>
        <row r="5367">
          <cell r="M5367">
            <v>0</v>
          </cell>
        </row>
        <row r="5368">
          <cell r="M5368">
            <v>0</v>
          </cell>
        </row>
        <row r="5371">
          <cell r="M5371">
            <v>0</v>
          </cell>
        </row>
        <row r="5374">
          <cell r="M5374">
            <v>0</v>
          </cell>
        </row>
        <row r="5375">
          <cell r="M5375">
            <v>0</v>
          </cell>
        </row>
        <row r="5376">
          <cell r="M5376">
            <v>0</v>
          </cell>
        </row>
        <row r="5377">
          <cell r="M5377">
            <v>0</v>
          </cell>
        </row>
        <row r="5378">
          <cell r="M5378">
            <v>0</v>
          </cell>
        </row>
        <row r="5379">
          <cell r="M5379">
            <v>0</v>
          </cell>
        </row>
        <row r="5380">
          <cell r="M5380">
            <v>0</v>
          </cell>
        </row>
        <row r="5381">
          <cell r="M5381">
            <v>0</v>
          </cell>
        </row>
        <row r="5382">
          <cell r="M5382">
            <v>0</v>
          </cell>
        </row>
        <row r="5383">
          <cell r="M5383">
            <v>0</v>
          </cell>
        </row>
        <row r="5384">
          <cell r="M5384">
            <v>0</v>
          </cell>
        </row>
        <row r="5385">
          <cell r="M5385">
            <v>0</v>
          </cell>
        </row>
        <row r="5386">
          <cell r="M5386">
            <v>0</v>
          </cell>
        </row>
        <row r="5387">
          <cell r="M5387">
            <v>0</v>
          </cell>
        </row>
        <row r="5388">
          <cell r="M5388">
            <v>0</v>
          </cell>
        </row>
        <row r="5389">
          <cell r="M5389">
            <v>0</v>
          </cell>
        </row>
        <row r="5390">
          <cell r="M5390">
            <v>0</v>
          </cell>
        </row>
        <row r="5393">
          <cell r="M5393">
            <v>0</v>
          </cell>
        </row>
        <row r="5396">
          <cell r="M5396">
            <v>0</v>
          </cell>
        </row>
        <row r="5397">
          <cell r="M5397">
            <v>0</v>
          </cell>
        </row>
        <row r="5398">
          <cell r="M5398">
            <v>0</v>
          </cell>
        </row>
        <row r="5399">
          <cell r="M5399">
            <v>0</v>
          </cell>
        </row>
        <row r="5400">
          <cell r="M5400">
            <v>0</v>
          </cell>
        </row>
        <row r="5401">
          <cell r="M5401">
            <v>0</v>
          </cell>
        </row>
        <row r="5402">
          <cell r="M5402">
            <v>0</v>
          </cell>
        </row>
        <row r="5403">
          <cell r="M5403">
            <v>0</v>
          </cell>
        </row>
        <row r="5404">
          <cell r="M5404">
            <v>0</v>
          </cell>
        </row>
        <row r="5405">
          <cell r="M5405">
            <v>0</v>
          </cell>
        </row>
        <row r="5406">
          <cell r="M5406">
            <v>0</v>
          </cell>
        </row>
        <row r="5407">
          <cell r="M5407">
            <v>0</v>
          </cell>
        </row>
        <row r="5408">
          <cell r="M5408">
            <v>0</v>
          </cell>
        </row>
        <row r="5409">
          <cell r="M5409">
            <v>0</v>
          </cell>
        </row>
        <row r="5410">
          <cell r="M5410">
            <v>0</v>
          </cell>
        </row>
        <row r="5411">
          <cell r="M5411">
            <v>0</v>
          </cell>
        </row>
        <row r="5412">
          <cell r="M5412">
            <v>0</v>
          </cell>
        </row>
        <row r="5415">
          <cell r="M5415">
            <v>0</v>
          </cell>
        </row>
        <row r="5418">
          <cell r="M5418">
            <v>0</v>
          </cell>
        </row>
        <row r="5419">
          <cell r="M5419">
            <v>0</v>
          </cell>
        </row>
        <row r="5420">
          <cell r="M5420">
            <v>0</v>
          </cell>
        </row>
        <row r="5421">
          <cell r="M5421">
            <v>0</v>
          </cell>
        </row>
        <row r="5422">
          <cell r="M5422">
            <v>0</v>
          </cell>
        </row>
        <row r="5423">
          <cell r="M5423">
            <v>0</v>
          </cell>
        </row>
        <row r="5424">
          <cell r="M5424">
            <v>0</v>
          </cell>
        </row>
        <row r="5425">
          <cell r="M5425">
            <v>0</v>
          </cell>
        </row>
        <row r="5426">
          <cell r="M5426">
            <v>0</v>
          </cell>
        </row>
        <row r="5427">
          <cell r="M5427">
            <v>0</v>
          </cell>
        </row>
        <row r="5428">
          <cell r="M5428">
            <v>0</v>
          </cell>
        </row>
        <row r="5429">
          <cell r="M5429">
            <v>0</v>
          </cell>
        </row>
        <row r="5430">
          <cell r="M5430">
            <v>0</v>
          </cell>
        </row>
        <row r="5431">
          <cell r="M5431">
            <v>0</v>
          </cell>
        </row>
        <row r="5432">
          <cell r="M5432">
            <v>0</v>
          </cell>
        </row>
        <row r="5433">
          <cell r="M5433">
            <v>0</v>
          </cell>
        </row>
        <row r="5434">
          <cell r="M5434">
            <v>0</v>
          </cell>
        </row>
        <row r="5437">
          <cell r="M5437">
            <v>0</v>
          </cell>
        </row>
        <row r="5440">
          <cell r="M5440">
            <v>0</v>
          </cell>
        </row>
        <row r="5441">
          <cell r="M5441">
            <v>0</v>
          </cell>
        </row>
        <row r="5442">
          <cell r="M5442">
            <v>0</v>
          </cell>
        </row>
        <row r="5443">
          <cell r="M5443">
            <v>0</v>
          </cell>
        </row>
        <row r="5444">
          <cell r="M5444">
            <v>0</v>
          </cell>
        </row>
        <row r="5445">
          <cell r="M5445">
            <v>0</v>
          </cell>
        </row>
        <row r="5446">
          <cell r="M5446">
            <v>0</v>
          </cell>
        </row>
        <row r="5447">
          <cell r="M5447">
            <v>0</v>
          </cell>
        </row>
        <row r="5448">
          <cell r="M5448">
            <v>0</v>
          </cell>
        </row>
        <row r="5449">
          <cell r="M5449">
            <v>0</v>
          </cell>
        </row>
        <row r="5450">
          <cell r="M5450">
            <v>0</v>
          </cell>
        </row>
        <row r="5451">
          <cell r="M5451">
            <v>0</v>
          </cell>
        </row>
        <row r="5452">
          <cell r="M5452">
            <v>0</v>
          </cell>
        </row>
        <row r="5453">
          <cell r="M5453">
            <v>0</v>
          </cell>
        </row>
        <row r="5454">
          <cell r="M5454">
            <v>0</v>
          </cell>
        </row>
        <row r="5455">
          <cell r="M5455">
            <v>0</v>
          </cell>
        </row>
        <row r="5456">
          <cell r="M5456">
            <v>0</v>
          </cell>
        </row>
        <row r="5459">
          <cell r="M5459">
            <v>0</v>
          </cell>
        </row>
        <row r="5462">
          <cell r="M5462">
            <v>0</v>
          </cell>
        </row>
        <row r="5463">
          <cell r="M5463">
            <v>0</v>
          </cell>
        </row>
        <row r="5464">
          <cell r="M5464">
            <v>0</v>
          </cell>
        </row>
        <row r="5465">
          <cell r="M5465">
            <v>0</v>
          </cell>
        </row>
        <row r="5466">
          <cell r="M5466">
            <v>0</v>
          </cell>
        </row>
        <row r="5467">
          <cell r="M5467">
            <v>0</v>
          </cell>
        </row>
        <row r="5468">
          <cell r="M5468">
            <v>0</v>
          </cell>
        </row>
        <row r="5469">
          <cell r="M5469">
            <v>0</v>
          </cell>
        </row>
        <row r="5470">
          <cell r="M5470">
            <v>0</v>
          </cell>
        </row>
        <row r="5471">
          <cell r="M5471">
            <v>0</v>
          </cell>
        </row>
        <row r="5472">
          <cell r="M5472">
            <v>0</v>
          </cell>
        </row>
        <row r="5473">
          <cell r="M5473">
            <v>0</v>
          </cell>
        </row>
        <row r="5474">
          <cell r="M5474">
            <v>0</v>
          </cell>
        </row>
        <row r="5475">
          <cell r="M5475">
            <v>0</v>
          </cell>
        </row>
        <row r="5476">
          <cell r="M5476">
            <v>0</v>
          </cell>
        </row>
        <row r="5477">
          <cell r="M5477">
            <v>0</v>
          </cell>
        </row>
        <row r="5478">
          <cell r="M5478">
            <v>0</v>
          </cell>
        </row>
        <row r="5481">
          <cell r="M5481">
            <v>0</v>
          </cell>
        </row>
        <row r="5484">
          <cell r="M5484">
            <v>0</v>
          </cell>
        </row>
        <row r="5485">
          <cell r="M5485">
            <v>0</v>
          </cell>
        </row>
        <row r="5486">
          <cell r="M5486">
            <v>0</v>
          </cell>
        </row>
        <row r="5487">
          <cell r="M5487">
            <v>0</v>
          </cell>
        </row>
        <row r="5488">
          <cell r="M5488">
            <v>0</v>
          </cell>
        </row>
        <row r="5489">
          <cell r="M5489">
            <v>0</v>
          </cell>
        </row>
        <row r="5490">
          <cell r="M5490">
            <v>0</v>
          </cell>
        </row>
        <row r="5491">
          <cell r="M5491">
            <v>0</v>
          </cell>
        </row>
        <row r="5492">
          <cell r="M5492">
            <v>0</v>
          </cell>
        </row>
        <row r="5493">
          <cell r="M5493">
            <v>0</v>
          </cell>
        </row>
        <row r="5494">
          <cell r="M5494">
            <v>0</v>
          </cell>
        </row>
        <row r="5495">
          <cell r="M5495">
            <v>0</v>
          </cell>
        </row>
        <row r="5496">
          <cell r="M5496">
            <v>0</v>
          </cell>
        </row>
        <row r="5497">
          <cell r="M5497">
            <v>0</v>
          </cell>
        </row>
        <row r="5498">
          <cell r="M5498">
            <v>0</v>
          </cell>
        </row>
        <row r="5499">
          <cell r="M5499">
            <v>0</v>
          </cell>
        </row>
        <row r="5500">
          <cell r="M5500">
            <v>0</v>
          </cell>
        </row>
        <row r="5503">
          <cell r="M5503">
            <v>0</v>
          </cell>
        </row>
        <row r="5506">
          <cell r="M5506">
            <v>0</v>
          </cell>
        </row>
        <row r="5507">
          <cell r="M5507">
            <v>0</v>
          </cell>
        </row>
        <row r="5508">
          <cell r="M5508">
            <v>0</v>
          </cell>
        </row>
        <row r="5509">
          <cell r="M5509">
            <v>0</v>
          </cell>
        </row>
        <row r="5510">
          <cell r="M5510">
            <v>0</v>
          </cell>
        </row>
        <row r="5511">
          <cell r="M5511">
            <v>0</v>
          </cell>
        </row>
        <row r="5512">
          <cell r="M5512">
            <v>0</v>
          </cell>
        </row>
        <row r="5513">
          <cell r="M5513">
            <v>0</v>
          </cell>
        </row>
        <row r="5514">
          <cell r="M5514">
            <v>0</v>
          </cell>
        </row>
        <row r="5515">
          <cell r="M5515">
            <v>0</v>
          </cell>
        </row>
        <row r="5516">
          <cell r="M5516">
            <v>0</v>
          </cell>
        </row>
        <row r="5517">
          <cell r="M5517">
            <v>0</v>
          </cell>
        </row>
        <row r="5518">
          <cell r="M5518">
            <v>0</v>
          </cell>
        </row>
        <row r="5519">
          <cell r="M5519">
            <v>0</v>
          </cell>
        </row>
        <row r="5520">
          <cell r="M5520">
            <v>0</v>
          </cell>
        </row>
        <row r="5521">
          <cell r="M5521">
            <v>0</v>
          </cell>
        </row>
        <row r="5522">
          <cell r="M5522">
            <v>0</v>
          </cell>
        </row>
        <row r="5525">
          <cell r="M5525">
            <v>0</v>
          </cell>
        </row>
        <row r="5528">
          <cell r="M5528">
            <v>0</v>
          </cell>
        </row>
        <row r="5529">
          <cell r="M5529">
            <v>0</v>
          </cell>
        </row>
        <row r="5530">
          <cell r="M5530">
            <v>0</v>
          </cell>
        </row>
        <row r="5531">
          <cell r="M5531">
            <v>0</v>
          </cell>
        </row>
        <row r="5532">
          <cell r="M5532">
            <v>0</v>
          </cell>
        </row>
        <row r="5533">
          <cell r="M5533">
            <v>0</v>
          </cell>
        </row>
        <row r="5534">
          <cell r="M5534">
            <v>0</v>
          </cell>
        </row>
        <row r="5535">
          <cell r="M5535">
            <v>0</v>
          </cell>
        </row>
        <row r="5536">
          <cell r="M5536">
            <v>0</v>
          </cell>
        </row>
        <row r="5537">
          <cell r="M5537">
            <v>0</v>
          </cell>
        </row>
        <row r="5538">
          <cell r="M5538">
            <v>0</v>
          </cell>
        </row>
        <row r="5539">
          <cell r="M5539">
            <v>0</v>
          </cell>
        </row>
        <row r="5540">
          <cell r="M5540">
            <v>0</v>
          </cell>
        </row>
        <row r="5541">
          <cell r="M5541">
            <v>0</v>
          </cell>
        </row>
        <row r="5542">
          <cell r="M5542">
            <v>0</v>
          </cell>
        </row>
        <row r="5543">
          <cell r="M5543">
            <v>0</v>
          </cell>
        </row>
        <row r="5544">
          <cell r="M5544">
            <v>0</v>
          </cell>
        </row>
        <row r="5547">
          <cell r="M5547">
            <v>0</v>
          </cell>
        </row>
        <row r="5550">
          <cell r="M5550">
            <v>0</v>
          </cell>
        </row>
        <row r="5551">
          <cell r="M5551">
            <v>0</v>
          </cell>
        </row>
        <row r="5552">
          <cell r="M5552">
            <v>0</v>
          </cell>
        </row>
        <row r="5553">
          <cell r="M5553">
            <v>0</v>
          </cell>
        </row>
        <row r="5554">
          <cell r="M5554">
            <v>0</v>
          </cell>
        </row>
        <row r="5555">
          <cell r="M5555">
            <v>0</v>
          </cell>
        </row>
        <row r="5556">
          <cell r="M5556">
            <v>0</v>
          </cell>
        </row>
        <row r="5557">
          <cell r="M5557">
            <v>0</v>
          </cell>
        </row>
        <row r="5558">
          <cell r="M5558">
            <v>0</v>
          </cell>
        </row>
        <row r="5559">
          <cell r="M5559">
            <v>0</v>
          </cell>
        </row>
        <row r="5560">
          <cell r="M5560">
            <v>0</v>
          </cell>
        </row>
        <row r="5561">
          <cell r="M5561">
            <v>0</v>
          </cell>
        </row>
        <row r="5562">
          <cell r="M5562">
            <v>0</v>
          </cell>
        </row>
        <row r="5563">
          <cell r="M5563">
            <v>0</v>
          </cell>
        </row>
        <row r="5564">
          <cell r="M5564">
            <v>0</v>
          </cell>
        </row>
        <row r="5565">
          <cell r="M5565">
            <v>0</v>
          </cell>
        </row>
        <row r="5566">
          <cell r="M5566">
            <v>0</v>
          </cell>
        </row>
        <row r="5569">
          <cell r="M5569">
            <v>0</v>
          </cell>
        </row>
        <row r="5572">
          <cell r="M5572">
            <v>0</v>
          </cell>
        </row>
        <row r="5573">
          <cell r="M5573">
            <v>0</v>
          </cell>
        </row>
        <row r="5574">
          <cell r="M5574">
            <v>0</v>
          </cell>
        </row>
        <row r="5575">
          <cell r="M5575">
            <v>0</v>
          </cell>
        </row>
        <row r="5576">
          <cell r="M5576">
            <v>0</v>
          </cell>
        </row>
        <row r="5577">
          <cell r="M5577">
            <v>0</v>
          </cell>
        </row>
        <row r="5578">
          <cell r="M5578">
            <v>0</v>
          </cell>
        </row>
        <row r="5579">
          <cell r="M5579">
            <v>0</v>
          </cell>
        </row>
        <row r="5580">
          <cell r="M5580">
            <v>0</v>
          </cell>
        </row>
        <row r="5581">
          <cell r="M5581">
            <v>0</v>
          </cell>
        </row>
        <row r="5582">
          <cell r="M5582">
            <v>0</v>
          </cell>
        </row>
        <row r="5583">
          <cell r="M5583">
            <v>0</v>
          </cell>
        </row>
        <row r="5584">
          <cell r="M5584">
            <v>0</v>
          </cell>
        </row>
        <row r="5585">
          <cell r="M5585">
            <v>0</v>
          </cell>
        </row>
        <row r="5586">
          <cell r="M5586">
            <v>0</v>
          </cell>
        </row>
        <row r="5587">
          <cell r="M5587">
            <v>0</v>
          </cell>
        </row>
        <row r="5588">
          <cell r="M5588">
            <v>0</v>
          </cell>
        </row>
        <row r="5591">
          <cell r="M5591">
            <v>0</v>
          </cell>
        </row>
        <row r="5594">
          <cell r="M5594">
            <v>0</v>
          </cell>
        </row>
        <row r="5595">
          <cell r="M5595">
            <v>0</v>
          </cell>
        </row>
        <row r="5596">
          <cell r="M5596">
            <v>0</v>
          </cell>
        </row>
        <row r="5597">
          <cell r="M5597">
            <v>0</v>
          </cell>
        </row>
        <row r="5598">
          <cell r="M5598">
            <v>0</v>
          </cell>
        </row>
        <row r="5599">
          <cell r="M5599">
            <v>0</v>
          </cell>
        </row>
        <row r="5600">
          <cell r="M5600">
            <v>0</v>
          </cell>
        </row>
        <row r="5601">
          <cell r="M5601">
            <v>0</v>
          </cell>
        </row>
        <row r="5602">
          <cell r="M5602">
            <v>0</v>
          </cell>
        </row>
        <row r="5603">
          <cell r="M5603">
            <v>0</v>
          </cell>
        </row>
        <row r="5604">
          <cell r="M5604">
            <v>0</v>
          </cell>
        </row>
        <row r="5605">
          <cell r="M5605">
            <v>0</v>
          </cell>
        </row>
        <row r="5606">
          <cell r="M5606">
            <v>0</v>
          </cell>
        </row>
        <row r="5607">
          <cell r="M5607">
            <v>0</v>
          </cell>
        </row>
        <row r="5608">
          <cell r="M5608">
            <v>0</v>
          </cell>
        </row>
        <row r="5609">
          <cell r="M5609">
            <v>0</v>
          </cell>
        </row>
        <row r="5610">
          <cell r="M5610">
            <v>0</v>
          </cell>
        </row>
        <row r="5613">
          <cell r="M5613">
            <v>0</v>
          </cell>
        </row>
        <row r="5616">
          <cell r="M5616">
            <v>0</v>
          </cell>
        </row>
        <row r="5617">
          <cell r="M5617">
            <v>0</v>
          </cell>
        </row>
        <row r="5618">
          <cell r="M5618">
            <v>0</v>
          </cell>
        </row>
        <row r="5619">
          <cell r="M5619">
            <v>0</v>
          </cell>
        </row>
        <row r="5620">
          <cell r="M5620">
            <v>0</v>
          </cell>
        </row>
        <row r="5621">
          <cell r="M5621">
            <v>0</v>
          </cell>
        </row>
        <row r="5622">
          <cell r="M5622">
            <v>0</v>
          </cell>
        </row>
        <row r="5623">
          <cell r="M5623">
            <v>0</v>
          </cell>
        </row>
        <row r="5624">
          <cell r="M5624">
            <v>0</v>
          </cell>
        </row>
        <row r="5625">
          <cell r="M5625">
            <v>0</v>
          </cell>
        </row>
        <row r="5626">
          <cell r="M5626">
            <v>0</v>
          </cell>
        </row>
        <row r="5627">
          <cell r="M5627">
            <v>0</v>
          </cell>
        </row>
        <row r="5628">
          <cell r="M5628">
            <v>0</v>
          </cell>
        </row>
        <row r="5629">
          <cell r="M5629">
            <v>0</v>
          </cell>
        </row>
        <row r="5630">
          <cell r="M5630">
            <v>0</v>
          </cell>
        </row>
        <row r="5631">
          <cell r="M5631">
            <v>0</v>
          </cell>
        </row>
        <row r="5632">
          <cell r="M563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가배관내역서"/>
      <sheetName val="목록"/>
      <sheetName val="일위대가"/>
      <sheetName val="KP접합"/>
      <sheetName val="잡철물"/>
      <sheetName val="중기사용료목록"/>
      <sheetName val="중기사용료"/>
      <sheetName val="중기기초자료"/>
      <sheetName val="자재"/>
      <sheetName val="노임"/>
      <sheetName val="경비"/>
      <sheetName val="자재조서"/>
      <sheetName val="Sheet1"/>
      <sheetName val="전역변수"/>
      <sheetName val="중기전역변수"/>
    </sheetNames>
    <sheetDataSet>
      <sheetData sheetId="0"/>
      <sheetData sheetId="1">
        <row r="4">
          <cell r="B4" t="str">
            <v>강관부설(기계)</v>
          </cell>
          <cell r="I4">
            <v>106347.2</v>
          </cell>
          <cell r="K4">
            <v>896273.4</v>
          </cell>
          <cell r="M4">
            <v>156231.79999999999</v>
          </cell>
        </row>
        <row r="6">
          <cell r="B6" t="str">
            <v>강관접합(B종)</v>
          </cell>
          <cell r="I6">
            <v>47946.5</v>
          </cell>
          <cell r="K6">
            <v>560384</v>
          </cell>
          <cell r="M6">
            <v>33623</v>
          </cell>
        </row>
        <row r="8">
          <cell r="B8" t="str">
            <v>강관절단(B종)</v>
          </cell>
          <cell r="I8">
            <v>57031</v>
          </cell>
          <cell r="K8">
            <v>479104</v>
          </cell>
          <cell r="M8">
            <v>0</v>
          </cell>
        </row>
        <row r="10">
          <cell r="B10" t="str">
            <v>플랜지조인트접합</v>
          </cell>
          <cell r="I10">
            <v>650000</v>
          </cell>
          <cell r="K10">
            <v>178312</v>
          </cell>
          <cell r="M10">
            <v>3566</v>
          </cell>
        </row>
        <row r="12">
          <cell r="B12" t="str">
            <v>강관철거</v>
          </cell>
          <cell r="I12">
            <v>107329.60000000001</v>
          </cell>
          <cell r="K12">
            <v>783509.7</v>
          </cell>
          <cell r="M12">
            <v>78115.899999999994</v>
          </cell>
        </row>
      </sheetData>
      <sheetData sheetId="2">
        <row r="5">
          <cell r="B5" t="str">
            <v>강관부설(기계)</v>
          </cell>
        </row>
        <row r="17">
          <cell r="B17" t="str">
            <v>강관접합(B종)</v>
          </cell>
          <cell r="K17">
            <v>560384</v>
          </cell>
          <cell r="M17">
            <v>33623</v>
          </cell>
        </row>
        <row r="29">
          <cell r="B29" t="str">
            <v>강관절단(B종)</v>
          </cell>
          <cell r="K29">
            <v>479104</v>
          </cell>
          <cell r="M29">
            <v>0</v>
          </cell>
        </row>
        <row r="43">
          <cell r="B43" t="str">
            <v>플랜지조인트접합</v>
          </cell>
          <cell r="K43">
            <v>178312</v>
          </cell>
          <cell r="M43">
            <v>3566</v>
          </cell>
        </row>
        <row r="55">
          <cell r="B55" t="str">
            <v>강관철거</v>
          </cell>
          <cell r="K55">
            <v>783509.7</v>
          </cell>
          <cell r="M55">
            <v>78115.899999999994</v>
          </cell>
        </row>
        <row r="63">
          <cell r="B63" t="str">
            <v>강관절단(철거)</v>
          </cell>
          <cell r="K63">
            <v>335373</v>
          </cell>
          <cell r="M6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록"/>
      <sheetName val="강관부설"/>
      <sheetName val="강관용접"/>
      <sheetName val="강관도장"/>
      <sheetName val="강관절단"/>
      <sheetName val="주철관부설"/>
      <sheetName val="KP접합"/>
      <sheetName val="절단"/>
      <sheetName val="플랜지"/>
      <sheetName val="밸브"/>
      <sheetName val="잡철물"/>
      <sheetName val="보호공 계)"/>
      <sheetName val="보호공"/>
      <sheetName val="중기사용료목록"/>
      <sheetName val="중기사용료"/>
      <sheetName val="중기기초자료"/>
      <sheetName val="자재"/>
      <sheetName val="노임"/>
      <sheetName val="경비"/>
      <sheetName val="자재조서"/>
      <sheetName val="플랜지볼트규격"/>
      <sheetName val="전역변수"/>
      <sheetName val="중기전역변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9">
          <cell r="E9">
            <v>17478.759999999998</v>
          </cell>
          <cell r="F9">
            <v>49479</v>
          </cell>
          <cell r="G9">
            <v>22539</v>
          </cell>
        </row>
      </sheetData>
      <sheetData sheetId="14" refreshError="1"/>
      <sheetData sheetId="15" refreshError="1"/>
      <sheetData sheetId="16" refreshError="1"/>
      <sheetData sheetId="17">
        <row r="3">
          <cell r="D3">
            <v>169804</v>
          </cell>
        </row>
        <row r="7">
          <cell r="D7">
            <v>278326</v>
          </cell>
        </row>
        <row r="10">
          <cell r="D10">
            <v>250572</v>
          </cell>
        </row>
      </sheetData>
      <sheetData sheetId="18" refreshError="1"/>
      <sheetData sheetId="19">
        <row r="4">
          <cell r="D4">
            <v>5047</v>
          </cell>
        </row>
        <row r="12">
          <cell r="D12">
            <v>3.0329999999999999</v>
          </cell>
        </row>
        <row r="15">
          <cell r="D15">
            <v>22200</v>
          </cell>
        </row>
        <row r="16">
          <cell r="D16">
            <v>1669</v>
          </cell>
        </row>
      </sheetData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24"/>
  <sheetViews>
    <sheetView tabSelected="1" view="pageBreakPreview" zoomScale="85" zoomScaleNormal="100" zoomScaleSheetLayoutView="85" workbookViewId="0">
      <selection activeCell="K18" sqref="K18"/>
    </sheetView>
  </sheetViews>
  <sheetFormatPr defaultRowHeight="11.25" x14ac:dyDescent="0.15"/>
  <cols>
    <col min="1" max="1" width="1.5546875" style="42" customWidth="1"/>
    <col min="2" max="2" width="2.6640625" style="42" customWidth="1"/>
    <col min="3" max="3" width="4" style="42" customWidth="1"/>
    <col min="4" max="4" width="9.88671875" style="42" customWidth="1"/>
    <col min="5" max="5" width="2.77734375" style="42" customWidth="1"/>
    <col min="6" max="7" width="8.6640625" style="42" customWidth="1"/>
    <col min="8" max="8" width="10.33203125" style="42" customWidth="1"/>
    <col min="9" max="9" width="15.44140625" style="42" customWidth="1"/>
    <col min="10" max="10" width="3.6640625" style="42" customWidth="1"/>
    <col min="11" max="11" width="14.88671875" style="42" customWidth="1"/>
    <col min="12" max="12" width="9.33203125" style="42" customWidth="1"/>
    <col min="13" max="13" width="8.88671875" style="42" customWidth="1"/>
    <col min="14" max="14" width="8.6640625" style="42" customWidth="1"/>
    <col min="15" max="15" width="2" style="42" customWidth="1"/>
    <col min="16" max="17" width="8.88671875" style="42"/>
    <col min="18" max="18" width="14.33203125" style="42" bestFit="1" customWidth="1"/>
    <col min="19" max="19" width="7.44140625" style="42" bestFit="1" customWidth="1"/>
    <col min="20" max="256" width="8.88671875" style="42"/>
    <col min="257" max="257" width="1.5546875" style="42" customWidth="1"/>
    <col min="258" max="258" width="2.6640625" style="42" customWidth="1"/>
    <col min="259" max="259" width="4" style="42" customWidth="1"/>
    <col min="260" max="260" width="9.88671875" style="42" customWidth="1"/>
    <col min="261" max="261" width="2.77734375" style="42" customWidth="1"/>
    <col min="262" max="264" width="8.6640625" style="42" customWidth="1"/>
    <col min="265" max="265" width="15.44140625" style="42" customWidth="1"/>
    <col min="266" max="266" width="3.6640625" style="42" customWidth="1"/>
    <col min="267" max="267" width="14.88671875" style="42" customWidth="1"/>
    <col min="268" max="268" width="9.33203125" style="42" customWidth="1"/>
    <col min="269" max="269" width="8.88671875" style="42"/>
    <col min="270" max="270" width="8.6640625" style="42" customWidth="1"/>
    <col min="271" max="271" width="2" style="42" customWidth="1"/>
    <col min="272" max="273" width="8.88671875" style="42"/>
    <col min="274" max="274" width="14.33203125" style="42" bestFit="1" customWidth="1"/>
    <col min="275" max="275" width="7.44140625" style="42" bestFit="1" customWidth="1"/>
    <col min="276" max="512" width="8.88671875" style="42"/>
    <col min="513" max="513" width="1.5546875" style="42" customWidth="1"/>
    <col min="514" max="514" width="2.6640625" style="42" customWidth="1"/>
    <col min="515" max="515" width="4" style="42" customWidth="1"/>
    <col min="516" max="516" width="9.88671875" style="42" customWidth="1"/>
    <col min="517" max="517" width="2.77734375" style="42" customWidth="1"/>
    <col min="518" max="520" width="8.6640625" style="42" customWidth="1"/>
    <col min="521" max="521" width="15.44140625" style="42" customWidth="1"/>
    <col min="522" max="522" width="3.6640625" style="42" customWidth="1"/>
    <col min="523" max="523" width="14.88671875" style="42" customWidth="1"/>
    <col min="524" max="524" width="9.33203125" style="42" customWidth="1"/>
    <col min="525" max="525" width="8.88671875" style="42"/>
    <col min="526" max="526" width="8.6640625" style="42" customWidth="1"/>
    <col min="527" max="527" width="2" style="42" customWidth="1"/>
    <col min="528" max="529" width="8.88671875" style="42"/>
    <col min="530" max="530" width="14.33203125" style="42" bestFit="1" customWidth="1"/>
    <col min="531" max="531" width="7.44140625" style="42" bestFit="1" customWidth="1"/>
    <col min="532" max="768" width="8.88671875" style="42"/>
    <col min="769" max="769" width="1.5546875" style="42" customWidth="1"/>
    <col min="770" max="770" width="2.6640625" style="42" customWidth="1"/>
    <col min="771" max="771" width="4" style="42" customWidth="1"/>
    <col min="772" max="772" width="9.88671875" style="42" customWidth="1"/>
    <col min="773" max="773" width="2.77734375" style="42" customWidth="1"/>
    <col min="774" max="776" width="8.6640625" style="42" customWidth="1"/>
    <col min="777" max="777" width="15.44140625" style="42" customWidth="1"/>
    <col min="778" max="778" width="3.6640625" style="42" customWidth="1"/>
    <col min="779" max="779" width="14.88671875" style="42" customWidth="1"/>
    <col min="780" max="780" width="9.33203125" style="42" customWidth="1"/>
    <col min="781" max="781" width="8.88671875" style="42"/>
    <col min="782" max="782" width="8.6640625" style="42" customWidth="1"/>
    <col min="783" max="783" width="2" style="42" customWidth="1"/>
    <col min="784" max="785" width="8.88671875" style="42"/>
    <col min="786" max="786" width="14.33203125" style="42" bestFit="1" customWidth="1"/>
    <col min="787" max="787" width="7.44140625" style="42" bestFit="1" customWidth="1"/>
    <col min="788" max="1024" width="8.88671875" style="42"/>
    <col min="1025" max="1025" width="1.5546875" style="42" customWidth="1"/>
    <col min="1026" max="1026" width="2.6640625" style="42" customWidth="1"/>
    <col min="1027" max="1027" width="4" style="42" customWidth="1"/>
    <col min="1028" max="1028" width="9.88671875" style="42" customWidth="1"/>
    <col min="1029" max="1029" width="2.77734375" style="42" customWidth="1"/>
    <col min="1030" max="1032" width="8.6640625" style="42" customWidth="1"/>
    <col min="1033" max="1033" width="15.44140625" style="42" customWidth="1"/>
    <col min="1034" max="1034" width="3.6640625" style="42" customWidth="1"/>
    <col min="1035" max="1035" width="14.88671875" style="42" customWidth="1"/>
    <col min="1036" max="1036" width="9.33203125" style="42" customWidth="1"/>
    <col min="1037" max="1037" width="8.88671875" style="42"/>
    <col min="1038" max="1038" width="8.6640625" style="42" customWidth="1"/>
    <col min="1039" max="1039" width="2" style="42" customWidth="1"/>
    <col min="1040" max="1041" width="8.88671875" style="42"/>
    <col min="1042" max="1042" width="14.33203125" style="42" bestFit="1" customWidth="1"/>
    <col min="1043" max="1043" width="7.44140625" style="42" bestFit="1" customWidth="1"/>
    <col min="1044" max="1280" width="8.88671875" style="42"/>
    <col min="1281" max="1281" width="1.5546875" style="42" customWidth="1"/>
    <col min="1282" max="1282" width="2.6640625" style="42" customWidth="1"/>
    <col min="1283" max="1283" width="4" style="42" customWidth="1"/>
    <col min="1284" max="1284" width="9.88671875" style="42" customWidth="1"/>
    <col min="1285" max="1285" width="2.77734375" style="42" customWidth="1"/>
    <col min="1286" max="1288" width="8.6640625" style="42" customWidth="1"/>
    <col min="1289" max="1289" width="15.44140625" style="42" customWidth="1"/>
    <col min="1290" max="1290" width="3.6640625" style="42" customWidth="1"/>
    <col min="1291" max="1291" width="14.88671875" style="42" customWidth="1"/>
    <col min="1292" max="1292" width="9.33203125" style="42" customWidth="1"/>
    <col min="1293" max="1293" width="8.88671875" style="42"/>
    <col min="1294" max="1294" width="8.6640625" style="42" customWidth="1"/>
    <col min="1295" max="1295" width="2" style="42" customWidth="1"/>
    <col min="1296" max="1297" width="8.88671875" style="42"/>
    <col min="1298" max="1298" width="14.33203125" style="42" bestFit="1" customWidth="1"/>
    <col min="1299" max="1299" width="7.44140625" style="42" bestFit="1" customWidth="1"/>
    <col min="1300" max="1536" width="8.88671875" style="42"/>
    <col min="1537" max="1537" width="1.5546875" style="42" customWidth="1"/>
    <col min="1538" max="1538" width="2.6640625" style="42" customWidth="1"/>
    <col min="1539" max="1539" width="4" style="42" customWidth="1"/>
    <col min="1540" max="1540" width="9.88671875" style="42" customWidth="1"/>
    <col min="1541" max="1541" width="2.77734375" style="42" customWidth="1"/>
    <col min="1542" max="1544" width="8.6640625" style="42" customWidth="1"/>
    <col min="1545" max="1545" width="15.44140625" style="42" customWidth="1"/>
    <col min="1546" max="1546" width="3.6640625" style="42" customWidth="1"/>
    <col min="1547" max="1547" width="14.88671875" style="42" customWidth="1"/>
    <col min="1548" max="1548" width="9.33203125" style="42" customWidth="1"/>
    <col min="1549" max="1549" width="8.88671875" style="42"/>
    <col min="1550" max="1550" width="8.6640625" style="42" customWidth="1"/>
    <col min="1551" max="1551" width="2" style="42" customWidth="1"/>
    <col min="1552" max="1553" width="8.88671875" style="42"/>
    <col min="1554" max="1554" width="14.33203125" style="42" bestFit="1" customWidth="1"/>
    <col min="1555" max="1555" width="7.44140625" style="42" bestFit="1" customWidth="1"/>
    <col min="1556" max="1792" width="8.88671875" style="42"/>
    <col min="1793" max="1793" width="1.5546875" style="42" customWidth="1"/>
    <col min="1794" max="1794" width="2.6640625" style="42" customWidth="1"/>
    <col min="1795" max="1795" width="4" style="42" customWidth="1"/>
    <col min="1796" max="1796" width="9.88671875" style="42" customWidth="1"/>
    <col min="1797" max="1797" width="2.77734375" style="42" customWidth="1"/>
    <col min="1798" max="1800" width="8.6640625" style="42" customWidth="1"/>
    <col min="1801" max="1801" width="15.44140625" style="42" customWidth="1"/>
    <col min="1802" max="1802" width="3.6640625" style="42" customWidth="1"/>
    <col min="1803" max="1803" width="14.88671875" style="42" customWidth="1"/>
    <col min="1804" max="1804" width="9.33203125" style="42" customWidth="1"/>
    <col min="1805" max="1805" width="8.88671875" style="42"/>
    <col min="1806" max="1806" width="8.6640625" style="42" customWidth="1"/>
    <col min="1807" max="1807" width="2" style="42" customWidth="1"/>
    <col min="1808" max="1809" width="8.88671875" style="42"/>
    <col min="1810" max="1810" width="14.33203125" style="42" bestFit="1" customWidth="1"/>
    <col min="1811" max="1811" width="7.44140625" style="42" bestFit="1" customWidth="1"/>
    <col min="1812" max="2048" width="8.88671875" style="42"/>
    <col min="2049" max="2049" width="1.5546875" style="42" customWidth="1"/>
    <col min="2050" max="2050" width="2.6640625" style="42" customWidth="1"/>
    <col min="2051" max="2051" width="4" style="42" customWidth="1"/>
    <col min="2052" max="2052" width="9.88671875" style="42" customWidth="1"/>
    <col min="2053" max="2053" width="2.77734375" style="42" customWidth="1"/>
    <col min="2054" max="2056" width="8.6640625" style="42" customWidth="1"/>
    <col min="2057" max="2057" width="15.44140625" style="42" customWidth="1"/>
    <col min="2058" max="2058" width="3.6640625" style="42" customWidth="1"/>
    <col min="2059" max="2059" width="14.88671875" style="42" customWidth="1"/>
    <col min="2060" max="2060" width="9.33203125" style="42" customWidth="1"/>
    <col min="2061" max="2061" width="8.88671875" style="42"/>
    <col min="2062" max="2062" width="8.6640625" style="42" customWidth="1"/>
    <col min="2063" max="2063" width="2" style="42" customWidth="1"/>
    <col min="2064" max="2065" width="8.88671875" style="42"/>
    <col min="2066" max="2066" width="14.33203125" style="42" bestFit="1" customWidth="1"/>
    <col min="2067" max="2067" width="7.44140625" style="42" bestFit="1" customWidth="1"/>
    <col min="2068" max="2304" width="8.88671875" style="42"/>
    <col min="2305" max="2305" width="1.5546875" style="42" customWidth="1"/>
    <col min="2306" max="2306" width="2.6640625" style="42" customWidth="1"/>
    <col min="2307" max="2307" width="4" style="42" customWidth="1"/>
    <col min="2308" max="2308" width="9.88671875" style="42" customWidth="1"/>
    <col min="2309" max="2309" width="2.77734375" style="42" customWidth="1"/>
    <col min="2310" max="2312" width="8.6640625" style="42" customWidth="1"/>
    <col min="2313" max="2313" width="15.44140625" style="42" customWidth="1"/>
    <col min="2314" max="2314" width="3.6640625" style="42" customWidth="1"/>
    <col min="2315" max="2315" width="14.88671875" style="42" customWidth="1"/>
    <col min="2316" max="2316" width="9.33203125" style="42" customWidth="1"/>
    <col min="2317" max="2317" width="8.88671875" style="42"/>
    <col min="2318" max="2318" width="8.6640625" style="42" customWidth="1"/>
    <col min="2319" max="2319" width="2" style="42" customWidth="1"/>
    <col min="2320" max="2321" width="8.88671875" style="42"/>
    <col min="2322" max="2322" width="14.33203125" style="42" bestFit="1" customWidth="1"/>
    <col min="2323" max="2323" width="7.44140625" style="42" bestFit="1" customWidth="1"/>
    <col min="2324" max="2560" width="8.88671875" style="42"/>
    <col min="2561" max="2561" width="1.5546875" style="42" customWidth="1"/>
    <col min="2562" max="2562" width="2.6640625" style="42" customWidth="1"/>
    <col min="2563" max="2563" width="4" style="42" customWidth="1"/>
    <col min="2564" max="2564" width="9.88671875" style="42" customWidth="1"/>
    <col min="2565" max="2565" width="2.77734375" style="42" customWidth="1"/>
    <col min="2566" max="2568" width="8.6640625" style="42" customWidth="1"/>
    <col min="2569" max="2569" width="15.44140625" style="42" customWidth="1"/>
    <col min="2570" max="2570" width="3.6640625" style="42" customWidth="1"/>
    <col min="2571" max="2571" width="14.88671875" style="42" customWidth="1"/>
    <col min="2572" max="2572" width="9.33203125" style="42" customWidth="1"/>
    <col min="2573" max="2573" width="8.88671875" style="42"/>
    <col min="2574" max="2574" width="8.6640625" style="42" customWidth="1"/>
    <col min="2575" max="2575" width="2" style="42" customWidth="1"/>
    <col min="2576" max="2577" width="8.88671875" style="42"/>
    <col min="2578" max="2578" width="14.33203125" style="42" bestFit="1" customWidth="1"/>
    <col min="2579" max="2579" width="7.44140625" style="42" bestFit="1" customWidth="1"/>
    <col min="2580" max="2816" width="8.88671875" style="42"/>
    <col min="2817" max="2817" width="1.5546875" style="42" customWidth="1"/>
    <col min="2818" max="2818" width="2.6640625" style="42" customWidth="1"/>
    <col min="2819" max="2819" width="4" style="42" customWidth="1"/>
    <col min="2820" max="2820" width="9.88671875" style="42" customWidth="1"/>
    <col min="2821" max="2821" width="2.77734375" style="42" customWidth="1"/>
    <col min="2822" max="2824" width="8.6640625" style="42" customWidth="1"/>
    <col min="2825" max="2825" width="15.44140625" style="42" customWidth="1"/>
    <col min="2826" max="2826" width="3.6640625" style="42" customWidth="1"/>
    <col min="2827" max="2827" width="14.88671875" style="42" customWidth="1"/>
    <col min="2828" max="2828" width="9.33203125" style="42" customWidth="1"/>
    <col min="2829" max="2829" width="8.88671875" style="42"/>
    <col min="2830" max="2830" width="8.6640625" style="42" customWidth="1"/>
    <col min="2831" max="2831" width="2" style="42" customWidth="1"/>
    <col min="2832" max="2833" width="8.88671875" style="42"/>
    <col min="2834" max="2834" width="14.33203125" style="42" bestFit="1" customWidth="1"/>
    <col min="2835" max="2835" width="7.44140625" style="42" bestFit="1" customWidth="1"/>
    <col min="2836" max="3072" width="8.88671875" style="42"/>
    <col min="3073" max="3073" width="1.5546875" style="42" customWidth="1"/>
    <col min="3074" max="3074" width="2.6640625" style="42" customWidth="1"/>
    <col min="3075" max="3075" width="4" style="42" customWidth="1"/>
    <col min="3076" max="3076" width="9.88671875" style="42" customWidth="1"/>
    <col min="3077" max="3077" width="2.77734375" style="42" customWidth="1"/>
    <col min="3078" max="3080" width="8.6640625" style="42" customWidth="1"/>
    <col min="3081" max="3081" width="15.44140625" style="42" customWidth="1"/>
    <col min="3082" max="3082" width="3.6640625" style="42" customWidth="1"/>
    <col min="3083" max="3083" width="14.88671875" style="42" customWidth="1"/>
    <col min="3084" max="3084" width="9.33203125" style="42" customWidth="1"/>
    <col min="3085" max="3085" width="8.88671875" style="42"/>
    <col min="3086" max="3086" width="8.6640625" style="42" customWidth="1"/>
    <col min="3087" max="3087" width="2" style="42" customWidth="1"/>
    <col min="3088" max="3089" width="8.88671875" style="42"/>
    <col min="3090" max="3090" width="14.33203125" style="42" bestFit="1" customWidth="1"/>
    <col min="3091" max="3091" width="7.44140625" style="42" bestFit="1" customWidth="1"/>
    <col min="3092" max="3328" width="8.88671875" style="42"/>
    <col min="3329" max="3329" width="1.5546875" style="42" customWidth="1"/>
    <col min="3330" max="3330" width="2.6640625" style="42" customWidth="1"/>
    <col min="3331" max="3331" width="4" style="42" customWidth="1"/>
    <col min="3332" max="3332" width="9.88671875" style="42" customWidth="1"/>
    <col min="3333" max="3333" width="2.77734375" style="42" customWidth="1"/>
    <col min="3334" max="3336" width="8.6640625" style="42" customWidth="1"/>
    <col min="3337" max="3337" width="15.44140625" style="42" customWidth="1"/>
    <col min="3338" max="3338" width="3.6640625" style="42" customWidth="1"/>
    <col min="3339" max="3339" width="14.88671875" style="42" customWidth="1"/>
    <col min="3340" max="3340" width="9.33203125" style="42" customWidth="1"/>
    <col min="3341" max="3341" width="8.88671875" style="42"/>
    <col min="3342" max="3342" width="8.6640625" style="42" customWidth="1"/>
    <col min="3343" max="3343" width="2" style="42" customWidth="1"/>
    <col min="3344" max="3345" width="8.88671875" style="42"/>
    <col min="3346" max="3346" width="14.33203125" style="42" bestFit="1" customWidth="1"/>
    <col min="3347" max="3347" width="7.44140625" style="42" bestFit="1" customWidth="1"/>
    <col min="3348" max="3584" width="8.88671875" style="42"/>
    <col min="3585" max="3585" width="1.5546875" style="42" customWidth="1"/>
    <col min="3586" max="3586" width="2.6640625" style="42" customWidth="1"/>
    <col min="3587" max="3587" width="4" style="42" customWidth="1"/>
    <col min="3588" max="3588" width="9.88671875" style="42" customWidth="1"/>
    <col min="3589" max="3589" width="2.77734375" style="42" customWidth="1"/>
    <col min="3590" max="3592" width="8.6640625" style="42" customWidth="1"/>
    <col min="3593" max="3593" width="15.44140625" style="42" customWidth="1"/>
    <col min="3594" max="3594" width="3.6640625" style="42" customWidth="1"/>
    <col min="3595" max="3595" width="14.88671875" style="42" customWidth="1"/>
    <col min="3596" max="3596" width="9.33203125" style="42" customWidth="1"/>
    <col min="3597" max="3597" width="8.88671875" style="42"/>
    <col min="3598" max="3598" width="8.6640625" style="42" customWidth="1"/>
    <col min="3599" max="3599" width="2" style="42" customWidth="1"/>
    <col min="3600" max="3601" width="8.88671875" style="42"/>
    <col min="3602" max="3602" width="14.33203125" style="42" bestFit="1" customWidth="1"/>
    <col min="3603" max="3603" width="7.44140625" style="42" bestFit="1" customWidth="1"/>
    <col min="3604" max="3840" width="8.88671875" style="42"/>
    <col min="3841" max="3841" width="1.5546875" style="42" customWidth="1"/>
    <col min="3842" max="3842" width="2.6640625" style="42" customWidth="1"/>
    <col min="3843" max="3843" width="4" style="42" customWidth="1"/>
    <col min="3844" max="3844" width="9.88671875" style="42" customWidth="1"/>
    <col min="3845" max="3845" width="2.77734375" style="42" customWidth="1"/>
    <col min="3846" max="3848" width="8.6640625" style="42" customWidth="1"/>
    <col min="3849" max="3849" width="15.44140625" style="42" customWidth="1"/>
    <col min="3850" max="3850" width="3.6640625" style="42" customWidth="1"/>
    <col min="3851" max="3851" width="14.88671875" style="42" customWidth="1"/>
    <col min="3852" max="3852" width="9.33203125" style="42" customWidth="1"/>
    <col min="3853" max="3853" width="8.88671875" style="42"/>
    <col min="3854" max="3854" width="8.6640625" style="42" customWidth="1"/>
    <col min="3855" max="3855" width="2" style="42" customWidth="1"/>
    <col min="3856" max="3857" width="8.88671875" style="42"/>
    <col min="3858" max="3858" width="14.33203125" style="42" bestFit="1" customWidth="1"/>
    <col min="3859" max="3859" width="7.44140625" style="42" bestFit="1" customWidth="1"/>
    <col min="3860" max="4096" width="8.88671875" style="42"/>
    <col min="4097" max="4097" width="1.5546875" style="42" customWidth="1"/>
    <col min="4098" max="4098" width="2.6640625" style="42" customWidth="1"/>
    <col min="4099" max="4099" width="4" style="42" customWidth="1"/>
    <col min="4100" max="4100" width="9.88671875" style="42" customWidth="1"/>
    <col min="4101" max="4101" width="2.77734375" style="42" customWidth="1"/>
    <col min="4102" max="4104" width="8.6640625" style="42" customWidth="1"/>
    <col min="4105" max="4105" width="15.44140625" style="42" customWidth="1"/>
    <col min="4106" max="4106" width="3.6640625" style="42" customWidth="1"/>
    <col min="4107" max="4107" width="14.88671875" style="42" customWidth="1"/>
    <col min="4108" max="4108" width="9.33203125" style="42" customWidth="1"/>
    <col min="4109" max="4109" width="8.88671875" style="42"/>
    <col min="4110" max="4110" width="8.6640625" style="42" customWidth="1"/>
    <col min="4111" max="4111" width="2" style="42" customWidth="1"/>
    <col min="4112" max="4113" width="8.88671875" style="42"/>
    <col min="4114" max="4114" width="14.33203125" style="42" bestFit="1" customWidth="1"/>
    <col min="4115" max="4115" width="7.44140625" style="42" bestFit="1" customWidth="1"/>
    <col min="4116" max="4352" width="8.88671875" style="42"/>
    <col min="4353" max="4353" width="1.5546875" style="42" customWidth="1"/>
    <col min="4354" max="4354" width="2.6640625" style="42" customWidth="1"/>
    <col min="4355" max="4355" width="4" style="42" customWidth="1"/>
    <col min="4356" max="4356" width="9.88671875" style="42" customWidth="1"/>
    <col min="4357" max="4357" width="2.77734375" style="42" customWidth="1"/>
    <col min="4358" max="4360" width="8.6640625" style="42" customWidth="1"/>
    <col min="4361" max="4361" width="15.44140625" style="42" customWidth="1"/>
    <col min="4362" max="4362" width="3.6640625" style="42" customWidth="1"/>
    <col min="4363" max="4363" width="14.88671875" style="42" customWidth="1"/>
    <col min="4364" max="4364" width="9.33203125" style="42" customWidth="1"/>
    <col min="4365" max="4365" width="8.88671875" style="42"/>
    <col min="4366" max="4366" width="8.6640625" style="42" customWidth="1"/>
    <col min="4367" max="4367" width="2" style="42" customWidth="1"/>
    <col min="4368" max="4369" width="8.88671875" style="42"/>
    <col min="4370" max="4370" width="14.33203125" style="42" bestFit="1" customWidth="1"/>
    <col min="4371" max="4371" width="7.44140625" style="42" bestFit="1" customWidth="1"/>
    <col min="4372" max="4608" width="8.88671875" style="42"/>
    <col min="4609" max="4609" width="1.5546875" style="42" customWidth="1"/>
    <col min="4610" max="4610" width="2.6640625" style="42" customWidth="1"/>
    <col min="4611" max="4611" width="4" style="42" customWidth="1"/>
    <col min="4612" max="4612" width="9.88671875" style="42" customWidth="1"/>
    <col min="4613" max="4613" width="2.77734375" style="42" customWidth="1"/>
    <col min="4614" max="4616" width="8.6640625" style="42" customWidth="1"/>
    <col min="4617" max="4617" width="15.44140625" style="42" customWidth="1"/>
    <col min="4618" max="4618" width="3.6640625" style="42" customWidth="1"/>
    <col min="4619" max="4619" width="14.88671875" style="42" customWidth="1"/>
    <col min="4620" max="4620" width="9.33203125" style="42" customWidth="1"/>
    <col min="4621" max="4621" width="8.88671875" style="42"/>
    <col min="4622" max="4622" width="8.6640625" style="42" customWidth="1"/>
    <col min="4623" max="4623" width="2" style="42" customWidth="1"/>
    <col min="4624" max="4625" width="8.88671875" style="42"/>
    <col min="4626" max="4626" width="14.33203125" style="42" bestFit="1" customWidth="1"/>
    <col min="4627" max="4627" width="7.44140625" style="42" bestFit="1" customWidth="1"/>
    <col min="4628" max="4864" width="8.88671875" style="42"/>
    <col min="4865" max="4865" width="1.5546875" style="42" customWidth="1"/>
    <col min="4866" max="4866" width="2.6640625" style="42" customWidth="1"/>
    <col min="4867" max="4867" width="4" style="42" customWidth="1"/>
    <col min="4868" max="4868" width="9.88671875" style="42" customWidth="1"/>
    <col min="4869" max="4869" width="2.77734375" style="42" customWidth="1"/>
    <col min="4870" max="4872" width="8.6640625" style="42" customWidth="1"/>
    <col min="4873" max="4873" width="15.44140625" style="42" customWidth="1"/>
    <col min="4874" max="4874" width="3.6640625" style="42" customWidth="1"/>
    <col min="4875" max="4875" width="14.88671875" style="42" customWidth="1"/>
    <col min="4876" max="4876" width="9.33203125" style="42" customWidth="1"/>
    <col min="4877" max="4877" width="8.88671875" style="42"/>
    <col min="4878" max="4878" width="8.6640625" style="42" customWidth="1"/>
    <col min="4879" max="4879" width="2" style="42" customWidth="1"/>
    <col min="4880" max="4881" width="8.88671875" style="42"/>
    <col min="4882" max="4882" width="14.33203125" style="42" bestFit="1" customWidth="1"/>
    <col min="4883" max="4883" width="7.44140625" style="42" bestFit="1" customWidth="1"/>
    <col min="4884" max="5120" width="8.88671875" style="42"/>
    <col min="5121" max="5121" width="1.5546875" style="42" customWidth="1"/>
    <col min="5122" max="5122" width="2.6640625" style="42" customWidth="1"/>
    <col min="5123" max="5123" width="4" style="42" customWidth="1"/>
    <col min="5124" max="5124" width="9.88671875" style="42" customWidth="1"/>
    <col min="5125" max="5125" width="2.77734375" style="42" customWidth="1"/>
    <col min="5126" max="5128" width="8.6640625" style="42" customWidth="1"/>
    <col min="5129" max="5129" width="15.44140625" style="42" customWidth="1"/>
    <col min="5130" max="5130" width="3.6640625" style="42" customWidth="1"/>
    <col min="5131" max="5131" width="14.88671875" style="42" customWidth="1"/>
    <col min="5132" max="5132" width="9.33203125" style="42" customWidth="1"/>
    <col min="5133" max="5133" width="8.88671875" style="42"/>
    <col min="5134" max="5134" width="8.6640625" style="42" customWidth="1"/>
    <col min="5135" max="5135" width="2" style="42" customWidth="1"/>
    <col min="5136" max="5137" width="8.88671875" style="42"/>
    <col min="5138" max="5138" width="14.33203125" style="42" bestFit="1" customWidth="1"/>
    <col min="5139" max="5139" width="7.44140625" style="42" bestFit="1" customWidth="1"/>
    <col min="5140" max="5376" width="8.88671875" style="42"/>
    <col min="5377" max="5377" width="1.5546875" style="42" customWidth="1"/>
    <col min="5378" max="5378" width="2.6640625" style="42" customWidth="1"/>
    <col min="5379" max="5379" width="4" style="42" customWidth="1"/>
    <col min="5380" max="5380" width="9.88671875" style="42" customWidth="1"/>
    <col min="5381" max="5381" width="2.77734375" style="42" customWidth="1"/>
    <col min="5382" max="5384" width="8.6640625" style="42" customWidth="1"/>
    <col min="5385" max="5385" width="15.44140625" style="42" customWidth="1"/>
    <col min="5386" max="5386" width="3.6640625" style="42" customWidth="1"/>
    <col min="5387" max="5387" width="14.88671875" style="42" customWidth="1"/>
    <col min="5388" max="5388" width="9.33203125" style="42" customWidth="1"/>
    <col min="5389" max="5389" width="8.88671875" style="42"/>
    <col min="5390" max="5390" width="8.6640625" style="42" customWidth="1"/>
    <col min="5391" max="5391" width="2" style="42" customWidth="1"/>
    <col min="5392" max="5393" width="8.88671875" style="42"/>
    <col min="5394" max="5394" width="14.33203125" style="42" bestFit="1" customWidth="1"/>
    <col min="5395" max="5395" width="7.44140625" style="42" bestFit="1" customWidth="1"/>
    <col min="5396" max="5632" width="8.88671875" style="42"/>
    <col min="5633" max="5633" width="1.5546875" style="42" customWidth="1"/>
    <col min="5634" max="5634" width="2.6640625" style="42" customWidth="1"/>
    <col min="5635" max="5635" width="4" style="42" customWidth="1"/>
    <col min="5636" max="5636" width="9.88671875" style="42" customWidth="1"/>
    <col min="5637" max="5637" width="2.77734375" style="42" customWidth="1"/>
    <col min="5638" max="5640" width="8.6640625" style="42" customWidth="1"/>
    <col min="5641" max="5641" width="15.44140625" style="42" customWidth="1"/>
    <col min="5642" max="5642" width="3.6640625" style="42" customWidth="1"/>
    <col min="5643" max="5643" width="14.88671875" style="42" customWidth="1"/>
    <col min="5644" max="5644" width="9.33203125" style="42" customWidth="1"/>
    <col min="5645" max="5645" width="8.88671875" style="42"/>
    <col min="5646" max="5646" width="8.6640625" style="42" customWidth="1"/>
    <col min="5647" max="5647" width="2" style="42" customWidth="1"/>
    <col min="5648" max="5649" width="8.88671875" style="42"/>
    <col min="5650" max="5650" width="14.33203125" style="42" bestFit="1" customWidth="1"/>
    <col min="5651" max="5651" width="7.44140625" style="42" bestFit="1" customWidth="1"/>
    <col min="5652" max="5888" width="8.88671875" style="42"/>
    <col min="5889" max="5889" width="1.5546875" style="42" customWidth="1"/>
    <col min="5890" max="5890" width="2.6640625" style="42" customWidth="1"/>
    <col min="5891" max="5891" width="4" style="42" customWidth="1"/>
    <col min="5892" max="5892" width="9.88671875" style="42" customWidth="1"/>
    <col min="5893" max="5893" width="2.77734375" style="42" customWidth="1"/>
    <col min="5894" max="5896" width="8.6640625" style="42" customWidth="1"/>
    <col min="5897" max="5897" width="15.44140625" style="42" customWidth="1"/>
    <col min="5898" max="5898" width="3.6640625" style="42" customWidth="1"/>
    <col min="5899" max="5899" width="14.88671875" style="42" customWidth="1"/>
    <col min="5900" max="5900" width="9.33203125" style="42" customWidth="1"/>
    <col min="5901" max="5901" width="8.88671875" style="42"/>
    <col min="5902" max="5902" width="8.6640625" style="42" customWidth="1"/>
    <col min="5903" max="5903" width="2" style="42" customWidth="1"/>
    <col min="5904" max="5905" width="8.88671875" style="42"/>
    <col min="5906" max="5906" width="14.33203125" style="42" bestFit="1" customWidth="1"/>
    <col min="5907" max="5907" width="7.44140625" style="42" bestFit="1" customWidth="1"/>
    <col min="5908" max="6144" width="8.88671875" style="42"/>
    <col min="6145" max="6145" width="1.5546875" style="42" customWidth="1"/>
    <col min="6146" max="6146" width="2.6640625" style="42" customWidth="1"/>
    <col min="6147" max="6147" width="4" style="42" customWidth="1"/>
    <col min="6148" max="6148" width="9.88671875" style="42" customWidth="1"/>
    <col min="6149" max="6149" width="2.77734375" style="42" customWidth="1"/>
    <col min="6150" max="6152" width="8.6640625" style="42" customWidth="1"/>
    <col min="6153" max="6153" width="15.44140625" style="42" customWidth="1"/>
    <col min="6154" max="6154" width="3.6640625" style="42" customWidth="1"/>
    <col min="6155" max="6155" width="14.88671875" style="42" customWidth="1"/>
    <col min="6156" max="6156" width="9.33203125" style="42" customWidth="1"/>
    <col min="6157" max="6157" width="8.88671875" style="42"/>
    <col min="6158" max="6158" width="8.6640625" style="42" customWidth="1"/>
    <col min="6159" max="6159" width="2" style="42" customWidth="1"/>
    <col min="6160" max="6161" width="8.88671875" style="42"/>
    <col min="6162" max="6162" width="14.33203125" style="42" bestFit="1" customWidth="1"/>
    <col min="6163" max="6163" width="7.44140625" style="42" bestFit="1" customWidth="1"/>
    <col min="6164" max="6400" width="8.88671875" style="42"/>
    <col min="6401" max="6401" width="1.5546875" style="42" customWidth="1"/>
    <col min="6402" max="6402" width="2.6640625" style="42" customWidth="1"/>
    <col min="6403" max="6403" width="4" style="42" customWidth="1"/>
    <col min="6404" max="6404" width="9.88671875" style="42" customWidth="1"/>
    <col min="6405" max="6405" width="2.77734375" style="42" customWidth="1"/>
    <col min="6406" max="6408" width="8.6640625" style="42" customWidth="1"/>
    <col min="6409" max="6409" width="15.44140625" style="42" customWidth="1"/>
    <col min="6410" max="6410" width="3.6640625" style="42" customWidth="1"/>
    <col min="6411" max="6411" width="14.88671875" style="42" customWidth="1"/>
    <col min="6412" max="6412" width="9.33203125" style="42" customWidth="1"/>
    <col min="6413" max="6413" width="8.88671875" style="42"/>
    <col min="6414" max="6414" width="8.6640625" style="42" customWidth="1"/>
    <col min="6415" max="6415" width="2" style="42" customWidth="1"/>
    <col min="6416" max="6417" width="8.88671875" style="42"/>
    <col min="6418" max="6418" width="14.33203125" style="42" bestFit="1" customWidth="1"/>
    <col min="6419" max="6419" width="7.44140625" style="42" bestFit="1" customWidth="1"/>
    <col min="6420" max="6656" width="8.88671875" style="42"/>
    <col min="6657" max="6657" width="1.5546875" style="42" customWidth="1"/>
    <col min="6658" max="6658" width="2.6640625" style="42" customWidth="1"/>
    <col min="6659" max="6659" width="4" style="42" customWidth="1"/>
    <col min="6660" max="6660" width="9.88671875" style="42" customWidth="1"/>
    <col min="6661" max="6661" width="2.77734375" style="42" customWidth="1"/>
    <col min="6662" max="6664" width="8.6640625" style="42" customWidth="1"/>
    <col min="6665" max="6665" width="15.44140625" style="42" customWidth="1"/>
    <col min="6666" max="6666" width="3.6640625" style="42" customWidth="1"/>
    <col min="6667" max="6667" width="14.88671875" style="42" customWidth="1"/>
    <col min="6668" max="6668" width="9.33203125" style="42" customWidth="1"/>
    <col min="6669" max="6669" width="8.88671875" style="42"/>
    <col min="6670" max="6670" width="8.6640625" style="42" customWidth="1"/>
    <col min="6671" max="6671" width="2" style="42" customWidth="1"/>
    <col min="6672" max="6673" width="8.88671875" style="42"/>
    <col min="6674" max="6674" width="14.33203125" style="42" bestFit="1" customWidth="1"/>
    <col min="6675" max="6675" width="7.44140625" style="42" bestFit="1" customWidth="1"/>
    <col min="6676" max="6912" width="8.88671875" style="42"/>
    <col min="6913" max="6913" width="1.5546875" style="42" customWidth="1"/>
    <col min="6914" max="6914" width="2.6640625" style="42" customWidth="1"/>
    <col min="6915" max="6915" width="4" style="42" customWidth="1"/>
    <col min="6916" max="6916" width="9.88671875" style="42" customWidth="1"/>
    <col min="6917" max="6917" width="2.77734375" style="42" customWidth="1"/>
    <col min="6918" max="6920" width="8.6640625" style="42" customWidth="1"/>
    <col min="6921" max="6921" width="15.44140625" style="42" customWidth="1"/>
    <col min="6922" max="6922" width="3.6640625" style="42" customWidth="1"/>
    <col min="6923" max="6923" width="14.88671875" style="42" customWidth="1"/>
    <col min="6924" max="6924" width="9.33203125" style="42" customWidth="1"/>
    <col min="6925" max="6925" width="8.88671875" style="42"/>
    <col min="6926" max="6926" width="8.6640625" style="42" customWidth="1"/>
    <col min="6927" max="6927" width="2" style="42" customWidth="1"/>
    <col min="6928" max="6929" width="8.88671875" style="42"/>
    <col min="6930" max="6930" width="14.33203125" style="42" bestFit="1" customWidth="1"/>
    <col min="6931" max="6931" width="7.44140625" style="42" bestFit="1" customWidth="1"/>
    <col min="6932" max="7168" width="8.88671875" style="42"/>
    <col min="7169" max="7169" width="1.5546875" style="42" customWidth="1"/>
    <col min="7170" max="7170" width="2.6640625" style="42" customWidth="1"/>
    <col min="7171" max="7171" width="4" style="42" customWidth="1"/>
    <col min="7172" max="7172" width="9.88671875" style="42" customWidth="1"/>
    <col min="7173" max="7173" width="2.77734375" style="42" customWidth="1"/>
    <col min="7174" max="7176" width="8.6640625" style="42" customWidth="1"/>
    <col min="7177" max="7177" width="15.44140625" style="42" customWidth="1"/>
    <col min="7178" max="7178" width="3.6640625" style="42" customWidth="1"/>
    <col min="7179" max="7179" width="14.88671875" style="42" customWidth="1"/>
    <col min="7180" max="7180" width="9.33203125" style="42" customWidth="1"/>
    <col min="7181" max="7181" width="8.88671875" style="42"/>
    <col min="7182" max="7182" width="8.6640625" style="42" customWidth="1"/>
    <col min="7183" max="7183" width="2" style="42" customWidth="1"/>
    <col min="7184" max="7185" width="8.88671875" style="42"/>
    <col min="7186" max="7186" width="14.33203125" style="42" bestFit="1" customWidth="1"/>
    <col min="7187" max="7187" width="7.44140625" style="42" bestFit="1" customWidth="1"/>
    <col min="7188" max="7424" width="8.88671875" style="42"/>
    <col min="7425" max="7425" width="1.5546875" style="42" customWidth="1"/>
    <col min="7426" max="7426" width="2.6640625" style="42" customWidth="1"/>
    <col min="7427" max="7427" width="4" style="42" customWidth="1"/>
    <col min="7428" max="7428" width="9.88671875" style="42" customWidth="1"/>
    <col min="7429" max="7429" width="2.77734375" style="42" customWidth="1"/>
    <col min="7430" max="7432" width="8.6640625" style="42" customWidth="1"/>
    <col min="7433" max="7433" width="15.44140625" style="42" customWidth="1"/>
    <col min="7434" max="7434" width="3.6640625" style="42" customWidth="1"/>
    <col min="7435" max="7435" width="14.88671875" style="42" customWidth="1"/>
    <col min="7436" max="7436" width="9.33203125" style="42" customWidth="1"/>
    <col min="7437" max="7437" width="8.88671875" style="42"/>
    <col min="7438" max="7438" width="8.6640625" style="42" customWidth="1"/>
    <col min="7439" max="7439" width="2" style="42" customWidth="1"/>
    <col min="7440" max="7441" width="8.88671875" style="42"/>
    <col min="7442" max="7442" width="14.33203125" style="42" bestFit="1" customWidth="1"/>
    <col min="7443" max="7443" width="7.44140625" style="42" bestFit="1" customWidth="1"/>
    <col min="7444" max="7680" width="8.88671875" style="42"/>
    <col min="7681" max="7681" width="1.5546875" style="42" customWidth="1"/>
    <col min="7682" max="7682" width="2.6640625" style="42" customWidth="1"/>
    <col min="7683" max="7683" width="4" style="42" customWidth="1"/>
    <col min="7684" max="7684" width="9.88671875" style="42" customWidth="1"/>
    <col min="7685" max="7685" width="2.77734375" style="42" customWidth="1"/>
    <col min="7686" max="7688" width="8.6640625" style="42" customWidth="1"/>
    <col min="7689" max="7689" width="15.44140625" style="42" customWidth="1"/>
    <col min="7690" max="7690" width="3.6640625" style="42" customWidth="1"/>
    <col min="7691" max="7691" width="14.88671875" style="42" customWidth="1"/>
    <col min="7692" max="7692" width="9.33203125" style="42" customWidth="1"/>
    <col min="7693" max="7693" width="8.88671875" style="42"/>
    <col min="7694" max="7694" width="8.6640625" style="42" customWidth="1"/>
    <col min="7695" max="7695" width="2" style="42" customWidth="1"/>
    <col min="7696" max="7697" width="8.88671875" style="42"/>
    <col min="7698" max="7698" width="14.33203125" style="42" bestFit="1" customWidth="1"/>
    <col min="7699" max="7699" width="7.44140625" style="42" bestFit="1" customWidth="1"/>
    <col min="7700" max="7936" width="8.88671875" style="42"/>
    <col min="7937" max="7937" width="1.5546875" style="42" customWidth="1"/>
    <col min="7938" max="7938" width="2.6640625" style="42" customWidth="1"/>
    <col min="7939" max="7939" width="4" style="42" customWidth="1"/>
    <col min="7940" max="7940" width="9.88671875" style="42" customWidth="1"/>
    <col min="7941" max="7941" width="2.77734375" style="42" customWidth="1"/>
    <col min="7942" max="7944" width="8.6640625" style="42" customWidth="1"/>
    <col min="7945" max="7945" width="15.44140625" style="42" customWidth="1"/>
    <col min="7946" max="7946" width="3.6640625" style="42" customWidth="1"/>
    <col min="7947" max="7947" width="14.88671875" style="42" customWidth="1"/>
    <col min="7948" max="7948" width="9.33203125" style="42" customWidth="1"/>
    <col min="7949" max="7949" width="8.88671875" style="42"/>
    <col min="7950" max="7950" width="8.6640625" style="42" customWidth="1"/>
    <col min="7951" max="7951" width="2" style="42" customWidth="1"/>
    <col min="7952" max="7953" width="8.88671875" style="42"/>
    <col min="7954" max="7954" width="14.33203125" style="42" bestFit="1" customWidth="1"/>
    <col min="7955" max="7955" width="7.44140625" style="42" bestFit="1" customWidth="1"/>
    <col min="7956" max="8192" width="8.88671875" style="42"/>
    <col min="8193" max="8193" width="1.5546875" style="42" customWidth="1"/>
    <col min="8194" max="8194" width="2.6640625" style="42" customWidth="1"/>
    <col min="8195" max="8195" width="4" style="42" customWidth="1"/>
    <col min="8196" max="8196" width="9.88671875" style="42" customWidth="1"/>
    <col min="8197" max="8197" width="2.77734375" style="42" customWidth="1"/>
    <col min="8198" max="8200" width="8.6640625" style="42" customWidth="1"/>
    <col min="8201" max="8201" width="15.44140625" style="42" customWidth="1"/>
    <col min="8202" max="8202" width="3.6640625" style="42" customWidth="1"/>
    <col min="8203" max="8203" width="14.88671875" style="42" customWidth="1"/>
    <col min="8204" max="8204" width="9.33203125" style="42" customWidth="1"/>
    <col min="8205" max="8205" width="8.88671875" style="42"/>
    <col min="8206" max="8206" width="8.6640625" style="42" customWidth="1"/>
    <col min="8207" max="8207" width="2" style="42" customWidth="1"/>
    <col min="8208" max="8209" width="8.88671875" style="42"/>
    <col min="8210" max="8210" width="14.33203125" style="42" bestFit="1" customWidth="1"/>
    <col min="8211" max="8211" width="7.44140625" style="42" bestFit="1" customWidth="1"/>
    <col min="8212" max="8448" width="8.88671875" style="42"/>
    <col min="8449" max="8449" width="1.5546875" style="42" customWidth="1"/>
    <col min="8450" max="8450" width="2.6640625" style="42" customWidth="1"/>
    <col min="8451" max="8451" width="4" style="42" customWidth="1"/>
    <col min="8452" max="8452" width="9.88671875" style="42" customWidth="1"/>
    <col min="8453" max="8453" width="2.77734375" style="42" customWidth="1"/>
    <col min="8454" max="8456" width="8.6640625" style="42" customWidth="1"/>
    <col min="8457" max="8457" width="15.44140625" style="42" customWidth="1"/>
    <col min="8458" max="8458" width="3.6640625" style="42" customWidth="1"/>
    <col min="8459" max="8459" width="14.88671875" style="42" customWidth="1"/>
    <col min="8460" max="8460" width="9.33203125" style="42" customWidth="1"/>
    <col min="8461" max="8461" width="8.88671875" style="42"/>
    <col min="8462" max="8462" width="8.6640625" style="42" customWidth="1"/>
    <col min="8463" max="8463" width="2" style="42" customWidth="1"/>
    <col min="8464" max="8465" width="8.88671875" style="42"/>
    <col min="8466" max="8466" width="14.33203125" style="42" bestFit="1" customWidth="1"/>
    <col min="8467" max="8467" width="7.44140625" style="42" bestFit="1" customWidth="1"/>
    <col min="8468" max="8704" width="8.88671875" style="42"/>
    <col min="8705" max="8705" width="1.5546875" style="42" customWidth="1"/>
    <col min="8706" max="8706" width="2.6640625" style="42" customWidth="1"/>
    <col min="8707" max="8707" width="4" style="42" customWidth="1"/>
    <col min="8708" max="8708" width="9.88671875" style="42" customWidth="1"/>
    <col min="8709" max="8709" width="2.77734375" style="42" customWidth="1"/>
    <col min="8710" max="8712" width="8.6640625" style="42" customWidth="1"/>
    <col min="8713" max="8713" width="15.44140625" style="42" customWidth="1"/>
    <col min="8714" max="8714" width="3.6640625" style="42" customWidth="1"/>
    <col min="8715" max="8715" width="14.88671875" style="42" customWidth="1"/>
    <col min="8716" max="8716" width="9.33203125" style="42" customWidth="1"/>
    <col min="8717" max="8717" width="8.88671875" style="42"/>
    <col min="8718" max="8718" width="8.6640625" style="42" customWidth="1"/>
    <col min="8719" max="8719" width="2" style="42" customWidth="1"/>
    <col min="8720" max="8721" width="8.88671875" style="42"/>
    <col min="8722" max="8722" width="14.33203125" style="42" bestFit="1" customWidth="1"/>
    <col min="8723" max="8723" width="7.44140625" style="42" bestFit="1" customWidth="1"/>
    <col min="8724" max="8960" width="8.88671875" style="42"/>
    <col min="8961" max="8961" width="1.5546875" style="42" customWidth="1"/>
    <col min="8962" max="8962" width="2.6640625" style="42" customWidth="1"/>
    <col min="8963" max="8963" width="4" style="42" customWidth="1"/>
    <col min="8964" max="8964" width="9.88671875" style="42" customWidth="1"/>
    <col min="8965" max="8965" width="2.77734375" style="42" customWidth="1"/>
    <col min="8966" max="8968" width="8.6640625" style="42" customWidth="1"/>
    <col min="8969" max="8969" width="15.44140625" style="42" customWidth="1"/>
    <col min="8970" max="8970" width="3.6640625" style="42" customWidth="1"/>
    <col min="8971" max="8971" width="14.88671875" style="42" customWidth="1"/>
    <col min="8972" max="8972" width="9.33203125" style="42" customWidth="1"/>
    <col min="8973" max="8973" width="8.88671875" style="42"/>
    <col min="8974" max="8974" width="8.6640625" style="42" customWidth="1"/>
    <col min="8975" max="8975" width="2" style="42" customWidth="1"/>
    <col min="8976" max="8977" width="8.88671875" style="42"/>
    <col min="8978" max="8978" width="14.33203125" style="42" bestFit="1" customWidth="1"/>
    <col min="8979" max="8979" width="7.44140625" style="42" bestFit="1" customWidth="1"/>
    <col min="8980" max="9216" width="8.88671875" style="42"/>
    <col min="9217" max="9217" width="1.5546875" style="42" customWidth="1"/>
    <col min="9218" max="9218" width="2.6640625" style="42" customWidth="1"/>
    <col min="9219" max="9219" width="4" style="42" customWidth="1"/>
    <col min="9220" max="9220" width="9.88671875" style="42" customWidth="1"/>
    <col min="9221" max="9221" width="2.77734375" style="42" customWidth="1"/>
    <col min="9222" max="9224" width="8.6640625" style="42" customWidth="1"/>
    <col min="9225" max="9225" width="15.44140625" style="42" customWidth="1"/>
    <col min="9226" max="9226" width="3.6640625" style="42" customWidth="1"/>
    <col min="9227" max="9227" width="14.88671875" style="42" customWidth="1"/>
    <col min="9228" max="9228" width="9.33203125" style="42" customWidth="1"/>
    <col min="9229" max="9229" width="8.88671875" style="42"/>
    <col min="9230" max="9230" width="8.6640625" style="42" customWidth="1"/>
    <col min="9231" max="9231" width="2" style="42" customWidth="1"/>
    <col min="9232" max="9233" width="8.88671875" style="42"/>
    <col min="9234" max="9234" width="14.33203125" style="42" bestFit="1" customWidth="1"/>
    <col min="9235" max="9235" width="7.44140625" style="42" bestFit="1" customWidth="1"/>
    <col min="9236" max="9472" width="8.88671875" style="42"/>
    <col min="9473" max="9473" width="1.5546875" style="42" customWidth="1"/>
    <col min="9474" max="9474" width="2.6640625" style="42" customWidth="1"/>
    <col min="9475" max="9475" width="4" style="42" customWidth="1"/>
    <col min="9476" max="9476" width="9.88671875" style="42" customWidth="1"/>
    <col min="9477" max="9477" width="2.77734375" style="42" customWidth="1"/>
    <col min="9478" max="9480" width="8.6640625" style="42" customWidth="1"/>
    <col min="9481" max="9481" width="15.44140625" style="42" customWidth="1"/>
    <col min="9482" max="9482" width="3.6640625" style="42" customWidth="1"/>
    <col min="9483" max="9483" width="14.88671875" style="42" customWidth="1"/>
    <col min="9484" max="9484" width="9.33203125" style="42" customWidth="1"/>
    <col min="9485" max="9485" width="8.88671875" style="42"/>
    <col min="9486" max="9486" width="8.6640625" style="42" customWidth="1"/>
    <col min="9487" max="9487" width="2" style="42" customWidth="1"/>
    <col min="9488" max="9489" width="8.88671875" style="42"/>
    <col min="9490" max="9490" width="14.33203125" style="42" bestFit="1" customWidth="1"/>
    <col min="9491" max="9491" width="7.44140625" style="42" bestFit="1" customWidth="1"/>
    <col min="9492" max="9728" width="8.88671875" style="42"/>
    <col min="9729" max="9729" width="1.5546875" style="42" customWidth="1"/>
    <col min="9730" max="9730" width="2.6640625" style="42" customWidth="1"/>
    <col min="9731" max="9731" width="4" style="42" customWidth="1"/>
    <col min="9732" max="9732" width="9.88671875" style="42" customWidth="1"/>
    <col min="9733" max="9733" width="2.77734375" style="42" customWidth="1"/>
    <col min="9734" max="9736" width="8.6640625" style="42" customWidth="1"/>
    <col min="9737" max="9737" width="15.44140625" style="42" customWidth="1"/>
    <col min="9738" max="9738" width="3.6640625" style="42" customWidth="1"/>
    <col min="9739" max="9739" width="14.88671875" style="42" customWidth="1"/>
    <col min="9740" max="9740" width="9.33203125" style="42" customWidth="1"/>
    <col min="9741" max="9741" width="8.88671875" style="42"/>
    <col min="9742" max="9742" width="8.6640625" style="42" customWidth="1"/>
    <col min="9743" max="9743" width="2" style="42" customWidth="1"/>
    <col min="9744" max="9745" width="8.88671875" style="42"/>
    <col min="9746" max="9746" width="14.33203125" style="42" bestFit="1" customWidth="1"/>
    <col min="9747" max="9747" width="7.44140625" style="42" bestFit="1" customWidth="1"/>
    <col min="9748" max="9984" width="8.88671875" style="42"/>
    <col min="9985" max="9985" width="1.5546875" style="42" customWidth="1"/>
    <col min="9986" max="9986" width="2.6640625" style="42" customWidth="1"/>
    <col min="9987" max="9987" width="4" style="42" customWidth="1"/>
    <col min="9988" max="9988" width="9.88671875" style="42" customWidth="1"/>
    <col min="9989" max="9989" width="2.77734375" style="42" customWidth="1"/>
    <col min="9990" max="9992" width="8.6640625" style="42" customWidth="1"/>
    <col min="9993" max="9993" width="15.44140625" style="42" customWidth="1"/>
    <col min="9994" max="9994" width="3.6640625" style="42" customWidth="1"/>
    <col min="9995" max="9995" width="14.88671875" style="42" customWidth="1"/>
    <col min="9996" max="9996" width="9.33203125" style="42" customWidth="1"/>
    <col min="9997" max="9997" width="8.88671875" style="42"/>
    <col min="9998" max="9998" width="8.6640625" style="42" customWidth="1"/>
    <col min="9999" max="9999" width="2" style="42" customWidth="1"/>
    <col min="10000" max="10001" width="8.88671875" style="42"/>
    <col min="10002" max="10002" width="14.33203125" style="42" bestFit="1" customWidth="1"/>
    <col min="10003" max="10003" width="7.44140625" style="42" bestFit="1" customWidth="1"/>
    <col min="10004" max="10240" width="8.88671875" style="42"/>
    <col min="10241" max="10241" width="1.5546875" style="42" customWidth="1"/>
    <col min="10242" max="10242" width="2.6640625" style="42" customWidth="1"/>
    <col min="10243" max="10243" width="4" style="42" customWidth="1"/>
    <col min="10244" max="10244" width="9.88671875" style="42" customWidth="1"/>
    <col min="10245" max="10245" width="2.77734375" style="42" customWidth="1"/>
    <col min="10246" max="10248" width="8.6640625" style="42" customWidth="1"/>
    <col min="10249" max="10249" width="15.44140625" style="42" customWidth="1"/>
    <col min="10250" max="10250" width="3.6640625" style="42" customWidth="1"/>
    <col min="10251" max="10251" width="14.88671875" style="42" customWidth="1"/>
    <col min="10252" max="10252" width="9.33203125" style="42" customWidth="1"/>
    <col min="10253" max="10253" width="8.88671875" style="42"/>
    <col min="10254" max="10254" width="8.6640625" style="42" customWidth="1"/>
    <col min="10255" max="10255" width="2" style="42" customWidth="1"/>
    <col min="10256" max="10257" width="8.88671875" style="42"/>
    <col min="10258" max="10258" width="14.33203125" style="42" bestFit="1" customWidth="1"/>
    <col min="10259" max="10259" width="7.44140625" style="42" bestFit="1" customWidth="1"/>
    <col min="10260" max="10496" width="8.88671875" style="42"/>
    <col min="10497" max="10497" width="1.5546875" style="42" customWidth="1"/>
    <col min="10498" max="10498" width="2.6640625" style="42" customWidth="1"/>
    <col min="10499" max="10499" width="4" style="42" customWidth="1"/>
    <col min="10500" max="10500" width="9.88671875" style="42" customWidth="1"/>
    <col min="10501" max="10501" width="2.77734375" style="42" customWidth="1"/>
    <col min="10502" max="10504" width="8.6640625" style="42" customWidth="1"/>
    <col min="10505" max="10505" width="15.44140625" style="42" customWidth="1"/>
    <col min="10506" max="10506" width="3.6640625" style="42" customWidth="1"/>
    <col min="10507" max="10507" width="14.88671875" style="42" customWidth="1"/>
    <col min="10508" max="10508" width="9.33203125" style="42" customWidth="1"/>
    <col min="10509" max="10509" width="8.88671875" style="42"/>
    <col min="10510" max="10510" width="8.6640625" style="42" customWidth="1"/>
    <col min="10511" max="10511" width="2" style="42" customWidth="1"/>
    <col min="10512" max="10513" width="8.88671875" style="42"/>
    <col min="10514" max="10514" width="14.33203125" style="42" bestFit="1" customWidth="1"/>
    <col min="10515" max="10515" width="7.44140625" style="42" bestFit="1" customWidth="1"/>
    <col min="10516" max="10752" width="8.88671875" style="42"/>
    <col min="10753" max="10753" width="1.5546875" style="42" customWidth="1"/>
    <col min="10754" max="10754" width="2.6640625" style="42" customWidth="1"/>
    <col min="10755" max="10755" width="4" style="42" customWidth="1"/>
    <col min="10756" max="10756" width="9.88671875" style="42" customWidth="1"/>
    <col min="10757" max="10757" width="2.77734375" style="42" customWidth="1"/>
    <col min="10758" max="10760" width="8.6640625" style="42" customWidth="1"/>
    <col min="10761" max="10761" width="15.44140625" style="42" customWidth="1"/>
    <col min="10762" max="10762" width="3.6640625" style="42" customWidth="1"/>
    <col min="10763" max="10763" width="14.88671875" style="42" customWidth="1"/>
    <col min="10764" max="10764" width="9.33203125" style="42" customWidth="1"/>
    <col min="10765" max="10765" width="8.88671875" style="42"/>
    <col min="10766" max="10766" width="8.6640625" style="42" customWidth="1"/>
    <col min="10767" max="10767" width="2" style="42" customWidth="1"/>
    <col min="10768" max="10769" width="8.88671875" style="42"/>
    <col min="10770" max="10770" width="14.33203125" style="42" bestFit="1" customWidth="1"/>
    <col min="10771" max="10771" width="7.44140625" style="42" bestFit="1" customWidth="1"/>
    <col min="10772" max="11008" width="8.88671875" style="42"/>
    <col min="11009" max="11009" width="1.5546875" style="42" customWidth="1"/>
    <col min="11010" max="11010" width="2.6640625" style="42" customWidth="1"/>
    <col min="11011" max="11011" width="4" style="42" customWidth="1"/>
    <col min="11012" max="11012" width="9.88671875" style="42" customWidth="1"/>
    <col min="11013" max="11013" width="2.77734375" style="42" customWidth="1"/>
    <col min="11014" max="11016" width="8.6640625" style="42" customWidth="1"/>
    <col min="11017" max="11017" width="15.44140625" style="42" customWidth="1"/>
    <col min="11018" max="11018" width="3.6640625" style="42" customWidth="1"/>
    <col min="11019" max="11019" width="14.88671875" style="42" customWidth="1"/>
    <col min="11020" max="11020" width="9.33203125" style="42" customWidth="1"/>
    <col min="11021" max="11021" width="8.88671875" style="42"/>
    <col min="11022" max="11022" width="8.6640625" style="42" customWidth="1"/>
    <col min="11023" max="11023" width="2" style="42" customWidth="1"/>
    <col min="11024" max="11025" width="8.88671875" style="42"/>
    <col min="11026" max="11026" width="14.33203125" style="42" bestFit="1" customWidth="1"/>
    <col min="11027" max="11027" width="7.44140625" style="42" bestFit="1" customWidth="1"/>
    <col min="11028" max="11264" width="8.88671875" style="42"/>
    <col min="11265" max="11265" width="1.5546875" style="42" customWidth="1"/>
    <col min="11266" max="11266" width="2.6640625" style="42" customWidth="1"/>
    <col min="11267" max="11267" width="4" style="42" customWidth="1"/>
    <col min="11268" max="11268" width="9.88671875" style="42" customWidth="1"/>
    <col min="11269" max="11269" width="2.77734375" style="42" customWidth="1"/>
    <col min="11270" max="11272" width="8.6640625" style="42" customWidth="1"/>
    <col min="11273" max="11273" width="15.44140625" style="42" customWidth="1"/>
    <col min="11274" max="11274" width="3.6640625" style="42" customWidth="1"/>
    <col min="11275" max="11275" width="14.88671875" style="42" customWidth="1"/>
    <col min="11276" max="11276" width="9.33203125" style="42" customWidth="1"/>
    <col min="11277" max="11277" width="8.88671875" style="42"/>
    <col min="11278" max="11278" width="8.6640625" style="42" customWidth="1"/>
    <col min="11279" max="11279" width="2" style="42" customWidth="1"/>
    <col min="11280" max="11281" width="8.88671875" style="42"/>
    <col min="11282" max="11282" width="14.33203125" style="42" bestFit="1" customWidth="1"/>
    <col min="11283" max="11283" width="7.44140625" style="42" bestFit="1" customWidth="1"/>
    <col min="11284" max="11520" width="8.88671875" style="42"/>
    <col min="11521" max="11521" width="1.5546875" style="42" customWidth="1"/>
    <col min="11522" max="11522" width="2.6640625" style="42" customWidth="1"/>
    <col min="11523" max="11523" width="4" style="42" customWidth="1"/>
    <col min="11524" max="11524" width="9.88671875" style="42" customWidth="1"/>
    <col min="11525" max="11525" width="2.77734375" style="42" customWidth="1"/>
    <col min="11526" max="11528" width="8.6640625" style="42" customWidth="1"/>
    <col min="11529" max="11529" width="15.44140625" style="42" customWidth="1"/>
    <col min="11530" max="11530" width="3.6640625" style="42" customWidth="1"/>
    <col min="11531" max="11531" width="14.88671875" style="42" customWidth="1"/>
    <col min="11532" max="11532" width="9.33203125" style="42" customWidth="1"/>
    <col min="11533" max="11533" width="8.88671875" style="42"/>
    <col min="11534" max="11534" width="8.6640625" style="42" customWidth="1"/>
    <col min="11535" max="11535" width="2" style="42" customWidth="1"/>
    <col min="11536" max="11537" width="8.88671875" style="42"/>
    <col min="11538" max="11538" width="14.33203125" style="42" bestFit="1" customWidth="1"/>
    <col min="11539" max="11539" width="7.44140625" style="42" bestFit="1" customWidth="1"/>
    <col min="11540" max="11776" width="8.88671875" style="42"/>
    <col min="11777" max="11777" width="1.5546875" style="42" customWidth="1"/>
    <col min="11778" max="11778" width="2.6640625" style="42" customWidth="1"/>
    <col min="11779" max="11779" width="4" style="42" customWidth="1"/>
    <col min="11780" max="11780" width="9.88671875" style="42" customWidth="1"/>
    <col min="11781" max="11781" width="2.77734375" style="42" customWidth="1"/>
    <col min="11782" max="11784" width="8.6640625" style="42" customWidth="1"/>
    <col min="11785" max="11785" width="15.44140625" style="42" customWidth="1"/>
    <col min="11786" max="11786" width="3.6640625" style="42" customWidth="1"/>
    <col min="11787" max="11787" width="14.88671875" style="42" customWidth="1"/>
    <col min="11788" max="11788" width="9.33203125" style="42" customWidth="1"/>
    <col min="11789" max="11789" width="8.88671875" style="42"/>
    <col min="11790" max="11790" width="8.6640625" style="42" customWidth="1"/>
    <col min="11791" max="11791" width="2" style="42" customWidth="1"/>
    <col min="11792" max="11793" width="8.88671875" style="42"/>
    <col min="11794" max="11794" width="14.33203125" style="42" bestFit="1" customWidth="1"/>
    <col min="11795" max="11795" width="7.44140625" style="42" bestFit="1" customWidth="1"/>
    <col min="11796" max="12032" width="8.88671875" style="42"/>
    <col min="12033" max="12033" width="1.5546875" style="42" customWidth="1"/>
    <col min="12034" max="12034" width="2.6640625" style="42" customWidth="1"/>
    <col min="12035" max="12035" width="4" style="42" customWidth="1"/>
    <col min="12036" max="12036" width="9.88671875" style="42" customWidth="1"/>
    <col min="12037" max="12037" width="2.77734375" style="42" customWidth="1"/>
    <col min="12038" max="12040" width="8.6640625" style="42" customWidth="1"/>
    <col min="12041" max="12041" width="15.44140625" style="42" customWidth="1"/>
    <col min="12042" max="12042" width="3.6640625" style="42" customWidth="1"/>
    <col min="12043" max="12043" width="14.88671875" style="42" customWidth="1"/>
    <col min="12044" max="12044" width="9.33203125" style="42" customWidth="1"/>
    <col min="12045" max="12045" width="8.88671875" style="42"/>
    <col min="12046" max="12046" width="8.6640625" style="42" customWidth="1"/>
    <col min="12047" max="12047" width="2" style="42" customWidth="1"/>
    <col min="12048" max="12049" width="8.88671875" style="42"/>
    <col min="12050" max="12050" width="14.33203125" style="42" bestFit="1" customWidth="1"/>
    <col min="12051" max="12051" width="7.44140625" style="42" bestFit="1" customWidth="1"/>
    <col min="12052" max="12288" width="8.88671875" style="42"/>
    <col min="12289" max="12289" width="1.5546875" style="42" customWidth="1"/>
    <col min="12290" max="12290" width="2.6640625" style="42" customWidth="1"/>
    <col min="12291" max="12291" width="4" style="42" customWidth="1"/>
    <col min="12292" max="12292" width="9.88671875" style="42" customWidth="1"/>
    <col min="12293" max="12293" width="2.77734375" style="42" customWidth="1"/>
    <col min="12294" max="12296" width="8.6640625" style="42" customWidth="1"/>
    <col min="12297" max="12297" width="15.44140625" style="42" customWidth="1"/>
    <col min="12298" max="12298" width="3.6640625" style="42" customWidth="1"/>
    <col min="12299" max="12299" width="14.88671875" style="42" customWidth="1"/>
    <col min="12300" max="12300" width="9.33203125" style="42" customWidth="1"/>
    <col min="12301" max="12301" width="8.88671875" style="42"/>
    <col min="12302" max="12302" width="8.6640625" style="42" customWidth="1"/>
    <col min="12303" max="12303" width="2" style="42" customWidth="1"/>
    <col min="12304" max="12305" width="8.88671875" style="42"/>
    <col min="12306" max="12306" width="14.33203125" style="42" bestFit="1" customWidth="1"/>
    <col min="12307" max="12307" width="7.44140625" style="42" bestFit="1" customWidth="1"/>
    <col min="12308" max="12544" width="8.88671875" style="42"/>
    <col min="12545" max="12545" width="1.5546875" style="42" customWidth="1"/>
    <col min="12546" max="12546" width="2.6640625" style="42" customWidth="1"/>
    <col min="12547" max="12547" width="4" style="42" customWidth="1"/>
    <col min="12548" max="12548" width="9.88671875" style="42" customWidth="1"/>
    <col min="12549" max="12549" width="2.77734375" style="42" customWidth="1"/>
    <col min="12550" max="12552" width="8.6640625" style="42" customWidth="1"/>
    <col min="12553" max="12553" width="15.44140625" style="42" customWidth="1"/>
    <col min="12554" max="12554" width="3.6640625" style="42" customWidth="1"/>
    <col min="12555" max="12555" width="14.88671875" style="42" customWidth="1"/>
    <col min="12556" max="12556" width="9.33203125" style="42" customWidth="1"/>
    <col min="12557" max="12557" width="8.88671875" style="42"/>
    <col min="12558" max="12558" width="8.6640625" style="42" customWidth="1"/>
    <col min="12559" max="12559" width="2" style="42" customWidth="1"/>
    <col min="12560" max="12561" width="8.88671875" style="42"/>
    <col min="12562" max="12562" width="14.33203125" style="42" bestFit="1" customWidth="1"/>
    <col min="12563" max="12563" width="7.44140625" style="42" bestFit="1" customWidth="1"/>
    <col min="12564" max="12800" width="8.88671875" style="42"/>
    <col min="12801" max="12801" width="1.5546875" style="42" customWidth="1"/>
    <col min="12802" max="12802" width="2.6640625" style="42" customWidth="1"/>
    <col min="12803" max="12803" width="4" style="42" customWidth="1"/>
    <col min="12804" max="12804" width="9.88671875" style="42" customWidth="1"/>
    <col min="12805" max="12805" width="2.77734375" style="42" customWidth="1"/>
    <col min="12806" max="12808" width="8.6640625" style="42" customWidth="1"/>
    <col min="12809" max="12809" width="15.44140625" style="42" customWidth="1"/>
    <col min="12810" max="12810" width="3.6640625" style="42" customWidth="1"/>
    <col min="12811" max="12811" width="14.88671875" style="42" customWidth="1"/>
    <col min="12812" max="12812" width="9.33203125" style="42" customWidth="1"/>
    <col min="12813" max="12813" width="8.88671875" style="42"/>
    <col min="12814" max="12814" width="8.6640625" style="42" customWidth="1"/>
    <col min="12815" max="12815" width="2" style="42" customWidth="1"/>
    <col min="12816" max="12817" width="8.88671875" style="42"/>
    <col min="12818" max="12818" width="14.33203125" style="42" bestFit="1" customWidth="1"/>
    <col min="12819" max="12819" width="7.44140625" style="42" bestFit="1" customWidth="1"/>
    <col min="12820" max="13056" width="8.88671875" style="42"/>
    <col min="13057" max="13057" width="1.5546875" style="42" customWidth="1"/>
    <col min="13058" max="13058" width="2.6640625" style="42" customWidth="1"/>
    <col min="13059" max="13059" width="4" style="42" customWidth="1"/>
    <col min="13060" max="13060" width="9.88671875" style="42" customWidth="1"/>
    <col min="13061" max="13061" width="2.77734375" style="42" customWidth="1"/>
    <col min="13062" max="13064" width="8.6640625" style="42" customWidth="1"/>
    <col min="13065" max="13065" width="15.44140625" style="42" customWidth="1"/>
    <col min="13066" max="13066" width="3.6640625" style="42" customWidth="1"/>
    <col min="13067" max="13067" width="14.88671875" style="42" customWidth="1"/>
    <col min="13068" max="13068" width="9.33203125" style="42" customWidth="1"/>
    <col min="13069" max="13069" width="8.88671875" style="42"/>
    <col min="13070" max="13070" width="8.6640625" style="42" customWidth="1"/>
    <col min="13071" max="13071" width="2" style="42" customWidth="1"/>
    <col min="13072" max="13073" width="8.88671875" style="42"/>
    <col min="13074" max="13074" width="14.33203125" style="42" bestFit="1" customWidth="1"/>
    <col min="13075" max="13075" width="7.44140625" style="42" bestFit="1" customWidth="1"/>
    <col min="13076" max="13312" width="8.88671875" style="42"/>
    <col min="13313" max="13313" width="1.5546875" style="42" customWidth="1"/>
    <col min="13314" max="13314" width="2.6640625" style="42" customWidth="1"/>
    <col min="13315" max="13315" width="4" style="42" customWidth="1"/>
    <col min="13316" max="13316" width="9.88671875" style="42" customWidth="1"/>
    <col min="13317" max="13317" width="2.77734375" style="42" customWidth="1"/>
    <col min="13318" max="13320" width="8.6640625" style="42" customWidth="1"/>
    <col min="13321" max="13321" width="15.44140625" style="42" customWidth="1"/>
    <col min="13322" max="13322" width="3.6640625" style="42" customWidth="1"/>
    <col min="13323" max="13323" width="14.88671875" style="42" customWidth="1"/>
    <col min="13324" max="13324" width="9.33203125" style="42" customWidth="1"/>
    <col min="13325" max="13325" width="8.88671875" style="42"/>
    <col min="13326" max="13326" width="8.6640625" style="42" customWidth="1"/>
    <col min="13327" max="13327" width="2" style="42" customWidth="1"/>
    <col min="13328" max="13329" width="8.88671875" style="42"/>
    <col min="13330" max="13330" width="14.33203125" style="42" bestFit="1" customWidth="1"/>
    <col min="13331" max="13331" width="7.44140625" style="42" bestFit="1" customWidth="1"/>
    <col min="13332" max="13568" width="8.88671875" style="42"/>
    <col min="13569" max="13569" width="1.5546875" style="42" customWidth="1"/>
    <col min="13570" max="13570" width="2.6640625" style="42" customWidth="1"/>
    <col min="13571" max="13571" width="4" style="42" customWidth="1"/>
    <col min="13572" max="13572" width="9.88671875" style="42" customWidth="1"/>
    <col min="13573" max="13573" width="2.77734375" style="42" customWidth="1"/>
    <col min="13574" max="13576" width="8.6640625" style="42" customWidth="1"/>
    <col min="13577" max="13577" width="15.44140625" style="42" customWidth="1"/>
    <col min="13578" max="13578" width="3.6640625" style="42" customWidth="1"/>
    <col min="13579" max="13579" width="14.88671875" style="42" customWidth="1"/>
    <col min="13580" max="13580" width="9.33203125" style="42" customWidth="1"/>
    <col min="13581" max="13581" width="8.88671875" style="42"/>
    <col min="13582" max="13582" width="8.6640625" style="42" customWidth="1"/>
    <col min="13583" max="13583" width="2" style="42" customWidth="1"/>
    <col min="13584" max="13585" width="8.88671875" style="42"/>
    <col min="13586" max="13586" width="14.33203125" style="42" bestFit="1" customWidth="1"/>
    <col min="13587" max="13587" width="7.44140625" style="42" bestFit="1" customWidth="1"/>
    <col min="13588" max="13824" width="8.88671875" style="42"/>
    <col min="13825" max="13825" width="1.5546875" style="42" customWidth="1"/>
    <col min="13826" max="13826" width="2.6640625" style="42" customWidth="1"/>
    <col min="13827" max="13827" width="4" style="42" customWidth="1"/>
    <col min="13828" max="13828" width="9.88671875" style="42" customWidth="1"/>
    <col min="13829" max="13829" width="2.77734375" style="42" customWidth="1"/>
    <col min="13830" max="13832" width="8.6640625" style="42" customWidth="1"/>
    <col min="13833" max="13833" width="15.44140625" style="42" customWidth="1"/>
    <col min="13834" max="13834" width="3.6640625" style="42" customWidth="1"/>
    <col min="13835" max="13835" width="14.88671875" style="42" customWidth="1"/>
    <col min="13836" max="13836" width="9.33203125" style="42" customWidth="1"/>
    <col min="13837" max="13837" width="8.88671875" style="42"/>
    <col min="13838" max="13838" width="8.6640625" style="42" customWidth="1"/>
    <col min="13839" max="13839" width="2" style="42" customWidth="1"/>
    <col min="13840" max="13841" width="8.88671875" style="42"/>
    <col min="13842" max="13842" width="14.33203125" style="42" bestFit="1" customWidth="1"/>
    <col min="13843" max="13843" width="7.44140625" style="42" bestFit="1" customWidth="1"/>
    <col min="13844" max="14080" width="8.88671875" style="42"/>
    <col min="14081" max="14081" width="1.5546875" style="42" customWidth="1"/>
    <col min="14082" max="14082" width="2.6640625" style="42" customWidth="1"/>
    <col min="14083" max="14083" width="4" style="42" customWidth="1"/>
    <col min="14084" max="14084" width="9.88671875" style="42" customWidth="1"/>
    <col min="14085" max="14085" width="2.77734375" style="42" customWidth="1"/>
    <col min="14086" max="14088" width="8.6640625" style="42" customWidth="1"/>
    <col min="14089" max="14089" width="15.44140625" style="42" customWidth="1"/>
    <col min="14090" max="14090" width="3.6640625" style="42" customWidth="1"/>
    <col min="14091" max="14091" width="14.88671875" style="42" customWidth="1"/>
    <col min="14092" max="14092" width="9.33203125" style="42" customWidth="1"/>
    <col min="14093" max="14093" width="8.88671875" style="42"/>
    <col min="14094" max="14094" width="8.6640625" style="42" customWidth="1"/>
    <col min="14095" max="14095" width="2" style="42" customWidth="1"/>
    <col min="14096" max="14097" width="8.88671875" style="42"/>
    <col min="14098" max="14098" width="14.33203125" style="42" bestFit="1" customWidth="1"/>
    <col min="14099" max="14099" width="7.44140625" style="42" bestFit="1" customWidth="1"/>
    <col min="14100" max="14336" width="8.88671875" style="42"/>
    <col min="14337" max="14337" width="1.5546875" style="42" customWidth="1"/>
    <col min="14338" max="14338" width="2.6640625" style="42" customWidth="1"/>
    <col min="14339" max="14339" width="4" style="42" customWidth="1"/>
    <col min="14340" max="14340" width="9.88671875" style="42" customWidth="1"/>
    <col min="14341" max="14341" width="2.77734375" style="42" customWidth="1"/>
    <col min="14342" max="14344" width="8.6640625" style="42" customWidth="1"/>
    <col min="14345" max="14345" width="15.44140625" style="42" customWidth="1"/>
    <col min="14346" max="14346" width="3.6640625" style="42" customWidth="1"/>
    <col min="14347" max="14347" width="14.88671875" style="42" customWidth="1"/>
    <col min="14348" max="14348" width="9.33203125" style="42" customWidth="1"/>
    <col min="14349" max="14349" width="8.88671875" style="42"/>
    <col min="14350" max="14350" width="8.6640625" style="42" customWidth="1"/>
    <col min="14351" max="14351" width="2" style="42" customWidth="1"/>
    <col min="14352" max="14353" width="8.88671875" style="42"/>
    <col min="14354" max="14354" width="14.33203125" style="42" bestFit="1" customWidth="1"/>
    <col min="14355" max="14355" width="7.44140625" style="42" bestFit="1" customWidth="1"/>
    <col min="14356" max="14592" width="8.88671875" style="42"/>
    <col min="14593" max="14593" width="1.5546875" style="42" customWidth="1"/>
    <col min="14594" max="14594" width="2.6640625" style="42" customWidth="1"/>
    <col min="14595" max="14595" width="4" style="42" customWidth="1"/>
    <col min="14596" max="14596" width="9.88671875" style="42" customWidth="1"/>
    <col min="14597" max="14597" width="2.77734375" style="42" customWidth="1"/>
    <col min="14598" max="14600" width="8.6640625" style="42" customWidth="1"/>
    <col min="14601" max="14601" width="15.44140625" style="42" customWidth="1"/>
    <col min="14602" max="14602" width="3.6640625" style="42" customWidth="1"/>
    <col min="14603" max="14603" width="14.88671875" style="42" customWidth="1"/>
    <col min="14604" max="14604" width="9.33203125" style="42" customWidth="1"/>
    <col min="14605" max="14605" width="8.88671875" style="42"/>
    <col min="14606" max="14606" width="8.6640625" style="42" customWidth="1"/>
    <col min="14607" max="14607" width="2" style="42" customWidth="1"/>
    <col min="14608" max="14609" width="8.88671875" style="42"/>
    <col min="14610" max="14610" width="14.33203125" style="42" bestFit="1" customWidth="1"/>
    <col min="14611" max="14611" width="7.44140625" style="42" bestFit="1" customWidth="1"/>
    <col min="14612" max="14848" width="8.88671875" style="42"/>
    <col min="14849" max="14849" width="1.5546875" style="42" customWidth="1"/>
    <col min="14850" max="14850" width="2.6640625" style="42" customWidth="1"/>
    <col min="14851" max="14851" width="4" style="42" customWidth="1"/>
    <col min="14852" max="14852" width="9.88671875" style="42" customWidth="1"/>
    <col min="14853" max="14853" width="2.77734375" style="42" customWidth="1"/>
    <col min="14854" max="14856" width="8.6640625" style="42" customWidth="1"/>
    <col min="14857" max="14857" width="15.44140625" style="42" customWidth="1"/>
    <col min="14858" max="14858" width="3.6640625" style="42" customWidth="1"/>
    <col min="14859" max="14859" width="14.88671875" style="42" customWidth="1"/>
    <col min="14860" max="14860" width="9.33203125" style="42" customWidth="1"/>
    <col min="14861" max="14861" width="8.88671875" style="42"/>
    <col min="14862" max="14862" width="8.6640625" style="42" customWidth="1"/>
    <col min="14863" max="14863" width="2" style="42" customWidth="1"/>
    <col min="14864" max="14865" width="8.88671875" style="42"/>
    <col min="14866" max="14866" width="14.33203125" style="42" bestFit="1" customWidth="1"/>
    <col min="14867" max="14867" width="7.44140625" style="42" bestFit="1" customWidth="1"/>
    <col min="14868" max="15104" width="8.88671875" style="42"/>
    <col min="15105" max="15105" width="1.5546875" style="42" customWidth="1"/>
    <col min="15106" max="15106" width="2.6640625" style="42" customWidth="1"/>
    <col min="15107" max="15107" width="4" style="42" customWidth="1"/>
    <col min="15108" max="15108" width="9.88671875" style="42" customWidth="1"/>
    <col min="15109" max="15109" width="2.77734375" style="42" customWidth="1"/>
    <col min="15110" max="15112" width="8.6640625" style="42" customWidth="1"/>
    <col min="15113" max="15113" width="15.44140625" style="42" customWidth="1"/>
    <col min="15114" max="15114" width="3.6640625" style="42" customWidth="1"/>
    <col min="15115" max="15115" width="14.88671875" style="42" customWidth="1"/>
    <col min="15116" max="15116" width="9.33203125" style="42" customWidth="1"/>
    <col min="15117" max="15117" width="8.88671875" style="42"/>
    <col min="15118" max="15118" width="8.6640625" style="42" customWidth="1"/>
    <col min="15119" max="15119" width="2" style="42" customWidth="1"/>
    <col min="15120" max="15121" width="8.88671875" style="42"/>
    <col min="15122" max="15122" width="14.33203125" style="42" bestFit="1" customWidth="1"/>
    <col min="15123" max="15123" width="7.44140625" style="42" bestFit="1" customWidth="1"/>
    <col min="15124" max="15360" width="8.88671875" style="42"/>
    <col min="15361" max="15361" width="1.5546875" style="42" customWidth="1"/>
    <col min="15362" max="15362" width="2.6640625" style="42" customWidth="1"/>
    <col min="15363" max="15363" width="4" style="42" customWidth="1"/>
    <col min="15364" max="15364" width="9.88671875" style="42" customWidth="1"/>
    <col min="15365" max="15365" width="2.77734375" style="42" customWidth="1"/>
    <col min="15366" max="15368" width="8.6640625" style="42" customWidth="1"/>
    <col min="15369" max="15369" width="15.44140625" style="42" customWidth="1"/>
    <col min="15370" max="15370" width="3.6640625" style="42" customWidth="1"/>
    <col min="15371" max="15371" width="14.88671875" style="42" customWidth="1"/>
    <col min="15372" max="15372" width="9.33203125" style="42" customWidth="1"/>
    <col min="15373" max="15373" width="8.88671875" style="42"/>
    <col min="15374" max="15374" width="8.6640625" style="42" customWidth="1"/>
    <col min="15375" max="15375" width="2" style="42" customWidth="1"/>
    <col min="15376" max="15377" width="8.88671875" style="42"/>
    <col min="15378" max="15378" width="14.33203125" style="42" bestFit="1" customWidth="1"/>
    <col min="15379" max="15379" width="7.44140625" style="42" bestFit="1" customWidth="1"/>
    <col min="15380" max="15616" width="8.88671875" style="42"/>
    <col min="15617" max="15617" width="1.5546875" style="42" customWidth="1"/>
    <col min="15618" max="15618" width="2.6640625" style="42" customWidth="1"/>
    <col min="15619" max="15619" width="4" style="42" customWidth="1"/>
    <col min="15620" max="15620" width="9.88671875" style="42" customWidth="1"/>
    <col min="15621" max="15621" width="2.77734375" style="42" customWidth="1"/>
    <col min="15622" max="15624" width="8.6640625" style="42" customWidth="1"/>
    <col min="15625" max="15625" width="15.44140625" style="42" customWidth="1"/>
    <col min="15626" max="15626" width="3.6640625" style="42" customWidth="1"/>
    <col min="15627" max="15627" width="14.88671875" style="42" customWidth="1"/>
    <col min="15628" max="15628" width="9.33203125" style="42" customWidth="1"/>
    <col min="15629" max="15629" width="8.88671875" style="42"/>
    <col min="15630" max="15630" width="8.6640625" style="42" customWidth="1"/>
    <col min="15631" max="15631" width="2" style="42" customWidth="1"/>
    <col min="15632" max="15633" width="8.88671875" style="42"/>
    <col min="15634" max="15634" width="14.33203125" style="42" bestFit="1" customWidth="1"/>
    <col min="15635" max="15635" width="7.44140625" style="42" bestFit="1" customWidth="1"/>
    <col min="15636" max="15872" width="8.88671875" style="42"/>
    <col min="15873" max="15873" width="1.5546875" style="42" customWidth="1"/>
    <col min="15874" max="15874" width="2.6640625" style="42" customWidth="1"/>
    <col min="15875" max="15875" width="4" style="42" customWidth="1"/>
    <col min="15876" max="15876" width="9.88671875" style="42" customWidth="1"/>
    <col min="15877" max="15877" width="2.77734375" style="42" customWidth="1"/>
    <col min="15878" max="15880" width="8.6640625" style="42" customWidth="1"/>
    <col min="15881" max="15881" width="15.44140625" style="42" customWidth="1"/>
    <col min="15882" max="15882" width="3.6640625" style="42" customWidth="1"/>
    <col min="15883" max="15883" width="14.88671875" style="42" customWidth="1"/>
    <col min="15884" max="15884" width="9.33203125" style="42" customWidth="1"/>
    <col min="15885" max="15885" width="8.88671875" style="42"/>
    <col min="15886" max="15886" width="8.6640625" style="42" customWidth="1"/>
    <col min="15887" max="15887" width="2" style="42" customWidth="1"/>
    <col min="15888" max="15889" width="8.88671875" style="42"/>
    <col min="15890" max="15890" width="14.33203125" style="42" bestFit="1" customWidth="1"/>
    <col min="15891" max="15891" width="7.44140625" style="42" bestFit="1" customWidth="1"/>
    <col min="15892" max="16128" width="8.88671875" style="42"/>
    <col min="16129" max="16129" width="1.5546875" style="42" customWidth="1"/>
    <col min="16130" max="16130" width="2.6640625" style="42" customWidth="1"/>
    <col min="16131" max="16131" width="4" style="42" customWidth="1"/>
    <col min="16132" max="16132" width="9.88671875" style="42" customWidth="1"/>
    <col min="16133" max="16133" width="2.77734375" style="42" customWidth="1"/>
    <col min="16134" max="16136" width="8.6640625" style="42" customWidth="1"/>
    <col min="16137" max="16137" width="15.44140625" style="42" customWidth="1"/>
    <col min="16138" max="16138" width="3.6640625" style="42" customWidth="1"/>
    <col min="16139" max="16139" width="14.88671875" style="42" customWidth="1"/>
    <col min="16140" max="16140" width="9.33203125" style="42" customWidth="1"/>
    <col min="16141" max="16141" width="8.88671875" style="42"/>
    <col min="16142" max="16142" width="8.6640625" style="42" customWidth="1"/>
    <col min="16143" max="16143" width="2" style="42" customWidth="1"/>
    <col min="16144" max="16145" width="8.88671875" style="42"/>
    <col min="16146" max="16146" width="14.33203125" style="42" bestFit="1" customWidth="1"/>
    <col min="16147" max="16147" width="7.44140625" style="42" bestFit="1" customWidth="1"/>
    <col min="16148" max="16384" width="8.88671875" style="42"/>
  </cols>
  <sheetData>
    <row r="1" spans="2:20" ht="12" thickBot="1" x14ac:dyDescent="0.2"/>
    <row r="2" spans="2:20" ht="17.25" customHeight="1" x14ac:dyDescent="0.15"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</row>
    <row r="3" spans="2:20" ht="17.25" customHeight="1" x14ac:dyDescent="0.15">
      <c r="B3" s="46"/>
      <c r="N3" s="47"/>
    </row>
    <row r="4" spans="2:20" ht="45" customHeight="1" x14ac:dyDescent="0.15">
      <c r="B4" s="182" t="s">
        <v>63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4"/>
      <c r="T4"/>
    </row>
    <row r="5" spans="2:20" ht="17.25" customHeight="1" x14ac:dyDescent="0.15">
      <c r="B5" s="46"/>
      <c r="N5" s="47"/>
    </row>
    <row r="6" spans="2:20" ht="17.25" customHeight="1" x14ac:dyDescent="0.15">
      <c r="B6" s="46"/>
      <c r="N6" s="47"/>
    </row>
    <row r="7" spans="2:20" ht="17.25" customHeight="1" x14ac:dyDescent="0.15">
      <c r="B7" s="46"/>
      <c r="N7" s="47"/>
    </row>
    <row r="8" spans="2:20" s="49" customFormat="1" ht="25.5" customHeight="1" x14ac:dyDescent="0.15">
      <c r="B8" s="48"/>
      <c r="D8" s="50" t="s">
        <v>57</v>
      </c>
      <c r="E8" s="51" t="s">
        <v>58</v>
      </c>
      <c r="F8" s="49" t="s">
        <v>76</v>
      </c>
      <c r="N8" s="52"/>
    </row>
    <row r="9" spans="2:20" s="49" customFormat="1" ht="37.5" customHeight="1" x14ac:dyDescent="0.2">
      <c r="B9" s="48"/>
      <c r="D9" s="50" t="s">
        <v>59</v>
      </c>
      <c r="E9" s="51" t="s">
        <v>58</v>
      </c>
      <c r="F9" s="49" t="s">
        <v>162</v>
      </c>
      <c r="N9" s="52"/>
      <c r="R9" s="53"/>
    </row>
    <row r="10" spans="2:20" s="55" customFormat="1" ht="25.5" customHeight="1" x14ac:dyDescent="0.15">
      <c r="B10" s="54"/>
      <c r="D10" s="50" t="s">
        <v>64</v>
      </c>
      <c r="E10" s="51" t="s">
        <v>58</v>
      </c>
      <c r="F10" s="185">
        <f>+K10</f>
        <v>583000000</v>
      </c>
      <c r="G10" s="185"/>
      <c r="H10" s="185"/>
      <c r="I10" s="185"/>
      <c r="J10" s="56" t="s">
        <v>60</v>
      </c>
      <c r="K10" s="57">
        <f>집계표!F25</f>
        <v>583000000</v>
      </c>
      <c r="L10" s="49" t="s">
        <v>61</v>
      </c>
      <c r="M10" s="49"/>
      <c r="N10" s="58"/>
    </row>
    <row r="11" spans="2:20" s="55" customFormat="1" ht="25.5" customHeight="1" x14ac:dyDescent="0.15">
      <c r="B11" s="54"/>
      <c r="D11" s="50" t="s">
        <v>73</v>
      </c>
      <c r="E11" s="51" t="s">
        <v>58</v>
      </c>
      <c r="F11" s="68" t="s">
        <v>170</v>
      </c>
      <c r="N11" s="58"/>
    </row>
    <row r="12" spans="2:20" s="55" customFormat="1" ht="17.25" customHeight="1" x14ac:dyDescent="0.15">
      <c r="B12" s="54"/>
      <c r="N12" s="58"/>
      <c r="R12" s="49"/>
    </row>
    <row r="13" spans="2:20" s="55" customFormat="1" ht="25.5" customHeight="1" x14ac:dyDescent="0.15">
      <c r="B13" s="54"/>
      <c r="D13" s="49" t="s">
        <v>62</v>
      </c>
      <c r="E13" s="49"/>
      <c r="N13" s="58"/>
    </row>
    <row r="14" spans="2:20" ht="17.25" customHeight="1" x14ac:dyDescent="0.15">
      <c r="B14" s="46"/>
      <c r="N14" s="47"/>
    </row>
    <row r="15" spans="2:20" ht="17.25" customHeight="1" x14ac:dyDescent="0.15">
      <c r="B15" s="46"/>
      <c r="N15" s="47"/>
    </row>
    <row r="16" spans="2:20" ht="17.25" customHeight="1" x14ac:dyDescent="0.15">
      <c r="B16" s="46"/>
      <c r="N16" s="47"/>
    </row>
    <row r="17" spans="2:14" ht="19.5" x14ac:dyDescent="0.15">
      <c r="B17" s="46"/>
      <c r="K17" s="186">
        <v>46080</v>
      </c>
      <c r="L17" s="186"/>
      <c r="M17" s="59"/>
      <c r="N17" s="47"/>
    </row>
    <row r="18" spans="2:14" ht="17.25" customHeight="1" x14ac:dyDescent="0.15">
      <c r="B18" s="46"/>
      <c r="N18" s="47"/>
    </row>
    <row r="19" spans="2:14" ht="17.25" customHeight="1" x14ac:dyDescent="0.2">
      <c r="B19" s="46"/>
      <c r="G19" s="60"/>
      <c r="N19" s="47"/>
    </row>
    <row r="20" spans="2:14" ht="17.25" customHeight="1" x14ac:dyDescent="0.15">
      <c r="B20" s="46"/>
      <c r="N20" s="47"/>
    </row>
    <row r="21" spans="2:14" ht="17.25" customHeight="1" x14ac:dyDescent="0.2">
      <c r="B21" s="46"/>
      <c r="I21" s="60"/>
      <c r="N21" s="47"/>
    </row>
    <row r="22" spans="2:14" ht="31.5" x14ac:dyDescent="0.15">
      <c r="B22" s="187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9"/>
    </row>
    <row r="23" spans="2:14" ht="17.25" customHeight="1" x14ac:dyDescent="0.15">
      <c r="B23" s="46"/>
      <c r="N23" s="47"/>
    </row>
    <row r="24" spans="2:14" ht="17.25" customHeight="1" thickBot="1" x14ac:dyDescent="0.2"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</row>
  </sheetData>
  <sheetProtection algorithmName="SHA-512" hashValue="d8xr4IpFqBcYMWleXJFBrGZMEXFI8oMqLbGzQmr2kCrOtiAnoPGlzDa8bH962A4XnQJpMpoEt+czj390RrFHAw==" saltValue="aF4/75PlA/eoSOLdNg/wuw==" spinCount="100000" sheet="1" objects="1" scenarios="1" selectLockedCells="1" selectUnlockedCells="1"/>
  <mergeCells count="4">
    <mergeCell ref="B4:N4"/>
    <mergeCell ref="F10:I10"/>
    <mergeCell ref="K17:L17"/>
    <mergeCell ref="B22:N22"/>
  </mergeCells>
  <phoneticPr fontId="3" type="noConversion"/>
  <printOptions horizontalCentered="1"/>
  <pageMargins left="0.65" right="0.55000000000000004" top="0.74803149606299213" bottom="0.74803149606299213" header="0.31496062992125984" footer="0.31496062992125984"/>
  <pageSetup paperSize="9" scale="9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U100"/>
  <sheetViews>
    <sheetView view="pageBreakPreview" zoomScale="85" zoomScaleNormal="80" zoomScaleSheetLayoutView="85" workbookViewId="0">
      <pane xSplit="1" ySplit="6" topLeftCell="B13" activePane="bottomRight" state="frozen"/>
      <selection activeCell="A19" sqref="A19:F19"/>
      <selection pane="topRight" activeCell="A19" sqref="A19:F19"/>
      <selection pane="bottomLeft" activeCell="A19" sqref="A19:F19"/>
      <selection pane="bottomRight" activeCell="F20" sqref="F20"/>
    </sheetView>
  </sheetViews>
  <sheetFormatPr defaultRowHeight="13.5" x14ac:dyDescent="0.15"/>
  <cols>
    <col min="1" max="1" width="40" style="1" customWidth="1"/>
    <col min="2" max="2" width="11.88671875" style="4" customWidth="1"/>
    <col min="3" max="4" width="7.109375" style="4" customWidth="1"/>
    <col min="5" max="5" width="6.77734375" style="4" customWidth="1"/>
    <col min="6" max="6" width="14.77734375" style="4" customWidth="1"/>
    <col min="7" max="7" width="6.77734375" style="4" hidden="1" customWidth="1"/>
    <col min="8" max="8" width="14.77734375" style="4" hidden="1" customWidth="1"/>
    <col min="9" max="9" width="7.77734375" style="4" hidden="1" customWidth="1"/>
    <col min="10" max="10" width="6.77734375" style="4" hidden="1" customWidth="1"/>
    <col min="11" max="11" width="14.77734375" style="1" hidden="1" customWidth="1"/>
    <col min="12" max="12" width="7.77734375" style="1" hidden="1" customWidth="1"/>
    <col min="13" max="13" width="6.77734375" style="4" hidden="1" customWidth="1"/>
    <col min="14" max="14" width="14.77734375" style="1" hidden="1" customWidth="1"/>
    <col min="15" max="15" width="7.77734375" style="1" hidden="1" customWidth="1"/>
    <col min="16" max="16" width="11.5546875" style="1" customWidth="1"/>
    <col min="17" max="17" width="14.88671875" style="1" customWidth="1"/>
    <col min="18" max="21" width="15" style="1" customWidth="1"/>
    <col min="22" max="250" width="8.88671875" style="1"/>
    <col min="251" max="251" width="26.21875" style="1" customWidth="1"/>
    <col min="252" max="252" width="12.77734375" style="1" customWidth="1"/>
    <col min="253" max="254" width="7.109375" style="1" customWidth="1"/>
    <col min="255" max="255" width="6.77734375" style="1" customWidth="1"/>
    <col min="256" max="256" width="14.21875" style="1" customWidth="1"/>
    <col min="257" max="257" width="6.77734375" style="1" customWidth="1"/>
    <col min="258" max="258" width="14" style="1" customWidth="1"/>
    <col min="259" max="259" width="7.77734375" style="1" customWidth="1"/>
    <col min="260" max="260" width="6.77734375" style="1" customWidth="1"/>
    <col min="261" max="261" width="14.21875" style="1" customWidth="1"/>
    <col min="262" max="262" width="7.77734375" style="1" customWidth="1"/>
    <col min="263" max="263" width="6.77734375" style="1" customWidth="1"/>
    <col min="264" max="264" width="14.21875" style="1" customWidth="1"/>
    <col min="265" max="265" width="7.77734375" style="1" customWidth="1"/>
    <col min="266" max="271" width="0" style="1" hidden="1" customWidth="1"/>
    <col min="272" max="272" width="7.88671875" style="1" customWidth="1"/>
    <col min="273" max="506" width="8.88671875" style="1"/>
    <col min="507" max="507" width="26.21875" style="1" customWidth="1"/>
    <col min="508" max="508" width="12.77734375" style="1" customWidth="1"/>
    <col min="509" max="510" width="7.109375" style="1" customWidth="1"/>
    <col min="511" max="511" width="6.77734375" style="1" customWidth="1"/>
    <col min="512" max="512" width="14.21875" style="1" customWidth="1"/>
    <col min="513" max="513" width="6.77734375" style="1" customWidth="1"/>
    <col min="514" max="514" width="14" style="1" customWidth="1"/>
    <col min="515" max="515" width="7.77734375" style="1" customWidth="1"/>
    <col min="516" max="516" width="6.77734375" style="1" customWidth="1"/>
    <col min="517" max="517" width="14.21875" style="1" customWidth="1"/>
    <col min="518" max="518" width="7.77734375" style="1" customWidth="1"/>
    <col min="519" max="519" width="6.77734375" style="1" customWidth="1"/>
    <col min="520" max="520" width="14.21875" style="1" customWidth="1"/>
    <col min="521" max="521" width="7.77734375" style="1" customWidth="1"/>
    <col min="522" max="527" width="0" style="1" hidden="1" customWidth="1"/>
    <col min="528" max="528" width="7.88671875" style="1" customWidth="1"/>
    <col min="529" max="762" width="8.88671875" style="1"/>
    <col min="763" max="763" width="26.21875" style="1" customWidth="1"/>
    <col min="764" max="764" width="12.77734375" style="1" customWidth="1"/>
    <col min="765" max="766" width="7.109375" style="1" customWidth="1"/>
    <col min="767" max="767" width="6.77734375" style="1" customWidth="1"/>
    <col min="768" max="768" width="14.21875" style="1" customWidth="1"/>
    <col min="769" max="769" width="6.77734375" style="1" customWidth="1"/>
    <col min="770" max="770" width="14" style="1" customWidth="1"/>
    <col min="771" max="771" width="7.77734375" style="1" customWidth="1"/>
    <col min="772" max="772" width="6.77734375" style="1" customWidth="1"/>
    <col min="773" max="773" width="14.21875" style="1" customWidth="1"/>
    <col min="774" max="774" width="7.77734375" style="1" customWidth="1"/>
    <col min="775" max="775" width="6.77734375" style="1" customWidth="1"/>
    <col min="776" max="776" width="14.21875" style="1" customWidth="1"/>
    <col min="777" max="777" width="7.77734375" style="1" customWidth="1"/>
    <col min="778" max="783" width="0" style="1" hidden="1" customWidth="1"/>
    <col min="784" max="784" width="7.88671875" style="1" customWidth="1"/>
    <col min="785" max="1018" width="8.88671875" style="1"/>
    <col min="1019" max="1019" width="26.21875" style="1" customWidth="1"/>
    <col min="1020" max="1020" width="12.77734375" style="1" customWidth="1"/>
    <col min="1021" max="1022" width="7.109375" style="1" customWidth="1"/>
    <col min="1023" max="1023" width="6.77734375" style="1" customWidth="1"/>
    <col min="1024" max="1024" width="14.21875" style="1" customWidth="1"/>
    <col min="1025" max="1025" width="6.77734375" style="1" customWidth="1"/>
    <col min="1026" max="1026" width="14" style="1" customWidth="1"/>
    <col min="1027" max="1027" width="7.77734375" style="1" customWidth="1"/>
    <col min="1028" max="1028" width="6.77734375" style="1" customWidth="1"/>
    <col min="1029" max="1029" width="14.21875" style="1" customWidth="1"/>
    <col min="1030" max="1030" width="7.77734375" style="1" customWidth="1"/>
    <col min="1031" max="1031" width="6.77734375" style="1" customWidth="1"/>
    <col min="1032" max="1032" width="14.21875" style="1" customWidth="1"/>
    <col min="1033" max="1033" width="7.77734375" style="1" customWidth="1"/>
    <col min="1034" max="1039" width="0" style="1" hidden="1" customWidth="1"/>
    <col min="1040" max="1040" width="7.88671875" style="1" customWidth="1"/>
    <col min="1041" max="1274" width="8.88671875" style="1"/>
    <col min="1275" max="1275" width="26.21875" style="1" customWidth="1"/>
    <col min="1276" max="1276" width="12.77734375" style="1" customWidth="1"/>
    <col min="1277" max="1278" width="7.109375" style="1" customWidth="1"/>
    <col min="1279" max="1279" width="6.77734375" style="1" customWidth="1"/>
    <col min="1280" max="1280" width="14.21875" style="1" customWidth="1"/>
    <col min="1281" max="1281" width="6.77734375" style="1" customWidth="1"/>
    <col min="1282" max="1282" width="14" style="1" customWidth="1"/>
    <col min="1283" max="1283" width="7.77734375" style="1" customWidth="1"/>
    <col min="1284" max="1284" width="6.77734375" style="1" customWidth="1"/>
    <col min="1285" max="1285" width="14.21875" style="1" customWidth="1"/>
    <col min="1286" max="1286" width="7.77734375" style="1" customWidth="1"/>
    <col min="1287" max="1287" width="6.77734375" style="1" customWidth="1"/>
    <col min="1288" max="1288" width="14.21875" style="1" customWidth="1"/>
    <col min="1289" max="1289" width="7.77734375" style="1" customWidth="1"/>
    <col min="1290" max="1295" width="0" style="1" hidden="1" customWidth="1"/>
    <col min="1296" max="1296" width="7.88671875" style="1" customWidth="1"/>
    <col min="1297" max="1530" width="8.88671875" style="1"/>
    <col min="1531" max="1531" width="26.21875" style="1" customWidth="1"/>
    <col min="1532" max="1532" width="12.77734375" style="1" customWidth="1"/>
    <col min="1533" max="1534" width="7.109375" style="1" customWidth="1"/>
    <col min="1535" max="1535" width="6.77734375" style="1" customWidth="1"/>
    <col min="1536" max="1536" width="14.21875" style="1" customWidth="1"/>
    <col min="1537" max="1537" width="6.77734375" style="1" customWidth="1"/>
    <col min="1538" max="1538" width="14" style="1" customWidth="1"/>
    <col min="1539" max="1539" width="7.77734375" style="1" customWidth="1"/>
    <col min="1540" max="1540" width="6.77734375" style="1" customWidth="1"/>
    <col min="1541" max="1541" width="14.21875" style="1" customWidth="1"/>
    <col min="1542" max="1542" width="7.77734375" style="1" customWidth="1"/>
    <col min="1543" max="1543" width="6.77734375" style="1" customWidth="1"/>
    <col min="1544" max="1544" width="14.21875" style="1" customWidth="1"/>
    <col min="1545" max="1545" width="7.77734375" style="1" customWidth="1"/>
    <col min="1546" max="1551" width="0" style="1" hidden="1" customWidth="1"/>
    <col min="1552" max="1552" width="7.88671875" style="1" customWidth="1"/>
    <col min="1553" max="1786" width="8.88671875" style="1"/>
    <col min="1787" max="1787" width="26.21875" style="1" customWidth="1"/>
    <col min="1788" max="1788" width="12.77734375" style="1" customWidth="1"/>
    <col min="1789" max="1790" width="7.109375" style="1" customWidth="1"/>
    <col min="1791" max="1791" width="6.77734375" style="1" customWidth="1"/>
    <col min="1792" max="1792" width="14.21875" style="1" customWidth="1"/>
    <col min="1793" max="1793" width="6.77734375" style="1" customWidth="1"/>
    <col min="1794" max="1794" width="14" style="1" customWidth="1"/>
    <col min="1795" max="1795" width="7.77734375" style="1" customWidth="1"/>
    <col min="1796" max="1796" width="6.77734375" style="1" customWidth="1"/>
    <col min="1797" max="1797" width="14.21875" style="1" customWidth="1"/>
    <col min="1798" max="1798" width="7.77734375" style="1" customWidth="1"/>
    <col min="1799" max="1799" width="6.77734375" style="1" customWidth="1"/>
    <col min="1800" max="1800" width="14.21875" style="1" customWidth="1"/>
    <col min="1801" max="1801" width="7.77734375" style="1" customWidth="1"/>
    <col min="1802" max="1807" width="0" style="1" hidden="1" customWidth="1"/>
    <col min="1808" max="1808" width="7.88671875" style="1" customWidth="1"/>
    <col min="1809" max="2042" width="8.88671875" style="1"/>
    <col min="2043" max="2043" width="26.21875" style="1" customWidth="1"/>
    <col min="2044" max="2044" width="12.77734375" style="1" customWidth="1"/>
    <col min="2045" max="2046" width="7.109375" style="1" customWidth="1"/>
    <col min="2047" max="2047" width="6.77734375" style="1" customWidth="1"/>
    <col min="2048" max="2048" width="14.21875" style="1" customWidth="1"/>
    <col min="2049" max="2049" width="6.77734375" style="1" customWidth="1"/>
    <col min="2050" max="2050" width="14" style="1" customWidth="1"/>
    <col min="2051" max="2051" width="7.77734375" style="1" customWidth="1"/>
    <col min="2052" max="2052" width="6.77734375" style="1" customWidth="1"/>
    <col min="2053" max="2053" width="14.21875" style="1" customWidth="1"/>
    <col min="2054" max="2054" width="7.77734375" style="1" customWidth="1"/>
    <col min="2055" max="2055" width="6.77734375" style="1" customWidth="1"/>
    <col min="2056" max="2056" width="14.21875" style="1" customWidth="1"/>
    <col min="2057" max="2057" width="7.77734375" style="1" customWidth="1"/>
    <col min="2058" max="2063" width="0" style="1" hidden="1" customWidth="1"/>
    <col min="2064" max="2064" width="7.88671875" style="1" customWidth="1"/>
    <col min="2065" max="2298" width="8.88671875" style="1"/>
    <col min="2299" max="2299" width="26.21875" style="1" customWidth="1"/>
    <col min="2300" max="2300" width="12.77734375" style="1" customWidth="1"/>
    <col min="2301" max="2302" width="7.109375" style="1" customWidth="1"/>
    <col min="2303" max="2303" width="6.77734375" style="1" customWidth="1"/>
    <col min="2304" max="2304" width="14.21875" style="1" customWidth="1"/>
    <col min="2305" max="2305" width="6.77734375" style="1" customWidth="1"/>
    <col min="2306" max="2306" width="14" style="1" customWidth="1"/>
    <col min="2307" max="2307" width="7.77734375" style="1" customWidth="1"/>
    <col min="2308" max="2308" width="6.77734375" style="1" customWidth="1"/>
    <col min="2309" max="2309" width="14.21875" style="1" customWidth="1"/>
    <col min="2310" max="2310" width="7.77734375" style="1" customWidth="1"/>
    <col min="2311" max="2311" width="6.77734375" style="1" customWidth="1"/>
    <col min="2312" max="2312" width="14.21875" style="1" customWidth="1"/>
    <col min="2313" max="2313" width="7.77734375" style="1" customWidth="1"/>
    <col min="2314" max="2319" width="0" style="1" hidden="1" customWidth="1"/>
    <col min="2320" max="2320" width="7.88671875" style="1" customWidth="1"/>
    <col min="2321" max="2554" width="8.88671875" style="1"/>
    <col min="2555" max="2555" width="26.21875" style="1" customWidth="1"/>
    <col min="2556" max="2556" width="12.77734375" style="1" customWidth="1"/>
    <col min="2557" max="2558" width="7.109375" style="1" customWidth="1"/>
    <col min="2559" max="2559" width="6.77734375" style="1" customWidth="1"/>
    <col min="2560" max="2560" width="14.21875" style="1" customWidth="1"/>
    <col min="2561" max="2561" width="6.77734375" style="1" customWidth="1"/>
    <col min="2562" max="2562" width="14" style="1" customWidth="1"/>
    <col min="2563" max="2563" width="7.77734375" style="1" customWidth="1"/>
    <col min="2564" max="2564" width="6.77734375" style="1" customWidth="1"/>
    <col min="2565" max="2565" width="14.21875" style="1" customWidth="1"/>
    <col min="2566" max="2566" width="7.77734375" style="1" customWidth="1"/>
    <col min="2567" max="2567" width="6.77734375" style="1" customWidth="1"/>
    <col min="2568" max="2568" width="14.21875" style="1" customWidth="1"/>
    <col min="2569" max="2569" width="7.77734375" style="1" customWidth="1"/>
    <col min="2570" max="2575" width="0" style="1" hidden="1" customWidth="1"/>
    <col min="2576" max="2576" width="7.88671875" style="1" customWidth="1"/>
    <col min="2577" max="2810" width="8.88671875" style="1"/>
    <col min="2811" max="2811" width="26.21875" style="1" customWidth="1"/>
    <col min="2812" max="2812" width="12.77734375" style="1" customWidth="1"/>
    <col min="2813" max="2814" width="7.109375" style="1" customWidth="1"/>
    <col min="2815" max="2815" width="6.77734375" style="1" customWidth="1"/>
    <col min="2816" max="2816" width="14.21875" style="1" customWidth="1"/>
    <col min="2817" max="2817" width="6.77734375" style="1" customWidth="1"/>
    <col min="2818" max="2818" width="14" style="1" customWidth="1"/>
    <col min="2819" max="2819" width="7.77734375" style="1" customWidth="1"/>
    <col min="2820" max="2820" width="6.77734375" style="1" customWidth="1"/>
    <col min="2821" max="2821" width="14.21875" style="1" customWidth="1"/>
    <col min="2822" max="2822" width="7.77734375" style="1" customWidth="1"/>
    <col min="2823" max="2823" width="6.77734375" style="1" customWidth="1"/>
    <col min="2824" max="2824" width="14.21875" style="1" customWidth="1"/>
    <col min="2825" max="2825" width="7.77734375" style="1" customWidth="1"/>
    <col min="2826" max="2831" width="0" style="1" hidden="1" customWidth="1"/>
    <col min="2832" max="2832" width="7.88671875" style="1" customWidth="1"/>
    <col min="2833" max="3066" width="8.88671875" style="1"/>
    <col min="3067" max="3067" width="26.21875" style="1" customWidth="1"/>
    <col min="3068" max="3068" width="12.77734375" style="1" customWidth="1"/>
    <col min="3069" max="3070" width="7.109375" style="1" customWidth="1"/>
    <col min="3071" max="3071" width="6.77734375" style="1" customWidth="1"/>
    <col min="3072" max="3072" width="14.21875" style="1" customWidth="1"/>
    <col min="3073" max="3073" width="6.77734375" style="1" customWidth="1"/>
    <col min="3074" max="3074" width="14" style="1" customWidth="1"/>
    <col min="3075" max="3075" width="7.77734375" style="1" customWidth="1"/>
    <col min="3076" max="3076" width="6.77734375" style="1" customWidth="1"/>
    <col min="3077" max="3077" width="14.21875" style="1" customWidth="1"/>
    <col min="3078" max="3078" width="7.77734375" style="1" customWidth="1"/>
    <col min="3079" max="3079" width="6.77734375" style="1" customWidth="1"/>
    <col min="3080" max="3080" width="14.21875" style="1" customWidth="1"/>
    <col min="3081" max="3081" width="7.77734375" style="1" customWidth="1"/>
    <col min="3082" max="3087" width="0" style="1" hidden="1" customWidth="1"/>
    <col min="3088" max="3088" width="7.88671875" style="1" customWidth="1"/>
    <col min="3089" max="3322" width="8.88671875" style="1"/>
    <col min="3323" max="3323" width="26.21875" style="1" customWidth="1"/>
    <col min="3324" max="3324" width="12.77734375" style="1" customWidth="1"/>
    <col min="3325" max="3326" width="7.109375" style="1" customWidth="1"/>
    <col min="3327" max="3327" width="6.77734375" style="1" customWidth="1"/>
    <col min="3328" max="3328" width="14.21875" style="1" customWidth="1"/>
    <col min="3329" max="3329" width="6.77734375" style="1" customWidth="1"/>
    <col min="3330" max="3330" width="14" style="1" customWidth="1"/>
    <col min="3331" max="3331" width="7.77734375" style="1" customWidth="1"/>
    <col min="3332" max="3332" width="6.77734375" style="1" customWidth="1"/>
    <col min="3333" max="3333" width="14.21875" style="1" customWidth="1"/>
    <col min="3334" max="3334" width="7.77734375" style="1" customWidth="1"/>
    <col min="3335" max="3335" width="6.77734375" style="1" customWidth="1"/>
    <col min="3336" max="3336" width="14.21875" style="1" customWidth="1"/>
    <col min="3337" max="3337" width="7.77734375" style="1" customWidth="1"/>
    <col min="3338" max="3343" width="0" style="1" hidden="1" customWidth="1"/>
    <col min="3344" max="3344" width="7.88671875" style="1" customWidth="1"/>
    <col min="3345" max="3578" width="8.88671875" style="1"/>
    <col min="3579" max="3579" width="26.21875" style="1" customWidth="1"/>
    <col min="3580" max="3580" width="12.77734375" style="1" customWidth="1"/>
    <col min="3581" max="3582" width="7.109375" style="1" customWidth="1"/>
    <col min="3583" max="3583" width="6.77734375" style="1" customWidth="1"/>
    <col min="3584" max="3584" width="14.21875" style="1" customWidth="1"/>
    <col min="3585" max="3585" width="6.77734375" style="1" customWidth="1"/>
    <col min="3586" max="3586" width="14" style="1" customWidth="1"/>
    <col min="3587" max="3587" width="7.77734375" style="1" customWidth="1"/>
    <col min="3588" max="3588" width="6.77734375" style="1" customWidth="1"/>
    <col min="3589" max="3589" width="14.21875" style="1" customWidth="1"/>
    <col min="3590" max="3590" width="7.77734375" style="1" customWidth="1"/>
    <col min="3591" max="3591" width="6.77734375" style="1" customWidth="1"/>
    <col min="3592" max="3592" width="14.21875" style="1" customWidth="1"/>
    <col min="3593" max="3593" width="7.77734375" style="1" customWidth="1"/>
    <col min="3594" max="3599" width="0" style="1" hidden="1" customWidth="1"/>
    <col min="3600" max="3600" width="7.88671875" style="1" customWidth="1"/>
    <col min="3601" max="3834" width="8.88671875" style="1"/>
    <col min="3835" max="3835" width="26.21875" style="1" customWidth="1"/>
    <col min="3836" max="3836" width="12.77734375" style="1" customWidth="1"/>
    <col min="3837" max="3838" width="7.109375" style="1" customWidth="1"/>
    <col min="3839" max="3839" width="6.77734375" style="1" customWidth="1"/>
    <col min="3840" max="3840" width="14.21875" style="1" customWidth="1"/>
    <col min="3841" max="3841" width="6.77734375" style="1" customWidth="1"/>
    <col min="3842" max="3842" width="14" style="1" customWidth="1"/>
    <col min="3843" max="3843" width="7.77734375" style="1" customWidth="1"/>
    <col min="3844" max="3844" width="6.77734375" style="1" customWidth="1"/>
    <col min="3845" max="3845" width="14.21875" style="1" customWidth="1"/>
    <col min="3846" max="3846" width="7.77734375" style="1" customWidth="1"/>
    <col min="3847" max="3847" width="6.77734375" style="1" customWidth="1"/>
    <col min="3848" max="3848" width="14.21875" style="1" customWidth="1"/>
    <col min="3849" max="3849" width="7.77734375" style="1" customWidth="1"/>
    <col min="3850" max="3855" width="0" style="1" hidden="1" customWidth="1"/>
    <col min="3856" max="3856" width="7.88671875" style="1" customWidth="1"/>
    <col min="3857" max="4090" width="8.88671875" style="1"/>
    <col min="4091" max="4091" width="26.21875" style="1" customWidth="1"/>
    <col min="4092" max="4092" width="12.77734375" style="1" customWidth="1"/>
    <col min="4093" max="4094" width="7.109375" style="1" customWidth="1"/>
    <col min="4095" max="4095" width="6.77734375" style="1" customWidth="1"/>
    <col min="4096" max="4096" width="14.21875" style="1" customWidth="1"/>
    <col min="4097" max="4097" width="6.77734375" style="1" customWidth="1"/>
    <col min="4098" max="4098" width="14" style="1" customWidth="1"/>
    <col min="4099" max="4099" width="7.77734375" style="1" customWidth="1"/>
    <col min="4100" max="4100" width="6.77734375" style="1" customWidth="1"/>
    <col min="4101" max="4101" width="14.21875" style="1" customWidth="1"/>
    <col min="4102" max="4102" width="7.77734375" style="1" customWidth="1"/>
    <col min="4103" max="4103" width="6.77734375" style="1" customWidth="1"/>
    <col min="4104" max="4104" width="14.21875" style="1" customWidth="1"/>
    <col min="4105" max="4105" width="7.77734375" style="1" customWidth="1"/>
    <col min="4106" max="4111" width="0" style="1" hidden="1" customWidth="1"/>
    <col min="4112" max="4112" width="7.88671875" style="1" customWidth="1"/>
    <col min="4113" max="4346" width="8.88671875" style="1"/>
    <col min="4347" max="4347" width="26.21875" style="1" customWidth="1"/>
    <col min="4348" max="4348" width="12.77734375" style="1" customWidth="1"/>
    <col min="4349" max="4350" width="7.109375" style="1" customWidth="1"/>
    <col min="4351" max="4351" width="6.77734375" style="1" customWidth="1"/>
    <col min="4352" max="4352" width="14.21875" style="1" customWidth="1"/>
    <col min="4353" max="4353" width="6.77734375" style="1" customWidth="1"/>
    <col min="4354" max="4354" width="14" style="1" customWidth="1"/>
    <col min="4355" max="4355" width="7.77734375" style="1" customWidth="1"/>
    <col min="4356" max="4356" width="6.77734375" style="1" customWidth="1"/>
    <col min="4357" max="4357" width="14.21875" style="1" customWidth="1"/>
    <col min="4358" max="4358" width="7.77734375" style="1" customWidth="1"/>
    <col min="4359" max="4359" width="6.77734375" style="1" customWidth="1"/>
    <col min="4360" max="4360" width="14.21875" style="1" customWidth="1"/>
    <col min="4361" max="4361" width="7.77734375" style="1" customWidth="1"/>
    <col min="4362" max="4367" width="0" style="1" hidden="1" customWidth="1"/>
    <col min="4368" max="4368" width="7.88671875" style="1" customWidth="1"/>
    <col min="4369" max="4602" width="8.88671875" style="1"/>
    <col min="4603" max="4603" width="26.21875" style="1" customWidth="1"/>
    <col min="4604" max="4604" width="12.77734375" style="1" customWidth="1"/>
    <col min="4605" max="4606" width="7.109375" style="1" customWidth="1"/>
    <col min="4607" max="4607" width="6.77734375" style="1" customWidth="1"/>
    <col min="4608" max="4608" width="14.21875" style="1" customWidth="1"/>
    <col min="4609" max="4609" width="6.77734375" style="1" customWidth="1"/>
    <col min="4610" max="4610" width="14" style="1" customWidth="1"/>
    <col min="4611" max="4611" width="7.77734375" style="1" customWidth="1"/>
    <col min="4612" max="4612" width="6.77734375" style="1" customWidth="1"/>
    <col min="4613" max="4613" width="14.21875" style="1" customWidth="1"/>
    <col min="4614" max="4614" width="7.77734375" style="1" customWidth="1"/>
    <col min="4615" max="4615" width="6.77734375" style="1" customWidth="1"/>
    <col min="4616" max="4616" width="14.21875" style="1" customWidth="1"/>
    <col min="4617" max="4617" width="7.77734375" style="1" customWidth="1"/>
    <col min="4618" max="4623" width="0" style="1" hidden="1" customWidth="1"/>
    <col min="4624" max="4624" width="7.88671875" style="1" customWidth="1"/>
    <col min="4625" max="4858" width="8.88671875" style="1"/>
    <col min="4859" max="4859" width="26.21875" style="1" customWidth="1"/>
    <col min="4860" max="4860" width="12.77734375" style="1" customWidth="1"/>
    <col min="4861" max="4862" width="7.109375" style="1" customWidth="1"/>
    <col min="4863" max="4863" width="6.77734375" style="1" customWidth="1"/>
    <col min="4864" max="4864" width="14.21875" style="1" customWidth="1"/>
    <col min="4865" max="4865" width="6.77734375" style="1" customWidth="1"/>
    <col min="4866" max="4866" width="14" style="1" customWidth="1"/>
    <col min="4867" max="4867" width="7.77734375" style="1" customWidth="1"/>
    <col min="4868" max="4868" width="6.77734375" style="1" customWidth="1"/>
    <col min="4869" max="4869" width="14.21875" style="1" customWidth="1"/>
    <col min="4870" max="4870" width="7.77734375" style="1" customWidth="1"/>
    <col min="4871" max="4871" width="6.77734375" style="1" customWidth="1"/>
    <col min="4872" max="4872" width="14.21875" style="1" customWidth="1"/>
    <col min="4873" max="4873" width="7.77734375" style="1" customWidth="1"/>
    <col min="4874" max="4879" width="0" style="1" hidden="1" customWidth="1"/>
    <col min="4880" max="4880" width="7.88671875" style="1" customWidth="1"/>
    <col min="4881" max="5114" width="8.88671875" style="1"/>
    <col min="5115" max="5115" width="26.21875" style="1" customWidth="1"/>
    <col min="5116" max="5116" width="12.77734375" style="1" customWidth="1"/>
    <col min="5117" max="5118" width="7.109375" style="1" customWidth="1"/>
    <col min="5119" max="5119" width="6.77734375" style="1" customWidth="1"/>
    <col min="5120" max="5120" width="14.21875" style="1" customWidth="1"/>
    <col min="5121" max="5121" width="6.77734375" style="1" customWidth="1"/>
    <col min="5122" max="5122" width="14" style="1" customWidth="1"/>
    <col min="5123" max="5123" width="7.77734375" style="1" customWidth="1"/>
    <col min="5124" max="5124" width="6.77734375" style="1" customWidth="1"/>
    <col min="5125" max="5125" width="14.21875" style="1" customWidth="1"/>
    <col min="5126" max="5126" width="7.77734375" style="1" customWidth="1"/>
    <col min="5127" max="5127" width="6.77734375" style="1" customWidth="1"/>
    <col min="5128" max="5128" width="14.21875" style="1" customWidth="1"/>
    <col min="5129" max="5129" width="7.77734375" style="1" customWidth="1"/>
    <col min="5130" max="5135" width="0" style="1" hidden="1" customWidth="1"/>
    <col min="5136" max="5136" width="7.88671875" style="1" customWidth="1"/>
    <col min="5137" max="5370" width="8.88671875" style="1"/>
    <col min="5371" max="5371" width="26.21875" style="1" customWidth="1"/>
    <col min="5372" max="5372" width="12.77734375" style="1" customWidth="1"/>
    <col min="5373" max="5374" width="7.109375" style="1" customWidth="1"/>
    <col min="5375" max="5375" width="6.77734375" style="1" customWidth="1"/>
    <col min="5376" max="5376" width="14.21875" style="1" customWidth="1"/>
    <col min="5377" max="5377" width="6.77734375" style="1" customWidth="1"/>
    <col min="5378" max="5378" width="14" style="1" customWidth="1"/>
    <col min="5379" max="5379" width="7.77734375" style="1" customWidth="1"/>
    <col min="5380" max="5380" width="6.77734375" style="1" customWidth="1"/>
    <col min="5381" max="5381" width="14.21875" style="1" customWidth="1"/>
    <col min="5382" max="5382" width="7.77734375" style="1" customWidth="1"/>
    <col min="5383" max="5383" width="6.77734375" style="1" customWidth="1"/>
    <col min="5384" max="5384" width="14.21875" style="1" customWidth="1"/>
    <col min="5385" max="5385" width="7.77734375" style="1" customWidth="1"/>
    <col min="5386" max="5391" width="0" style="1" hidden="1" customWidth="1"/>
    <col min="5392" max="5392" width="7.88671875" style="1" customWidth="1"/>
    <col min="5393" max="5626" width="8.88671875" style="1"/>
    <col min="5627" max="5627" width="26.21875" style="1" customWidth="1"/>
    <col min="5628" max="5628" width="12.77734375" style="1" customWidth="1"/>
    <col min="5629" max="5630" width="7.109375" style="1" customWidth="1"/>
    <col min="5631" max="5631" width="6.77734375" style="1" customWidth="1"/>
    <col min="5632" max="5632" width="14.21875" style="1" customWidth="1"/>
    <col min="5633" max="5633" width="6.77734375" style="1" customWidth="1"/>
    <col min="5634" max="5634" width="14" style="1" customWidth="1"/>
    <col min="5635" max="5635" width="7.77734375" style="1" customWidth="1"/>
    <col min="5636" max="5636" width="6.77734375" style="1" customWidth="1"/>
    <col min="5637" max="5637" width="14.21875" style="1" customWidth="1"/>
    <col min="5638" max="5638" width="7.77734375" style="1" customWidth="1"/>
    <col min="5639" max="5639" width="6.77734375" style="1" customWidth="1"/>
    <col min="5640" max="5640" width="14.21875" style="1" customWidth="1"/>
    <col min="5641" max="5641" width="7.77734375" style="1" customWidth="1"/>
    <col min="5642" max="5647" width="0" style="1" hidden="1" customWidth="1"/>
    <col min="5648" max="5648" width="7.88671875" style="1" customWidth="1"/>
    <col min="5649" max="5882" width="8.88671875" style="1"/>
    <col min="5883" max="5883" width="26.21875" style="1" customWidth="1"/>
    <col min="5884" max="5884" width="12.77734375" style="1" customWidth="1"/>
    <col min="5885" max="5886" width="7.109375" style="1" customWidth="1"/>
    <col min="5887" max="5887" width="6.77734375" style="1" customWidth="1"/>
    <col min="5888" max="5888" width="14.21875" style="1" customWidth="1"/>
    <col min="5889" max="5889" width="6.77734375" style="1" customWidth="1"/>
    <col min="5890" max="5890" width="14" style="1" customWidth="1"/>
    <col min="5891" max="5891" width="7.77734375" style="1" customWidth="1"/>
    <col min="5892" max="5892" width="6.77734375" style="1" customWidth="1"/>
    <col min="5893" max="5893" width="14.21875" style="1" customWidth="1"/>
    <col min="5894" max="5894" width="7.77734375" style="1" customWidth="1"/>
    <col min="5895" max="5895" width="6.77734375" style="1" customWidth="1"/>
    <col min="5896" max="5896" width="14.21875" style="1" customWidth="1"/>
    <col min="5897" max="5897" width="7.77734375" style="1" customWidth="1"/>
    <col min="5898" max="5903" width="0" style="1" hidden="1" customWidth="1"/>
    <col min="5904" max="5904" width="7.88671875" style="1" customWidth="1"/>
    <col min="5905" max="6138" width="8.88671875" style="1"/>
    <col min="6139" max="6139" width="26.21875" style="1" customWidth="1"/>
    <col min="6140" max="6140" width="12.77734375" style="1" customWidth="1"/>
    <col min="6141" max="6142" width="7.109375" style="1" customWidth="1"/>
    <col min="6143" max="6143" width="6.77734375" style="1" customWidth="1"/>
    <col min="6144" max="6144" width="14.21875" style="1" customWidth="1"/>
    <col min="6145" max="6145" width="6.77734375" style="1" customWidth="1"/>
    <col min="6146" max="6146" width="14" style="1" customWidth="1"/>
    <col min="6147" max="6147" width="7.77734375" style="1" customWidth="1"/>
    <col min="6148" max="6148" width="6.77734375" style="1" customWidth="1"/>
    <col min="6149" max="6149" width="14.21875" style="1" customWidth="1"/>
    <col min="6150" max="6150" width="7.77734375" style="1" customWidth="1"/>
    <col min="6151" max="6151" width="6.77734375" style="1" customWidth="1"/>
    <col min="6152" max="6152" width="14.21875" style="1" customWidth="1"/>
    <col min="6153" max="6153" width="7.77734375" style="1" customWidth="1"/>
    <col min="6154" max="6159" width="0" style="1" hidden="1" customWidth="1"/>
    <col min="6160" max="6160" width="7.88671875" style="1" customWidth="1"/>
    <col min="6161" max="6394" width="8.88671875" style="1"/>
    <col min="6395" max="6395" width="26.21875" style="1" customWidth="1"/>
    <col min="6396" max="6396" width="12.77734375" style="1" customWidth="1"/>
    <col min="6397" max="6398" width="7.109375" style="1" customWidth="1"/>
    <col min="6399" max="6399" width="6.77734375" style="1" customWidth="1"/>
    <col min="6400" max="6400" width="14.21875" style="1" customWidth="1"/>
    <col min="6401" max="6401" width="6.77734375" style="1" customWidth="1"/>
    <col min="6402" max="6402" width="14" style="1" customWidth="1"/>
    <col min="6403" max="6403" width="7.77734375" style="1" customWidth="1"/>
    <col min="6404" max="6404" width="6.77734375" style="1" customWidth="1"/>
    <col min="6405" max="6405" width="14.21875" style="1" customWidth="1"/>
    <col min="6406" max="6406" width="7.77734375" style="1" customWidth="1"/>
    <col min="6407" max="6407" width="6.77734375" style="1" customWidth="1"/>
    <col min="6408" max="6408" width="14.21875" style="1" customWidth="1"/>
    <col min="6409" max="6409" width="7.77734375" style="1" customWidth="1"/>
    <col min="6410" max="6415" width="0" style="1" hidden="1" customWidth="1"/>
    <col min="6416" max="6416" width="7.88671875" style="1" customWidth="1"/>
    <col min="6417" max="6650" width="8.88671875" style="1"/>
    <col min="6651" max="6651" width="26.21875" style="1" customWidth="1"/>
    <col min="6652" max="6652" width="12.77734375" style="1" customWidth="1"/>
    <col min="6653" max="6654" width="7.109375" style="1" customWidth="1"/>
    <col min="6655" max="6655" width="6.77734375" style="1" customWidth="1"/>
    <col min="6656" max="6656" width="14.21875" style="1" customWidth="1"/>
    <col min="6657" max="6657" width="6.77734375" style="1" customWidth="1"/>
    <col min="6658" max="6658" width="14" style="1" customWidth="1"/>
    <col min="6659" max="6659" width="7.77734375" style="1" customWidth="1"/>
    <col min="6660" max="6660" width="6.77734375" style="1" customWidth="1"/>
    <col min="6661" max="6661" width="14.21875" style="1" customWidth="1"/>
    <col min="6662" max="6662" width="7.77734375" style="1" customWidth="1"/>
    <col min="6663" max="6663" width="6.77734375" style="1" customWidth="1"/>
    <col min="6664" max="6664" width="14.21875" style="1" customWidth="1"/>
    <col min="6665" max="6665" width="7.77734375" style="1" customWidth="1"/>
    <col min="6666" max="6671" width="0" style="1" hidden="1" customWidth="1"/>
    <col min="6672" max="6672" width="7.88671875" style="1" customWidth="1"/>
    <col min="6673" max="6906" width="8.88671875" style="1"/>
    <col min="6907" max="6907" width="26.21875" style="1" customWidth="1"/>
    <col min="6908" max="6908" width="12.77734375" style="1" customWidth="1"/>
    <col min="6909" max="6910" width="7.109375" style="1" customWidth="1"/>
    <col min="6911" max="6911" width="6.77734375" style="1" customWidth="1"/>
    <col min="6912" max="6912" width="14.21875" style="1" customWidth="1"/>
    <col min="6913" max="6913" width="6.77734375" style="1" customWidth="1"/>
    <col min="6914" max="6914" width="14" style="1" customWidth="1"/>
    <col min="6915" max="6915" width="7.77734375" style="1" customWidth="1"/>
    <col min="6916" max="6916" width="6.77734375" style="1" customWidth="1"/>
    <col min="6917" max="6917" width="14.21875" style="1" customWidth="1"/>
    <col min="6918" max="6918" width="7.77734375" style="1" customWidth="1"/>
    <col min="6919" max="6919" width="6.77734375" style="1" customWidth="1"/>
    <col min="6920" max="6920" width="14.21875" style="1" customWidth="1"/>
    <col min="6921" max="6921" width="7.77734375" style="1" customWidth="1"/>
    <col min="6922" max="6927" width="0" style="1" hidden="1" customWidth="1"/>
    <col min="6928" max="6928" width="7.88671875" style="1" customWidth="1"/>
    <col min="6929" max="7162" width="8.88671875" style="1"/>
    <col min="7163" max="7163" width="26.21875" style="1" customWidth="1"/>
    <col min="7164" max="7164" width="12.77734375" style="1" customWidth="1"/>
    <col min="7165" max="7166" width="7.109375" style="1" customWidth="1"/>
    <col min="7167" max="7167" width="6.77734375" style="1" customWidth="1"/>
    <col min="7168" max="7168" width="14.21875" style="1" customWidth="1"/>
    <col min="7169" max="7169" width="6.77734375" style="1" customWidth="1"/>
    <col min="7170" max="7170" width="14" style="1" customWidth="1"/>
    <col min="7171" max="7171" width="7.77734375" style="1" customWidth="1"/>
    <col min="7172" max="7172" width="6.77734375" style="1" customWidth="1"/>
    <col min="7173" max="7173" width="14.21875" style="1" customWidth="1"/>
    <col min="7174" max="7174" width="7.77734375" style="1" customWidth="1"/>
    <col min="7175" max="7175" width="6.77734375" style="1" customWidth="1"/>
    <col min="7176" max="7176" width="14.21875" style="1" customWidth="1"/>
    <col min="7177" max="7177" width="7.77734375" style="1" customWidth="1"/>
    <col min="7178" max="7183" width="0" style="1" hidden="1" customWidth="1"/>
    <col min="7184" max="7184" width="7.88671875" style="1" customWidth="1"/>
    <col min="7185" max="7418" width="8.88671875" style="1"/>
    <col min="7419" max="7419" width="26.21875" style="1" customWidth="1"/>
    <col min="7420" max="7420" width="12.77734375" style="1" customWidth="1"/>
    <col min="7421" max="7422" width="7.109375" style="1" customWidth="1"/>
    <col min="7423" max="7423" width="6.77734375" style="1" customWidth="1"/>
    <col min="7424" max="7424" width="14.21875" style="1" customWidth="1"/>
    <col min="7425" max="7425" width="6.77734375" style="1" customWidth="1"/>
    <col min="7426" max="7426" width="14" style="1" customWidth="1"/>
    <col min="7427" max="7427" width="7.77734375" style="1" customWidth="1"/>
    <col min="7428" max="7428" width="6.77734375" style="1" customWidth="1"/>
    <col min="7429" max="7429" width="14.21875" style="1" customWidth="1"/>
    <col min="7430" max="7430" width="7.77734375" style="1" customWidth="1"/>
    <col min="7431" max="7431" width="6.77734375" style="1" customWidth="1"/>
    <col min="7432" max="7432" width="14.21875" style="1" customWidth="1"/>
    <col min="7433" max="7433" width="7.77734375" style="1" customWidth="1"/>
    <col min="7434" max="7439" width="0" style="1" hidden="1" customWidth="1"/>
    <col min="7440" max="7440" width="7.88671875" style="1" customWidth="1"/>
    <col min="7441" max="7674" width="8.88671875" style="1"/>
    <col min="7675" max="7675" width="26.21875" style="1" customWidth="1"/>
    <col min="7676" max="7676" width="12.77734375" style="1" customWidth="1"/>
    <col min="7677" max="7678" width="7.109375" style="1" customWidth="1"/>
    <col min="7679" max="7679" width="6.77734375" style="1" customWidth="1"/>
    <col min="7680" max="7680" width="14.21875" style="1" customWidth="1"/>
    <col min="7681" max="7681" width="6.77734375" style="1" customWidth="1"/>
    <col min="7682" max="7682" width="14" style="1" customWidth="1"/>
    <col min="7683" max="7683" width="7.77734375" style="1" customWidth="1"/>
    <col min="7684" max="7684" width="6.77734375" style="1" customWidth="1"/>
    <col min="7685" max="7685" width="14.21875" style="1" customWidth="1"/>
    <col min="7686" max="7686" width="7.77734375" style="1" customWidth="1"/>
    <col min="7687" max="7687" width="6.77734375" style="1" customWidth="1"/>
    <col min="7688" max="7688" width="14.21875" style="1" customWidth="1"/>
    <col min="7689" max="7689" width="7.77734375" style="1" customWidth="1"/>
    <col min="7690" max="7695" width="0" style="1" hidden="1" customWidth="1"/>
    <col min="7696" max="7696" width="7.88671875" style="1" customWidth="1"/>
    <col min="7697" max="7930" width="8.88671875" style="1"/>
    <col min="7931" max="7931" width="26.21875" style="1" customWidth="1"/>
    <col min="7932" max="7932" width="12.77734375" style="1" customWidth="1"/>
    <col min="7933" max="7934" width="7.109375" style="1" customWidth="1"/>
    <col min="7935" max="7935" width="6.77734375" style="1" customWidth="1"/>
    <col min="7936" max="7936" width="14.21875" style="1" customWidth="1"/>
    <col min="7937" max="7937" width="6.77734375" style="1" customWidth="1"/>
    <col min="7938" max="7938" width="14" style="1" customWidth="1"/>
    <col min="7939" max="7939" width="7.77734375" style="1" customWidth="1"/>
    <col min="7940" max="7940" width="6.77734375" style="1" customWidth="1"/>
    <col min="7941" max="7941" width="14.21875" style="1" customWidth="1"/>
    <col min="7942" max="7942" width="7.77734375" style="1" customWidth="1"/>
    <col min="7943" max="7943" width="6.77734375" style="1" customWidth="1"/>
    <col min="7944" max="7944" width="14.21875" style="1" customWidth="1"/>
    <col min="7945" max="7945" width="7.77734375" style="1" customWidth="1"/>
    <col min="7946" max="7951" width="0" style="1" hidden="1" customWidth="1"/>
    <col min="7952" max="7952" width="7.88671875" style="1" customWidth="1"/>
    <col min="7953" max="8186" width="8.88671875" style="1"/>
    <col min="8187" max="8187" width="26.21875" style="1" customWidth="1"/>
    <col min="8188" max="8188" width="12.77734375" style="1" customWidth="1"/>
    <col min="8189" max="8190" width="7.109375" style="1" customWidth="1"/>
    <col min="8191" max="8191" width="6.77734375" style="1" customWidth="1"/>
    <col min="8192" max="8192" width="14.21875" style="1" customWidth="1"/>
    <col min="8193" max="8193" width="6.77734375" style="1" customWidth="1"/>
    <col min="8194" max="8194" width="14" style="1" customWidth="1"/>
    <col min="8195" max="8195" width="7.77734375" style="1" customWidth="1"/>
    <col min="8196" max="8196" width="6.77734375" style="1" customWidth="1"/>
    <col min="8197" max="8197" width="14.21875" style="1" customWidth="1"/>
    <col min="8198" max="8198" width="7.77734375" style="1" customWidth="1"/>
    <col min="8199" max="8199" width="6.77734375" style="1" customWidth="1"/>
    <col min="8200" max="8200" width="14.21875" style="1" customWidth="1"/>
    <col min="8201" max="8201" width="7.77734375" style="1" customWidth="1"/>
    <col min="8202" max="8207" width="0" style="1" hidden="1" customWidth="1"/>
    <col min="8208" max="8208" width="7.88671875" style="1" customWidth="1"/>
    <col min="8209" max="8442" width="8.88671875" style="1"/>
    <col min="8443" max="8443" width="26.21875" style="1" customWidth="1"/>
    <col min="8444" max="8444" width="12.77734375" style="1" customWidth="1"/>
    <col min="8445" max="8446" width="7.109375" style="1" customWidth="1"/>
    <col min="8447" max="8447" width="6.77734375" style="1" customWidth="1"/>
    <col min="8448" max="8448" width="14.21875" style="1" customWidth="1"/>
    <col min="8449" max="8449" width="6.77734375" style="1" customWidth="1"/>
    <col min="8450" max="8450" width="14" style="1" customWidth="1"/>
    <col min="8451" max="8451" width="7.77734375" style="1" customWidth="1"/>
    <col min="8452" max="8452" width="6.77734375" style="1" customWidth="1"/>
    <col min="8453" max="8453" width="14.21875" style="1" customWidth="1"/>
    <col min="8454" max="8454" width="7.77734375" style="1" customWidth="1"/>
    <col min="8455" max="8455" width="6.77734375" style="1" customWidth="1"/>
    <col min="8456" max="8456" width="14.21875" style="1" customWidth="1"/>
    <col min="8457" max="8457" width="7.77734375" style="1" customWidth="1"/>
    <col min="8458" max="8463" width="0" style="1" hidden="1" customWidth="1"/>
    <col min="8464" max="8464" width="7.88671875" style="1" customWidth="1"/>
    <col min="8465" max="8698" width="8.88671875" style="1"/>
    <col min="8699" max="8699" width="26.21875" style="1" customWidth="1"/>
    <col min="8700" max="8700" width="12.77734375" style="1" customWidth="1"/>
    <col min="8701" max="8702" width="7.109375" style="1" customWidth="1"/>
    <col min="8703" max="8703" width="6.77734375" style="1" customWidth="1"/>
    <col min="8704" max="8704" width="14.21875" style="1" customWidth="1"/>
    <col min="8705" max="8705" width="6.77734375" style="1" customWidth="1"/>
    <col min="8706" max="8706" width="14" style="1" customWidth="1"/>
    <col min="8707" max="8707" width="7.77734375" style="1" customWidth="1"/>
    <col min="8708" max="8708" width="6.77734375" style="1" customWidth="1"/>
    <col min="8709" max="8709" width="14.21875" style="1" customWidth="1"/>
    <col min="8710" max="8710" width="7.77734375" style="1" customWidth="1"/>
    <col min="8711" max="8711" width="6.77734375" style="1" customWidth="1"/>
    <col min="8712" max="8712" width="14.21875" style="1" customWidth="1"/>
    <col min="8713" max="8713" width="7.77734375" style="1" customWidth="1"/>
    <col min="8714" max="8719" width="0" style="1" hidden="1" customWidth="1"/>
    <col min="8720" max="8720" width="7.88671875" style="1" customWidth="1"/>
    <col min="8721" max="8954" width="8.88671875" style="1"/>
    <col min="8955" max="8955" width="26.21875" style="1" customWidth="1"/>
    <col min="8956" max="8956" width="12.77734375" style="1" customWidth="1"/>
    <col min="8957" max="8958" width="7.109375" style="1" customWidth="1"/>
    <col min="8959" max="8959" width="6.77734375" style="1" customWidth="1"/>
    <col min="8960" max="8960" width="14.21875" style="1" customWidth="1"/>
    <col min="8961" max="8961" width="6.77734375" style="1" customWidth="1"/>
    <col min="8962" max="8962" width="14" style="1" customWidth="1"/>
    <col min="8963" max="8963" width="7.77734375" style="1" customWidth="1"/>
    <col min="8964" max="8964" width="6.77734375" style="1" customWidth="1"/>
    <col min="8965" max="8965" width="14.21875" style="1" customWidth="1"/>
    <col min="8966" max="8966" width="7.77734375" style="1" customWidth="1"/>
    <col min="8967" max="8967" width="6.77734375" style="1" customWidth="1"/>
    <col min="8968" max="8968" width="14.21875" style="1" customWidth="1"/>
    <col min="8969" max="8969" width="7.77734375" style="1" customWidth="1"/>
    <col min="8970" max="8975" width="0" style="1" hidden="1" customWidth="1"/>
    <col min="8976" max="8976" width="7.88671875" style="1" customWidth="1"/>
    <col min="8977" max="9210" width="8.88671875" style="1"/>
    <col min="9211" max="9211" width="26.21875" style="1" customWidth="1"/>
    <col min="9212" max="9212" width="12.77734375" style="1" customWidth="1"/>
    <col min="9213" max="9214" width="7.109375" style="1" customWidth="1"/>
    <col min="9215" max="9215" width="6.77734375" style="1" customWidth="1"/>
    <col min="9216" max="9216" width="14.21875" style="1" customWidth="1"/>
    <col min="9217" max="9217" width="6.77734375" style="1" customWidth="1"/>
    <col min="9218" max="9218" width="14" style="1" customWidth="1"/>
    <col min="9219" max="9219" width="7.77734375" style="1" customWidth="1"/>
    <col min="9220" max="9220" width="6.77734375" style="1" customWidth="1"/>
    <col min="9221" max="9221" width="14.21875" style="1" customWidth="1"/>
    <col min="9222" max="9222" width="7.77734375" style="1" customWidth="1"/>
    <col min="9223" max="9223" width="6.77734375" style="1" customWidth="1"/>
    <col min="9224" max="9224" width="14.21875" style="1" customWidth="1"/>
    <col min="9225" max="9225" width="7.77734375" style="1" customWidth="1"/>
    <col min="9226" max="9231" width="0" style="1" hidden="1" customWidth="1"/>
    <col min="9232" max="9232" width="7.88671875" style="1" customWidth="1"/>
    <col min="9233" max="9466" width="8.88671875" style="1"/>
    <col min="9467" max="9467" width="26.21875" style="1" customWidth="1"/>
    <col min="9468" max="9468" width="12.77734375" style="1" customWidth="1"/>
    <col min="9469" max="9470" width="7.109375" style="1" customWidth="1"/>
    <col min="9471" max="9471" width="6.77734375" style="1" customWidth="1"/>
    <col min="9472" max="9472" width="14.21875" style="1" customWidth="1"/>
    <col min="9473" max="9473" width="6.77734375" style="1" customWidth="1"/>
    <col min="9474" max="9474" width="14" style="1" customWidth="1"/>
    <col min="9475" max="9475" width="7.77734375" style="1" customWidth="1"/>
    <col min="9476" max="9476" width="6.77734375" style="1" customWidth="1"/>
    <col min="9477" max="9477" width="14.21875" style="1" customWidth="1"/>
    <col min="9478" max="9478" width="7.77734375" style="1" customWidth="1"/>
    <col min="9479" max="9479" width="6.77734375" style="1" customWidth="1"/>
    <col min="9480" max="9480" width="14.21875" style="1" customWidth="1"/>
    <col min="9481" max="9481" width="7.77734375" style="1" customWidth="1"/>
    <col min="9482" max="9487" width="0" style="1" hidden="1" customWidth="1"/>
    <col min="9488" max="9488" width="7.88671875" style="1" customWidth="1"/>
    <col min="9489" max="9722" width="8.88671875" style="1"/>
    <col min="9723" max="9723" width="26.21875" style="1" customWidth="1"/>
    <col min="9724" max="9724" width="12.77734375" style="1" customWidth="1"/>
    <col min="9725" max="9726" width="7.109375" style="1" customWidth="1"/>
    <col min="9727" max="9727" width="6.77734375" style="1" customWidth="1"/>
    <col min="9728" max="9728" width="14.21875" style="1" customWidth="1"/>
    <col min="9729" max="9729" width="6.77734375" style="1" customWidth="1"/>
    <col min="9730" max="9730" width="14" style="1" customWidth="1"/>
    <col min="9731" max="9731" width="7.77734375" style="1" customWidth="1"/>
    <col min="9732" max="9732" width="6.77734375" style="1" customWidth="1"/>
    <col min="9733" max="9733" width="14.21875" style="1" customWidth="1"/>
    <col min="9734" max="9734" width="7.77734375" style="1" customWidth="1"/>
    <col min="9735" max="9735" width="6.77734375" style="1" customWidth="1"/>
    <col min="9736" max="9736" width="14.21875" style="1" customWidth="1"/>
    <col min="9737" max="9737" width="7.77734375" style="1" customWidth="1"/>
    <col min="9738" max="9743" width="0" style="1" hidden="1" customWidth="1"/>
    <col min="9744" max="9744" width="7.88671875" style="1" customWidth="1"/>
    <col min="9745" max="9978" width="8.88671875" style="1"/>
    <col min="9979" max="9979" width="26.21875" style="1" customWidth="1"/>
    <col min="9980" max="9980" width="12.77734375" style="1" customWidth="1"/>
    <col min="9981" max="9982" width="7.109375" style="1" customWidth="1"/>
    <col min="9983" max="9983" width="6.77734375" style="1" customWidth="1"/>
    <col min="9984" max="9984" width="14.21875" style="1" customWidth="1"/>
    <col min="9985" max="9985" width="6.77734375" style="1" customWidth="1"/>
    <col min="9986" max="9986" width="14" style="1" customWidth="1"/>
    <col min="9987" max="9987" width="7.77734375" style="1" customWidth="1"/>
    <col min="9988" max="9988" width="6.77734375" style="1" customWidth="1"/>
    <col min="9989" max="9989" width="14.21875" style="1" customWidth="1"/>
    <col min="9990" max="9990" width="7.77734375" style="1" customWidth="1"/>
    <col min="9991" max="9991" width="6.77734375" style="1" customWidth="1"/>
    <col min="9992" max="9992" width="14.21875" style="1" customWidth="1"/>
    <col min="9993" max="9993" width="7.77734375" style="1" customWidth="1"/>
    <col min="9994" max="9999" width="0" style="1" hidden="1" customWidth="1"/>
    <col min="10000" max="10000" width="7.88671875" style="1" customWidth="1"/>
    <col min="10001" max="10234" width="8.88671875" style="1"/>
    <col min="10235" max="10235" width="26.21875" style="1" customWidth="1"/>
    <col min="10236" max="10236" width="12.77734375" style="1" customWidth="1"/>
    <col min="10237" max="10238" width="7.109375" style="1" customWidth="1"/>
    <col min="10239" max="10239" width="6.77734375" style="1" customWidth="1"/>
    <col min="10240" max="10240" width="14.21875" style="1" customWidth="1"/>
    <col min="10241" max="10241" width="6.77734375" style="1" customWidth="1"/>
    <col min="10242" max="10242" width="14" style="1" customWidth="1"/>
    <col min="10243" max="10243" width="7.77734375" style="1" customWidth="1"/>
    <col min="10244" max="10244" width="6.77734375" style="1" customWidth="1"/>
    <col min="10245" max="10245" width="14.21875" style="1" customWidth="1"/>
    <col min="10246" max="10246" width="7.77734375" style="1" customWidth="1"/>
    <col min="10247" max="10247" width="6.77734375" style="1" customWidth="1"/>
    <col min="10248" max="10248" width="14.21875" style="1" customWidth="1"/>
    <col min="10249" max="10249" width="7.77734375" style="1" customWidth="1"/>
    <col min="10250" max="10255" width="0" style="1" hidden="1" customWidth="1"/>
    <col min="10256" max="10256" width="7.88671875" style="1" customWidth="1"/>
    <col min="10257" max="10490" width="8.88671875" style="1"/>
    <col min="10491" max="10491" width="26.21875" style="1" customWidth="1"/>
    <col min="10492" max="10492" width="12.77734375" style="1" customWidth="1"/>
    <col min="10493" max="10494" width="7.109375" style="1" customWidth="1"/>
    <col min="10495" max="10495" width="6.77734375" style="1" customWidth="1"/>
    <col min="10496" max="10496" width="14.21875" style="1" customWidth="1"/>
    <col min="10497" max="10497" width="6.77734375" style="1" customWidth="1"/>
    <col min="10498" max="10498" width="14" style="1" customWidth="1"/>
    <col min="10499" max="10499" width="7.77734375" style="1" customWidth="1"/>
    <col min="10500" max="10500" width="6.77734375" style="1" customWidth="1"/>
    <col min="10501" max="10501" width="14.21875" style="1" customWidth="1"/>
    <col min="10502" max="10502" width="7.77734375" style="1" customWidth="1"/>
    <col min="10503" max="10503" width="6.77734375" style="1" customWidth="1"/>
    <col min="10504" max="10504" width="14.21875" style="1" customWidth="1"/>
    <col min="10505" max="10505" width="7.77734375" style="1" customWidth="1"/>
    <col min="10506" max="10511" width="0" style="1" hidden="1" customWidth="1"/>
    <col min="10512" max="10512" width="7.88671875" style="1" customWidth="1"/>
    <col min="10513" max="10746" width="8.88671875" style="1"/>
    <col min="10747" max="10747" width="26.21875" style="1" customWidth="1"/>
    <col min="10748" max="10748" width="12.77734375" style="1" customWidth="1"/>
    <col min="10749" max="10750" width="7.109375" style="1" customWidth="1"/>
    <col min="10751" max="10751" width="6.77734375" style="1" customWidth="1"/>
    <col min="10752" max="10752" width="14.21875" style="1" customWidth="1"/>
    <col min="10753" max="10753" width="6.77734375" style="1" customWidth="1"/>
    <col min="10754" max="10754" width="14" style="1" customWidth="1"/>
    <col min="10755" max="10755" width="7.77734375" style="1" customWidth="1"/>
    <col min="10756" max="10756" width="6.77734375" style="1" customWidth="1"/>
    <col min="10757" max="10757" width="14.21875" style="1" customWidth="1"/>
    <col min="10758" max="10758" width="7.77734375" style="1" customWidth="1"/>
    <col min="10759" max="10759" width="6.77734375" style="1" customWidth="1"/>
    <col min="10760" max="10760" width="14.21875" style="1" customWidth="1"/>
    <col min="10761" max="10761" width="7.77734375" style="1" customWidth="1"/>
    <col min="10762" max="10767" width="0" style="1" hidden="1" customWidth="1"/>
    <col min="10768" max="10768" width="7.88671875" style="1" customWidth="1"/>
    <col min="10769" max="11002" width="8.88671875" style="1"/>
    <col min="11003" max="11003" width="26.21875" style="1" customWidth="1"/>
    <col min="11004" max="11004" width="12.77734375" style="1" customWidth="1"/>
    <col min="11005" max="11006" width="7.109375" style="1" customWidth="1"/>
    <col min="11007" max="11007" width="6.77734375" style="1" customWidth="1"/>
    <col min="11008" max="11008" width="14.21875" style="1" customWidth="1"/>
    <col min="11009" max="11009" width="6.77734375" style="1" customWidth="1"/>
    <col min="11010" max="11010" width="14" style="1" customWidth="1"/>
    <col min="11011" max="11011" width="7.77734375" style="1" customWidth="1"/>
    <col min="11012" max="11012" width="6.77734375" style="1" customWidth="1"/>
    <col min="11013" max="11013" width="14.21875" style="1" customWidth="1"/>
    <col min="11014" max="11014" width="7.77734375" style="1" customWidth="1"/>
    <col min="11015" max="11015" width="6.77734375" style="1" customWidth="1"/>
    <col min="11016" max="11016" width="14.21875" style="1" customWidth="1"/>
    <col min="11017" max="11017" width="7.77734375" style="1" customWidth="1"/>
    <col min="11018" max="11023" width="0" style="1" hidden="1" customWidth="1"/>
    <col min="11024" max="11024" width="7.88671875" style="1" customWidth="1"/>
    <col min="11025" max="11258" width="8.88671875" style="1"/>
    <col min="11259" max="11259" width="26.21875" style="1" customWidth="1"/>
    <col min="11260" max="11260" width="12.77734375" style="1" customWidth="1"/>
    <col min="11261" max="11262" width="7.109375" style="1" customWidth="1"/>
    <col min="11263" max="11263" width="6.77734375" style="1" customWidth="1"/>
    <col min="11264" max="11264" width="14.21875" style="1" customWidth="1"/>
    <col min="11265" max="11265" width="6.77734375" style="1" customWidth="1"/>
    <col min="11266" max="11266" width="14" style="1" customWidth="1"/>
    <col min="11267" max="11267" width="7.77734375" style="1" customWidth="1"/>
    <col min="11268" max="11268" width="6.77734375" style="1" customWidth="1"/>
    <col min="11269" max="11269" width="14.21875" style="1" customWidth="1"/>
    <col min="11270" max="11270" width="7.77734375" style="1" customWidth="1"/>
    <col min="11271" max="11271" width="6.77734375" style="1" customWidth="1"/>
    <col min="11272" max="11272" width="14.21875" style="1" customWidth="1"/>
    <col min="11273" max="11273" width="7.77734375" style="1" customWidth="1"/>
    <col min="11274" max="11279" width="0" style="1" hidden="1" customWidth="1"/>
    <col min="11280" max="11280" width="7.88671875" style="1" customWidth="1"/>
    <col min="11281" max="11514" width="8.88671875" style="1"/>
    <col min="11515" max="11515" width="26.21875" style="1" customWidth="1"/>
    <col min="11516" max="11516" width="12.77734375" style="1" customWidth="1"/>
    <col min="11517" max="11518" width="7.109375" style="1" customWidth="1"/>
    <col min="11519" max="11519" width="6.77734375" style="1" customWidth="1"/>
    <col min="11520" max="11520" width="14.21875" style="1" customWidth="1"/>
    <col min="11521" max="11521" width="6.77734375" style="1" customWidth="1"/>
    <col min="11522" max="11522" width="14" style="1" customWidth="1"/>
    <col min="11523" max="11523" width="7.77734375" style="1" customWidth="1"/>
    <col min="11524" max="11524" width="6.77734375" style="1" customWidth="1"/>
    <col min="11525" max="11525" width="14.21875" style="1" customWidth="1"/>
    <col min="11526" max="11526" width="7.77734375" style="1" customWidth="1"/>
    <col min="11527" max="11527" width="6.77734375" style="1" customWidth="1"/>
    <col min="11528" max="11528" width="14.21875" style="1" customWidth="1"/>
    <col min="11529" max="11529" width="7.77734375" style="1" customWidth="1"/>
    <col min="11530" max="11535" width="0" style="1" hidden="1" customWidth="1"/>
    <col min="11536" max="11536" width="7.88671875" style="1" customWidth="1"/>
    <col min="11537" max="11770" width="8.88671875" style="1"/>
    <col min="11771" max="11771" width="26.21875" style="1" customWidth="1"/>
    <col min="11772" max="11772" width="12.77734375" style="1" customWidth="1"/>
    <col min="11773" max="11774" width="7.109375" style="1" customWidth="1"/>
    <col min="11775" max="11775" width="6.77734375" style="1" customWidth="1"/>
    <col min="11776" max="11776" width="14.21875" style="1" customWidth="1"/>
    <col min="11777" max="11777" width="6.77734375" style="1" customWidth="1"/>
    <col min="11778" max="11778" width="14" style="1" customWidth="1"/>
    <col min="11779" max="11779" width="7.77734375" style="1" customWidth="1"/>
    <col min="11780" max="11780" width="6.77734375" style="1" customWidth="1"/>
    <col min="11781" max="11781" width="14.21875" style="1" customWidth="1"/>
    <col min="11782" max="11782" width="7.77734375" style="1" customWidth="1"/>
    <col min="11783" max="11783" width="6.77734375" style="1" customWidth="1"/>
    <col min="11784" max="11784" width="14.21875" style="1" customWidth="1"/>
    <col min="11785" max="11785" width="7.77734375" style="1" customWidth="1"/>
    <col min="11786" max="11791" width="0" style="1" hidden="1" customWidth="1"/>
    <col min="11792" max="11792" width="7.88671875" style="1" customWidth="1"/>
    <col min="11793" max="12026" width="8.88671875" style="1"/>
    <col min="12027" max="12027" width="26.21875" style="1" customWidth="1"/>
    <col min="12028" max="12028" width="12.77734375" style="1" customWidth="1"/>
    <col min="12029" max="12030" width="7.109375" style="1" customWidth="1"/>
    <col min="12031" max="12031" width="6.77734375" style="1" customWidth="1"/>
    <col min="12032" max="12032" width="14.21875" style="1" customWidth="1"/>
    <col min="12033" max="12033" width="6.77734375" style="1" customWidth="1"/>
    <col min="12034" max="12034" width="14" style="1" customWidth="1"/>
    <col min="12035" max="12035" width="7.77734375" style="1" customWidth="1"/>
    <col min="12036" max="12036" width="6.77734375" style="1" customWidth="1"/>
    <col min="12037" max="12037" width="14.21875" style="1" customWidth="1"/>
    <col min="12038" max="12038" width="7.77734375" style="1" customWidth="1"/>
    <col min="12039" max="12039" width="6.77734375" style="1" customWidth="1"/>
    <col min="12040" max="12040" width="14.21875" style="1" customWidth="1"/>
    <col min="12041" max="12041" width="7.77734375" style="1" customWidth="1"/>
    <col min="12042" max="12047" width="0" style="1" hidden="1" customWidth="1"/>
    <col min="12048" max="12048" width="7.88671875" style="1" customWidth="1"/>
    <col min="12049" max="12282" width="8.88671875" style="1"/>
    <col min="12283" max="12283" width="26.21875" style="1" customWidth="1"/>
    <col min="12284" max="12284" width="12.77734375" style="1" customWidth="1"/>
    <col min="12285" max="12286" width="7.109375" style="1" customWidth="1"/>
    <col min="12287" max="12287" width="6.77734375" style="1" customWidth="1"/>
    <col min="12288" max="12288" width="14.21875" style="1" customWidth="1"/>
    <col min="12289" max="12289" width="6.77734375" style="1" customWidth="1"/>
    <col min="12290" max="12290" width="14" style="1" customWidth="1"/>
    <col min="12291" max="12291" width="7.77734375" style="1" customWidth="1"/>
    <col min="12292" max="12292" width="6.77734375" style="1" customWidth="1"/>
    <col min="12293" max="12293" width="14.21875" style="1" customWidth="1"/>
    <col min="12294" max="12294" width="7.77734375" style="1" customWidth="1"/>
    <col min="12295" max="12295" width="6.77734375" style="1" customWidth="1"/>
    <col min="12296" max="12296" width="14.21875" style="1" customWidth="1"/>
    <col min="12297" max="12297" width="7.77734375" style="1" customWidth="1"/>
    <col min="12298" max="12303" width="0" style="1" hidden="1" customWidth="1"/>
    <col min="12304" max="12304" width="7.88671875" style="1" customWidth="1"/>
    <col min="12305" max="12538" width="8.88671875" style="1"/>
    <col min="12539" max="12539" width="26.21875" style="1" customWidth="1"/>
    <col min="12540" max="12540" width="12.77734375" style="1" customWidth="1"/>
    <col min="12541" max="12542" width="7.109375" style="1" customWidth="1"/>
    <col min="12543" max="12543" width="6.77734375" style="1" customWidth="1"/>
    <col min="12544" max="12544" width="14.21875" style="1" customWidth="1"/>
    <col min="12545" max="12545" width="6.77734375" style="1" customWidth="1"/>
    <col min="12546" max="12546" width="14" style="1" customWidth="1"/>
    <col min="12547" max="12547" width="7.77734375" style="1" customWidth="1"/>
    <col min="12548" max="12548" width="6.77734375" style="1" customWidth="1"/>
    <col min="12549" max="12549" width="14.21875" style="1" customWidth="1"/>
    <col min="12550" max="12550" width="7.77734375" style="1" customWidth="1"/>
    <col min="12551" max="12551" width="6.77734375" style="1" customWidth="1"/>
    <col min="12552" max="12552" width="14.21875" style="1" customWidth="1"/>
    <col min="12553" max="12553" width="7.77734375" style="1" customWidth="1"/>
    <col min="12554" max="12559" width="0" style="1" hidden="1" customWidth="1"/>
    <col min="12560" max="12560" width="7.88671875" style="1" customWidth="1"/>
    <col min="12561" max="12794" width="8.88671875" style="1"/>
    <col min="12795" max="12795" width="26.21875" style="1" customWidth="1"/>
    <col min="12796" max="12796" width="12.77734375" style="1" customWidth="1"/>
    <col min="12797" max="12798" width="7.109375" style="1" customWidth="1"/>
    <col min="12799" max="12799" width="6.77734375" style="1" customWidth="1"/>
    <col min="12800" max="12800" width="14.21875" style="1" customWidth="1"/>
    <col min="12801" max="12801" width="6.77734375" style="1" customWidth="1"/>
    <col min="12802" max="12802" width="14" style="1" customWidth="1"/>
    <col min="12803" max="12803" width="7.77734375" style="1" customWidth="1"/>
    <col min="12804" max="12804" width="6.77734375" style="1" customWidth="1"/>
    <col min="12805" max="12805" width="14.21875" style="1" customWidth="1"/>
    <col min="12806" max="12806" width="7.77734375" style="1" customWidth="1"/>
    <col min="12807" max="12807" width="6.77734375" style="1" customWidth="1"/>
    <col min="12808" max="12808" width="14.21875" style="1" customWidth="1"/>
    <col min="12809" max="12809" width="7.77734375" style="1" customWidth="1"/>
    <col min="12810" max="12815" width="0" style="1" hidden="1" customWidth="1"/>
    <col min="12816" max="12816" width="7.88671875" style="1" customWidth="1"/>
    <col min="12817" max="13050" width="8.88671875" style="1"/>
    <col min="13051" max="13051" width="26.21875" style="1" customWidth="1"/>
    <col min="13052" max="13052" width="12.77734375" style="1" customWidth="1"/>
    <col min="13053" max="13054" width="7.109375" style="1" customWidth="1"/>
    <col min="13055" max="13055" width="6.77734375" style="1" customWidth="1"/>
    <col min="13056" max="13056" width="14.21875" style="1" customWidth="1"/>
    <col min="13057" max="13057" width="6.77734375" style="1" customWidth="1"/>
    <col min="13058" max="13058" width="14" style="1" customWidth="1"/>
    <col min="13059" max="13059" width="7.77734375" style="1" customWidth="1"/>
    <col min="13060" max="13060" width="6.77734375" style="1" customWidth="1"/>
    <col min="13061" max="13061" width="14.21875" style="1" customWidth="1"/>
    <col min="13062" max="13062" width="7.77734375" style="1" customWidth="1"/>
    <col min="13063" max="13063" width="6.77734375" style="1" customWidth="1"/>
    <col min="13064" max="13064" width="14.21875" style="1" customWidth="1"/>
    <col min="13065" max="13065" width="7.77734375" style="1" customWidth="1"/>
    <col min="13066" max="13071" width="0" style="1" hidden="1" customWidth="1"/>
    <col min="13072" max="13072" width="7.88671875" style="1" customWidth="1"/>
    <col min="13073" max="13306" width="8.88671875" style="1"/>
    <col min="13307" max="13307" width="26.21875" style="1" customWidth="1"/>
    <col min="13308" max="13308" width="12.77734375" style="1" customWidth="1"/>
    <col min="13309" max="13310" width="7.109375" style="1" customWidth="1"/>
    <col min="13311" max="13311" width="6.77734375" style="1" customWidth="1"/>
    <col min="13312" max="13312" width="14.21875" style="1" customWidth="1"/>
    <col min="13313" max="13313" width="6.77734375" style="1" customWidth="1"/>
    <col min="13314" max="13314" width="14" style="1" customWidth="1"/>
    <col min="13315" max="13315" width="7.77734375" style="1" customWidth="1"/>
    <col min="13316" max="13316" width="6.77734375" style="1" customWidth="1"/>
    <col min="13317" max="13317" width="14.21875" style="1" customWidth="1"/>
    <col min="13318" max="13318" width="7.77734375" style="1" customWidth="1"/>
    <col min="13319" max="13319" width="6.77734375" style="1" customWidth="1"/>
    <col min="13320" max="13320" width="14.21875" style="1" customWidth="1"/>
    <col min="13321" max="13321" width="7.77734375" style="1" customWidth="1"/>
    <col min="13322" max="13327" width="0" style="1" hidden="1" customWidth="1"/>
    <col min="13328" max="13328" width="7.88671875" style="1" customWidth="1"/>
    <col min="13329" max="13562" width="8.88671875" style="1"/>
    <col min="13563" max="13563" width="26.21875" style="1" customWidth="1"/>
    <col min="13564" max="13564" width="12.77734375" style="1" customWidth="1"/>
    <col min="13565" max="13566" width="7.109375" style="1" customWidth="1"/>
    <col min="13567" max="13567" width="6.77734375" style="1" customWidth="1"/>
    <col min="13568" max="13568" width="14.21875" style="1" customWidth="1"/>
    <col min="13569" max="13569" width="6.77734375" style="1" customWidth="1"/>
    <col min="13570" max="13570" width="14" style="1" customWidth="1"/>
    <col min="13571" max="13571" width="7.77734375" style="1" customWidth="1"/>
    <col min="13572" max="13572" width="6.77734375" style="1" customWidth="1"/>
    <col min="13573" max="13573" width="14.21875" style="1" customWidth="1"/>
    <col min="13574" max="13574" width="7.77734375" style="1" customWidth="1"/>
    <col min="13575" max="13575" width="6.77734375" style="1" customWidth="1"/>
    <col min="13576" max="13576" width="14.21875" style="1" customWidth="1"/>
    <col min="13577" max="13577" width="7.77734375" style="1" customWidth="1"/>
    <col min="13578" max="13583" width="0" style="1" hidden="1" customWidth="1"/>
    <col min="13584" max="13584" width="7.88671875" style="1" customWidth="1"/>
    <col min="13585" max="13818" width="8.88671875" style="1"/>
    <col min="13819" max="13819" width="26.21875" style="1" customWidth="1"/>
    <col min="13820" max="13820" width="12.77734375" style="1" customWidth="1"/>
    <col min="13821" max="13822" width="7.109375" style="1" customWidth="1"/>
    <col min="13823" max="13823" width="6.77734375" style="1" customWidth="1"/>
    <col min="13824" max="13824" width="14.21875" style="1" customWidth="1"/>
    <col min="13825" max="13825" width="6.77734375" style="1" customWidth="1"/>
    <col min="13826" max="13826" width="14" style="1" customWidth="1"/>
    <col min="13827" max="13827" width="7.77734375" style="1" customWidth="1"/>
    <col min="13828" max="13828" width="6.77734375" style="1" customWidth="1"/>
    <col min="13829" max="13829" width="14.21875" style="1" customWidth="1"/>
    <col min="13830" max="13830" width="7.77734375" style="1" customWidth="1"/>
    <col min="13831" max="13831" width="6.77734375" style="1" customWidth="1"/>
    <col min="13832" max="13832" width="14.21875" style="1" customWidth="1"/>
    <col min="13833" max="13833" width="7.77734375" style="1" customWidth="1"/>
    <col min="13834" max="13839" width="0" style="1" hidden="1" customWidth="1"/>
    <col min="13840" max="13840" width="7.88671875" style="1" customWidth="1"/>
    <col min="13841" max="14074" width="8.88671875" style="1"/>
    <col min="14075" max="14075" width="26.21875" style="1" customWidth="1"/>
    <col min="14076" max="14076" width="12.77734375" style="1" customWidth="1"/>
    <col min="14077" max="14078" width="7.109375" style="1" customWidth="1"/>
    <col min="14079" max="14079" width="6.77734375" style="1" customWidth="1"/>
    <col min="14080" max="14080" width="14.21875" style="1" customWidth="1"/>
    <col min="14081" max="14081" width="6.77734375" style="1" customWidth="1"/>
    <col min="14082" max="14082" width="14" style="1" customWidth="1"/>
    <col min="14083" max="14083" width="7.77734375" style="1" customWidth="1"/>
    <col min="14084" max="14084" width="6.77734375" style="1" customWidth="1"/>
    <col min="14085" max="14085" width="14.21875" style="1" customWidth="1"/>
    <col min="14086" max="14086" width="7.77734375" style="1" customWidth="1"/>
    <col min="14087" max="14087" width="6.77734375" style="1" customWidth="1"/>
    <col min="14088" max="14088" width="14.21875" style="1" customWidth="1"/>
    <col min="14089" max="14089" width="7.77734375" style="1" customWidth="1"/>
    <col min="14090" max="14095" width="0" style="1" hidden="1" customWidth="1"/>
    <col min="14096" max="14096" width="7.88671875" style="1" customWidth="1"/>
    <col min="14097" max="14330" width="8.88671875" style="1"/>
    <col min="14331" max="14331" width="26.21875" style="1" customWidth="1"/>
    <col min="14332" max="14332" width="12.77734375" style="1" customWidth="1"/>
    <col min="14333" max="14334" width="7.109375" style="1" customWidth="1"/>
    <col min="14335" max="14335" width="6.77734375" style="1" customWidth="1"/>
    <col min="14336" max="14336" width="14.21875" style="1" customWidth="1"/>
    <col min="14337" max="14337" width="6.77734375" style="1" customWidth="1"/>
    <col min="14338" max="14338" width="14" style="1" customWidth="1"/>
    <col min="14339" max="14339" width="7.77734375" style="1" customWidth="1"/>
    <col min="14340" max="14340" width="6.77734375" style="1" customWidth="1"/>
    <col min="14341" max="14341" width="14.21875" style="1" customWidth="1"/>
    <col min="14342" max="14342" width="7.77734375" style="1" customWidth="1"/>
    <col min="14343" max="14343" width="6.77734375" style="1" customWidth="1"/>
    <col min="14344" max="14344" width="14.21875" style="1" customWidth="1"/>
    <col min="14345" max="14345" width="7.77734375" style="1" customWidth="1"/>
    <col min="14346" max="14351" width="0" style="1" hidden="1" customWidth="1"/>
    <col min="14352" max="14352" width="7.88671875" style="1" customWidth="1"/>
    <col min="14353" max="14586" width="8.88671875" style="1"/>
    <col min="14587" max="14587" width="26.21875" style="1" customWidth="1"/>
    <col min="14588" max="14588" width="12.77734375" style="1" customWidth="1"/>
    <col min="14589" max="14590" width="7.109375" style="1" customWidth="1"/>
    <col min="14591" max="14591" width="6.77734375" style="1" customWidth="1"/>
    <col min="14592" max="14592" width="14.21875" style="1" customWidth="1"/>
    <col min="14593" max="14593" width="6.77734375" style="1" customWidth="1"/>
    <col min="14594" max="14594" width="14" style="1" customWidth="1"/>
    <col min="14595" max="14595" width="7.77734375" style="1" customWidth="1"/>
    <col min="14596" max="14596" width="6.77734375" style="1" customWidth="1"/>
    <col min="14597" max="14597" width="14.21875" style="1" customWidth="1"/>
    <col min="14598" max="14598" width="7.77734375" style="1" customWidth="1"/>
    <col min="14599" max="14599" width="6.77734375" style="1" customWidth="1"/>
    <col min="14600" max="14600" width="14.21875" style="1" customWidth="1"/>
    <col min="14601" max="14601" width="7.77734375" style="1" customWidth="1"/>
    <col min="14602" max="14607" width="0" style="1" hidden="1" customWidth="1"/>
    <col min="14608" max="14608" width="7.88671875" style="1" customWidth="1"/>
    <col min="14609" max="14842" width="8.88671875" style="1"/>
    <col min="14843" max="14843" width="26.21875" style="1" customWidth="1"/>
    <col min="14844" max="14844" width="12.77734375" style="1" customWidth="1"/>
    <col min="14845" max="14846" width="7.109375" style="1" customWidth="1"/>
    <col min="14847" max="14847" width="6.77734375" style="1" customWidth="1"/>
    <col min="14848" max="14848" width="14.21875" style="1" customWidth="1"/>
    <col min="14849" max="14849" width="6.77734375" style="1" customWidth="1"/>
    <col min="14850" max="14850" width="14" style="1" customWidth="1"/>
    <col min="14851" max="14851" width="7.77734375" style="1" customWidth="1"/>
    <col min="14852" max="14852" width="6.77734375" style="1" customWidth="1"/>
    <col min="14853" max="14853" width="14.21875" style="1" customWidth="1"/>
    <col min="14854" max="14854" width="7.77734375" style="1" customWidth="1"/>
    <col min="14855" max="14855" width="6.77734375" style="1" customWidth="1"/>
    <col min="14856" max="14856" width="14.21875" style="1" customWidth="1"/>
    <col min="14857" max="14857" width="7.77734375" style="1" customWidth="1"/>
    <col min="14858" max="14863" width="0" style="1" hidden="1" customWidth="1"/>
    <col min="14864" max="14864" width="7.88671875" style="1" customWidth="1"/>
    <col min="14865" max="15098" width="8.88671875" style="1"/>
    <col min="15099" max="15099" width="26.21875" style="1" customWidth="1"/>
    <col min="15100" max="15100" width="12.77734375" style="1" customWidth="1"/>
    <col min="15101" max="15102" width="7.109375" style="1" customWidth="1"/>
    <col min="15103" max="15103" width="6.77734375" style="1" customWidth="1"/>
    <col min="15104" max="15104" width="14.21875" style="1" customWidth="1"/>
    <col min="15105" max="15105" width="6.77734375" style="1" customWidth="1"/>
    <col min="15106" max="15106" width="14" style="1" customWidth="1"/>
    <col min="15107" max="15107" width="7.77734375" style="1" customWidth="1"/>
    <col min="15108" max="15108" width="6.77734375" style="1" customWidth="1"/>
    <col min="15109" max="15109" width="14.21875" style="1" customWidth="1"/>
    <col min="15110" max="15110" width="7.77734375" style="1" customWidth="1"/>
    <col min="15111" max="15111" width="6.77734375" style="1" customWidth="1"/>
    <col min="15112" max="15112" width="14.21875" style="1" customWidth="1"/>
    <col min="15113" max="15113" width="7.77734375" style="1" customWidth="1"/>
    <col min="15114" max="15119" width="0" style="1" hidden="1" customWidth="1"/>
    <col min="15120" max="15120" width="7.88671875" style="1" customWidth="1"/>
    <col min="15121" max="15354" width="8.88671875" style="1"/>
    <col min="15355" max="15355" width="26.21875" style="1" customWidth="1"/>
    <col min="15356" max="15356" width="12.77734375" style="1" customWidth="1"/>
    <col min="15357" max="15358" width="7.109375" style="1" customWidth="1"/>
    <col min="15359" max="15359" width="6.77734375" style="1" customWidth="1"/>
    <col min="15360" max="15360" width="14.21875" style="1" customWidth="1"/>
    <col min="15361" max="15361" width="6.77734375" style="1" customWidth="1"/>
    <col min="15362" max="15362" width="14" style="1" customWidth="1"/>
    <col min="15363" max="15363" width="7.77734375" style="1" customWidth="1"/>
    <col min="15364" max="15364" width="6.77734375" style="1" customWidth="1"/>
    <col min="15365" max="15365" width="14.21875" style="1" customWidth="1"/>
    <col min="15366" max="15366" width="7.77734375" style="1" customWidth="1"/>
    <col min="15367" max="15367" width="6.77734375" style="1" customWidth="1"/>
    <col min="15368" max="15368" width="14.21875" style="1" customWidth="1"/>
    <col min="15369" max="15369" width="7.77734375" style="1" customWidth="1"/>
    <col min="15370" max="15375" width="0" style="1" hidden="1" customWidth="1"/>
    <col min="15376" max="15376" width="7.88671875" style="1" customWidth="1"/>
    <col min="15377" max="15610" width="8.88671875" style="1"/>
    <col min="15611" max="15611" width="26.21875" style="1" customWidth="1"/>
    <col min="15612" max="15612" width="12.77734375" style="1" customWidth="1"/>
    <col min="15613" max="15614" width="7.109375" style="1" customWidth="1"/>
    <col min="15615" max="15615" width="6.77734375" style="1" customWidth="1"/>
    <col min="15616" max="15616" width="14.21875" style="1" customWidth="1"/>
    <col min="15617" max="15617" width="6.77734375" style="1" customWidth="1"/>
    <col min="15618" max="15618" width="14" style="1" customWidth="1"/>
    <col min="15619" max="15619" width="7.77734375" style="1" customWidth="1"/>
    <col min="15620" max="15620" width="6.77734375" style="1" customWidth="1"/>
    <col min="15621" max="15621" width="14.21875" style="1" customWidth="1"/>
    <col min="15622" max="15622" width="7.77734375" style="1" customWidth="1"/>
    <col min="15623" max="15623" width="6.77734375" style="1" customWidth="1"/>
    <col min="15624" max="15624" width="14.21875" style="1" customWidth="1"/>
    <col min="15625" max="15625" width="7.77734375" style="1" customWidth="1"/>
    <col min="15626" max="15631" width="0" style="1" hidden="1" customWidth="1"/>
    <col min="15632" max="15632" width="7.88671875" style="1" customWidth="1"/>
    <col min="15633" max="15866" width="8.88671875" style="1"/>
    <col min="15867" max="15867" width="26.21875" style="1" customWidth="1"/>
    <col min="15868" max="15868" width="12.77734375" style="1" customWidth="1"/>
    <col min="15869" max="15870" width="7.109375" style="1" customWidth="1"/>
    <col min="15871" max="15871" width="6.77734375" style="1" customWidth="1"/>
    <col min="15872" max="15872" width="14.21875" style="1" customWidth="1"/>
    <col min="15873" max="15873" width="6.77734375" style="1" customWidth="1"/>
    <col min="15874" max="15874" width="14" style="1" customWidth="1"/>
    <col min="15875" max="15875" width="7.77734375" style="1" customWidth="1"/>
    <col min="15876" max="15876" width="6.77734375" style="1" customWidth="1"/>
    <col min="15877" max="15877" width="14.21875" style="1" customWidth="1"/>
    <col min="15878" max="15878" width="7.77734375" style="1" customWidth="1"/>
    <col min="15879" max="15879" width="6.77734375" style="1" customWidth="1"/>
    <col min="15880" max="15880" width="14.21875" style="1" customWidth="1"/>
    <col min="15881" max="15881" width="7.77734375" style="1" customWidth="1"/>
    <col min="15882" max="15887" width="0" style="1" hidden="1" customWidth="1"/>
    <col min="15888" max="15888" width="7.88671875" style="1" customWidth="1"/>
    <col min="15889" max="16122" width="8.88671875" style="1"/>
    <col min="16123" max="16123" width="26.21875" style="1" customWidth="1"/>
    <col min="16124" max="16124" width="12.77734375" style="1" customWidth="1"/>
    <col min="16125" max="16126" width="7.109375" style="1" customWidth="1"/>
    <col min="16127" max="16127" width="6.77734375" style="1" customWidth="1"/>
    <col min="16128" max="16128" width="14.21875" style="1" customWidth="1"/>
    <col min="16129" max="16129" width="6.77734375" style="1" customWidth="1"/>
    <col min="16130" max="16130" width="14" style="1" customWidth="1"/>
    <col min="16131" max="16131" width="7.77734375" style="1" customWidth="1"/>
    <col min="16132" max="16132" width="6.77734375" style="1" customWidth="1"/>
    <col min="16133" max="16133" width="14.21875" style="1" customWidth="1"/>
    <col min="16134" max="16134" width="7.77734375" style="1" customWidth="1"/>
    <col min="16135" max="16135" width="6.77734375" style="1" customWidth="1"/>
    <col min="16136" max="16136" width="14.21875" style="1" customWidth="1"/>
    <col min="16137" max="16137" width="7.77734375" style="1" customWidth="1"/>
    <col min="16138" max="16143" width="0" style="1" hidden="1" customWidth="1"/>
    <col min="16144" max="16144" width="7.88671875" style="1" customWidth="1"/>
    <col min="16145" max="16384" width="8.88671875" style="1"/>
  </cols>
  <sheetData>
    <row r="1" spans="1:16" ht="50.1" customHeight="1" x14ac:dyDescent="0.15">
      <c r="A1" s="191" t="s">
        <v>53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</row>
    <row r="2" spans="1:16" ht="20.100000000000001" customHeight="1" x14ac:dyDescent="0.15">
      <c r="A2" s="1" t="s">
        <v>0</v>
      </c>
      <c r="B2" s="2" t="str">
        <f>갑지!F9</f>
        <v>보령광역 서산계통 공기제수밸브 교체공사 중 부단수 차단 공사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20.100000000000001" customHeight="1" x14ac:dyDescent="0.15">
      <c r="A3" s="1" t="s">
        <v>56</v>
      </c>
      <c r="B3" s="2" t="str">
        <f>"금"&amp;TEXT(F25,"#,##0"&amp;"원"&amp;" (금"&amp;NUMBERSTRING(F25,1)&amp;"원)")</f>
        <v>금583,000,000원 (금오억팔천삼백만원)</v>
      </c>
    </row>
    <row r="4" spans="1:16" ht="20.100000000000001" customHeight="1" x14ac:dyDescent="0.15">
      <c r="A4" s="1" t="s">
        <v>55</v>
      </c>
      <c r="N4" s="192"/>
      <c r="O4" s="192"/>
      <c r="P4" s="192"/>
    </row>
    <row r="5" spans="1:16" ht="30" customHeight="1" x14ac:dyDescent="0.15">
      <c r="A5" s="190" t="s">
        <v>1</v>
      </c>
      <c r="B5" s="190" t="s">
        <v>2</v>
      </c>
      <c r="C5" s="190" t="s">
        <v>3</v>
      </c>
      <c r="D5" s="190" t="s">
        <v>4</v>
      </c>
      <c r="E5" s="190" t="s">
        <v>22</v>
      </c>
      <c r="F5" s="190"/>
      <c r="G5" s="190" t="s">
        <v>5</v>
      </c>
      <c r="H5" s="190"/>
      <c r="I5" s="190"/>
      <c r="J5" s="190" t="s">
        <v>6</v>
      </c>
      <c r="K5" s="190"/>
      <c r="L5" s="190"/>
      <c r="M5" s="190" t="s">
        <v>7</v>
      </c>
      <c r="N5" s="190"/>
      <c r="O5" s="190"/>
      <c r="P5" s="190" t="s">
        <v>8</v>
      </c>
    </row>
    <row r="6" spans="1:16" ht="30" customHeight="1" x14ac:dyDescent="0.15">
      <c r="A6" s="190"/>
      <c r="B6" s="190"/>
      <c r="C6" s="190"/>
      <c r="D6" s="190"/>
      <c r="E6" s="32" t="s">
        <v>9</v>
      </c>
      <c r="F6" s="32" t="s">
        <v>10</v>
      </c>
      <c r="G6" s="32" t="s">
        <v>28</v>
      </c>
      <c r="H6" s="32" t="s">
        <v>29</v>
      </c>
      <c r="I6" s="32" t="s">
        <v>27</v>
      </c>
      <c r="J6" s="32" t="s">
        <v>9</v>
      </c>
      <c r="K6" s="32" t="s">
        <v>10</v>
      </c>
      <c r="L6" s="32" t="s">
        <v>11</v>
      </c>
      <c r="M6" s="32" t="s">
        <v>9</v>
      </c>
      <c r="N6" s="32" t="s">
        <v>10</v>
      </c>
      <c r="O6" s="32" t="s">
        <v>11</v>
      </c>
      <c r="P6" s="190"/>
    </row>
    <row r="7" spans="1:16" ht="30" customHeight="1" x14ac:dyDescent="0.15">
      <c r="A7" s="6" t="s">
        <v>12</v>
      </c>
      <c r="B7" s="38"/>
      <c r="C7" s="5" t="s">
        <v>13</v>
      </c>
      <c r="D7" s="5"/>
      <c r="E7" s="5"/>
      <c r="F7" s="7">
        <f>내역서!X6</f>
        <v>399751461</v>
      </c>
      <c r="G7" s="7"/>
      <c r="H7" s="7"/>
      <c r="I7" s="8"/>
      <c r="J7" s="7"/>
      <c r="K7" s="7"/>
      <c r="L7" s="8">
        <f>K7/F7</f>
        <v>0</v>
      </c>
      <c r="M7" s="7"/>
      <c r="N7" s="7"/>
      <c r="O7" s="8">
        <f>I7+L7</f>
        <v>0</v>
      </c>
      <c r="P7" s="9"/>
    </row>
    <row r="8" spans="1:16" ht="30" customHeight="1" x14ac:dyDescent="0.15">
      <c r="A8" s="6" t="s">
        <v>39</v>
      </c>
      <c r="B8" s="38">
        <v>0.16500000000000001</v>
      </c>
      <c r="C8" s="5" t="s">
        <v>13</v>
      </c>
      <c r="D8" s="5"/>
      <c r="E8" s="5"/>
      <c r="F8" s="7">
        <f>내역서!AB6*집계표!B8</f>
        <v>16194649.680000002</v>
      </c>
      <c r="G8" s="7"/>
      <c r="H8" s="7"/>
      <c r="I8" s="8"/>
      <c r="J8" s="7"/>
      <c r="K8" s="7"/>
      <c r="L8" s="8"/>
      <c r="M8" s="7"/>
      <c r="N8" s="7"/>
      <c r="O8" s="8"/>
      <c r="P8" s="9"/>
    </row>
    <row r="9" spans="1:16" ht="30" customHeight="1" x14ac:dyDescent="0.15">
      <c r="A9" s="41" t="s">
        <v>46</v>
      </c>
      <c r="B9" s="37">
        <v>3.56E-2</v>
      </c>
      <c r="C9" s="5" t="s">
        <v>47</v>
      </c>
      <c r="D9" s="5"/>
      <c r="E9" s="5"/>
      <c r="F9" s="7">
        <f>(F8+내역서!AB6)*집계표!B9</f>
        <v>4070647.883808</v>
      </c>
      <c r="G9" s="7"/>
      <c r="H9" s="7"/>
      <c r="I9" s="8"/>
      <c r="J9" s="7"/>
      <c r="K9" s="7"/>
      <c r="L9" s="8"/>
      <c r="M9" s="7"/>
      <c r="N9" s="7"/>
      <c r="O9" s="8"/>
      <c r="P9" s="9" t="s">
        <v>54</v>
      </c>
    </row>
    <row r="10" spans="1:16" ht="30" customHeight="1" x14ac:dyDescent="0.15">
      <c r="A10" s="41" t="s">
        <v>14</v>
      </c>
      <c r="B10" s="37">
        <v>1.01E-2</v>
      </c>
      <c r="C10" s="5" t="s">
        <v>13</v>
      </c>
      <c r="D10" s="29"/>
      <c r="E10" s="5"/>
      <c r="F10" s="7">
        <f>(내역서!AB6+집계표!F8)*집계표!B10</f>
        <v>1154874.820968</v>
      </c>
      <c r="G10" s="7"/>
      <c r="H10" s="7"/>
      <c r="I10" s="8"/>
      <c r="J10" s="7"/>
      <c r="K10" s="7"/>
      <c r="L10" s="8"/>
      <c r="M10" s="7"/>
      <c r="N10" s="7"/>
      <c r="O10" s="8"/>
      <c r="P10" s="9" t="s">
        <v>54</v>
      </c>
    </row>
    <row r="11" spans="1:16" ht="30" customHeight="1" x14ac:dyDescent="0.15">
      <c r="A11" s="41" t="s">
        <v>15</v>
      </c>
      <c r="B11" s="40">
        <v>3.5450000000000002E-2</v>
      </c>
      <c r="C11" s="5" t="s">
        <v>13</v>
      </c>
      <c r="D11" s="29"/>
      <c r="E11" s="5"/>
      <c r="F11" s="7">
        <f>내역서!AB6*집계표!B11</f>
        <v>3479395.9464000002</v>
      </c>
      <c r="G11" s="7"/>
      <c r="H11" s="7"/>
      <c r="I11" s="8"/>
      <c r="J11" s="7"/>
      <c r="K11" s="7"/>
      <c r="L11" s="8"/>
      <c r="M11" s="7"/>
      <c r="N11" s="7"/>
      <c r="O11" s="8"/>
      <c r="P11" s="9" t="s">
        <v>54</v>
      </c>
    </row>
    <row r="12" spans="1:16" ht="30" customHeight="1" x14ac:dyDescent="0.15">
      <c r="A12" s="41" t="s">
        <v>40</v>
      </c>
      <c r="B12" s="37">
        <v>4.4999999999999998E-2</v>
      </c>
      <c r="C12" s="5" t="s">
        <v>13</v>
      </c>
      <c r="D12" s="29"/>
      <c r="E12" s="5"/>
      <c r="F12" s="7">
        <f>내역서!AB6*집계표!B12</f>
        <v>4416722.6399999997</v>
      </c>
      <c r="G12" s="7"/>
      <c r="H12" s="7"/>
      <c r="I12" s="8"/>
      <c r="J12" s="7"/>
      <c r="K12" s="7"/>
      <c r="L12" s="8"/>
      <c r="M12" s="7"/>
      <c r="N12" s="7"/>
      <c r="O12" s="8"/>
      <c r="P12" s="9" t="s">
        <v>54</v>
      </c>
    </row>
    <row r="13" spans="1:16" ht="30" customHeight="1" x14ac:dyDescent="0.15">
      <c r="A13" s="41" t="s">
        <v>41</v>
      </c>
      <c r="B13" s="37">
        <v>0.1295</v>
      </c>
      <c r="C13" s="5" t="s">
        <v>13</v>
      </c>
      <c r="D13" s="29"/>
      <c r="E13" s="5"/>
      <c r="F13" s="7">
        <f>F11*B13</f>
        <v>450581.77505880006</v>
      </c>
      <c r="G13" s="7"/>
      <c r="H13" s="7"/>
      <c r="I13" s="8"/>
      <c r="J13" s="7"/>
      <c r="K13" s="7"/>
      <c r="L13" s="8"/>
      <c r="M13" s="7"/>
      <c r="N13" s="7"/>
      <c r="O13" s="8"/>
      <c r="P13" s="9" t="s">
        <v>54</v>
      </c>
    </row>
    <row r="14" spans="1:16" ht="30" customHeight="1" x14ac:dyDescent="0.15">
      <c r="A14" s="41" t="s">
        <v>42</v>
      </c>
      <c r="B14" s="38">
        <v>2.3E-2</v>
      </c>
      <c r="C14" s="5" t="s">
        <v>13</v>
      </c>
      <c r="D14" s="29"/>
      <c r="E14" s="5"/>
      <c r="F14" s="7">
        <f>내역서!AB6*B14</f>
        <v>2257436.0159999998</v>
      </c>
      <c r="G14" s="7"/>
      <c r="H14" s="7"/>
      <c r="I14" s="8"/>
      <c r="J14" s="7"/>
      <c r="K14" s="7"/>
      <c r="L14" s="8"/>
      <c r="M14" s="7"/>
      <c r="N14" s="7"/>
      <c r="O14" s="8"/>
      <c r="P14" s="9" t="s">
        <v>54</v>
      </c>
    </row>
    <row r="15" spans="1:16" ht="30" customHeight="1" x14ac:dyDescent="0.15">
      <c r="A15" s="41" t="s">
        <v>16</v>
      </c>
      <c r="B15" s="37">
        <v>5.1000000000000004E-3</v>
      </c>
      <c r="C15" s="5" t="s">
        <v>13</v>
      </c>
      <c r="D15" s="29"/>
      <c r="E15" s="5"/>
      <c r="F15" s="7">
        <f>F7*B15</f>
        <v>2038732.4511000002</v>
      </c>
      <c r="G15" s="7"/>
      <c r="H15" s="7"/>
      <c r="I15" s="8"/>
      <c r="J15" s="7"/>
      <c r="K15" s="7"/>
      <c r="L15" s="8"/>
      <c r="M15" s="7"/>
      <c r="N15" s="7"/>
      <c r="O15" s="8"/>
      <c r="P15" s="9" t="s">
        <v>54</v>
      </c>
    </row>
    <row r="16" spans="1:16" ht="30" customHeight="1" x14ac:dyDescent="0.15">
      <c r="A16" s="41" t="s">
        <v>43</v>
      </c>
      <c r="B16" s="37">
        <v>3.15E-2</v>
      </c>
      <c r="C16" s="5" t="s">
        <v>47</v>
      </c>
      <c r="D16" s="29"/>
      <c r="E16" s="5"/>
      <c r="F16" s="7">
        <f>(내역서!Z6+내역서!AB6)*집계표!B16</f>
        <v>10299634.191</v>
      </c>
      <c r="G16" s="7"/>
      <c r="H16" s="7"/>
      <c r="I16" s="8"/>
      <c r="J16" s="7"/>
      <c r="K16" s="7"/>
      <c r="L16" s="8"/>
      <c r="M16" s="7"/>
      <c r="N16" s="7"/>
      <c r="O16" s="8"/>
      <c r="P16" s="9" t="s">
        <v>54</v>
      </c>
    </row>
    <row r="17" spans="1:21" ht="30" customHeight="1" x14ac:dyDescent="0.15">
      <c r="A17" s="41" t="s">
        <v>44</v>
      </c>
      <c r="B17" s="38">
        <v>5.0000000000000001E-3</v>
      </c>
      <c r="C17" s="5" t="s">
        <v>13</v>
      </c>
      <c r="D17" s="29"/>
      <c r="E17" s="5"/>
      <c r="F17" s="7">
        <f>F7*B17</f>
        <v>1998757.3049999999</v>
      </c>
      <c r="G17" s="7"/>
      <c r="H17" s="7"/>
      <c r="I17" s="8"/>
      <c r="J17" s="7"/>
      <c r="K17" s="7"/>
      <c r="L17" s="8"/>
      <c r="M17" s="7"/>
      <c r="N17" s="7"/>
      <c r="O17" s="8"/>
      <c r="P17" s="9" t="s">
        <v>54</v>
      </c>
    </row>
    <row r="18" spans="1:21" ht="30" customHeight="1" x14ac:dyDescent="0.15">
      <c r="A18" s="6" t="s">
        <v>45</v>
      </c>
      <c r="B18" s="38">
        <v>5.1999999999999998E-2</v>
      </c>
      <c r="C18" s="5" t="s">
        <v>26</v>
      </c>
      <c r="D18" s="29"/>
      <c r="E18" s="5"/>
      <c r="F18" s="7">
        <f>(내역서!Z6+내역서!AB6+집계표!F8)*집계표!B18</f>
        <v>17844692.511360001</v>
      </c>
      <c r="G18" s="7"/>
      <c r="H18" s="7"/>
      <c r="I18" s="8"/>
      <c r="J18" s="7"/>
      <c r="K18" s="7"/>
      <c r="L18" s="8"/>
      <c r="M18" s="7"/>
      <c r="N18" s="7"/>
      <c r="O18" s="8"/>
      <c r="P18" s="9"/>
      <c r="Q18" s="34" t="s">
        <v>65</v>
      </c>
      <c r="R18" s="4">
        <f>SUM(F8:F18)</f>
        <v>64206125.220694795</v>
      </c>
      <c r="S18" s="4"/>
      <c r="T18" s="4"/>
      <c r="U18" s="4"/>
    </row>
    <row r="19" spans="1:21" ht="30" customHeight="1" x14ac:dyDescent="0.15">
      <c r="A19" s="6"/>
      <c r="B19" s="38"/>
      <c r="C19" s="5"/>
      <c r="D19" s="29"/>
      <c r="E19" s="5"/>
      <c r="F19" s="7"/>
      <c r="G19" s="7"/>
      <c r="H19" s="7"/>
      <c r="I19" s="8"/>
      <c r="J19" s="7"/>
      <c r="K19" s="7"/>
      <c r="L19" s="8"/>
      <c r="M19" s="7"/>
      <c r="N19" s="7"/>
      <c r="O19" s="8"/>
      <c r="P19" s="9"/>
      <c r="Q19" s="34"/>
      <c r="R19" s="4"/>
      <c r="S19" s="4"/>
      <c r="T19" s="4"/>
      <c r="U19" s="4"/>
    </row>
    <row r="20" spans="1:21" ht="30" customHeight="1" x14ac:dyDescent="0.15">
      <c r="A20" s="6" t="s">
        <v>48</v>
      </c>
      <c r="B20" s="38">
        <v>0.08</v>
      </c>
      <c r="C20" s="5" t="s">
        <v>47</v>
      </c>
      <c r="D20" s="29"/>
      <c r="E20" s="5"/>
      <c r="F20" s="7">
        <f>(내역서!Z6+내역서!AB6+내역서!AD6+집계표!F8+F9+F10+F11+F12+F13+F14+F15+F16+F17+F18)*집계표!B20</f>
        <v>37116606.897655576</v>
      </c>
      <c r="G20" s="7"/>
      <c r="H20" s="7"/>
      <c r="I20" s="8"/>
      <c r="J20" s="7"/>
      <c r="K20" s="7"/>
      <c r="L20" s="8"/>
      <c r="M20" s="7"/>
      <c r="N20" s="7"/>
      <c r="O20" s="8"/>
      <c r="P20" s="9"/>
      <c r="Q20" s="34"/>
      <c r="R20" s="4"/>
      <c r="S20" s="4"/>
      <c r="T20" s="4"/>
      <c r="U20" s="4"/>
    </row>
    <row r="21" spans="1:21" ht="30" customHeight="1" x14ac:dyDescent="0.15">
      <c r="A21" s="6" t="s">
        <v>49</v>
      </c>
      <c r="B21" s="38">
        <v>0.15</v>
      </c>
      <c r="C21" s="5" t="s">
        <v>47</v>
      </c>
      <c r="D21" s="29"/>
      <c r="E21" s="5"/>
      <c r="F21" s="7">
        <f>(내역서!AB6+집계표!F8+집계표!F9+집계표!F10+집계표!F11+집계표!F12+집계표!F13+집계표!F14+집계표!F15+집계표!F16+집계표!F17+집계표!F18+집계표!F20)*집계표!B21-P21</f>
        <v>28925807.617752563</v>
      </c>
      <c r="G21" s="7"/>
      <c r="H21" s="7"/>
      <c r="I21" s="8"/>
      <c r="J21" s="7"/>
      <c r="K21" s="7"/>
      <c r="L21" s="8"/>
      <c r="M21" s="7"/>
      <c r="N21" s="7"/>
      <c r="O21" s="8"/>
      <c r="P21" s="67">
        <v>995011</v>
      </c>
      <c r="Q21" s="34"/>
      <c r="R21" s="4"/>
      <c r="S21" s="4"/>
      <c r="T21" s="4"/>
      <c r="U21" s="4"/>
    </row>
    <row r="22" spans="1:21" ht="30" customHeight="1" x14ac:dyDescent="0.15">
      <c r="A22" s="6"/>
      <c r="B22" s="38"/>
      <c r="C22" s="5"/>
      <c r="D22" s="29"/>
      <c r="E22" s="5"/>
      <c r="F22" s="7"/>
      <c r="G22" s="7"/>
      <c r="H22" s="7"/>
      <c r="I22" s="8"/>
      <c r="J22" s="7"/>
      <c r="K22" s="7"/>
      <c r="L22" s="8"/>
      <c r="M22" s="7"/>
      <c r="N22" s="7"/>
      <c r="O22" s="8"/>
      <c r="P22" s="9"/>
      <c r="Q22" s="34"/>
      <c r="R22" s="4"/>
      <c r="S22" s="4"/>
      <c r="T22" s="4"/>
      <c r="U22" s="4"/>
    </row>
    <row r="23" spans="1:21" s="15" customFormat="1" ht="30" customHeight="1" x14ac:dyDescent="0.15">
      <c r="A23" s="10" t="s">
        <v>50</v>
      </c>
      <c r="B23" s="39"/>
      <c r="C23" s="12" t="s">
        <v>13</v>
      </c>
      <c r="D23" s="12"/>
      <c r="E23" s="12"/>
      <c r="F23" s="11">
        <f>+INT(SUM(F7:F21))</f>
        <v>530000000</v>
      </c>
      <c r="G23" s="11"/>
      <c r="H23" s="11"/>
      <c r="I23" s="13"/>
      <c r="J23" s="11"/>
      <c r="K23" s="11">
        <f>N23-H23</f>
        <v>0</v>
      </c>
      <c r="L23" s="13">
        <f>K23/F23</f>
        <v>0</v>
      </c>
      <c r="M23" s="11"/>
      <c r="N23" s="11">
        <f>SUM(N7:N18)</f>
        <v>0</v>
      </c>
      <c r="O23" s="13">
        <f>I23+L23</f>
        <v>0</v>
      </c>
      <c r="P23" s="14"/>
      <c r="Q23" s="1"/>
    </row>
    <row r="24" spans="1:21" ht="30" customHeight="1" x14ac:dyDescent="0.15">
      <c r="A24" s="6" t="s">
        <v>51</v>
      </c>
      <c r="B24" s="38"/>
      <c r="C24" s="5" t="s">
        <v>13</v>
      </c>
      <c r="D24" s="5"/>
      <c r="E24" s="5"/>
      <c r="F24" s="25">
        <f>+TRUNC(F23*0.1)</f>
        <v>53000000</v>
      </c>
      <c r="G24" s="7"/>
      <c r="H24" s="25"/>
      <c r="I24" s="8"/>
      <c r="J24" s="7"/>
      <c r="K24" s="7">
        <f>N24-H24</f>
        <v>0</v>
      </c>
      <c r="L24" s="8">
        <f>K24/F24</f>
        <v>0</v>
      </c>
      <c r="M24" s="7"/>
      <c r="N24" s="25">
        <f>+TRUNC(N23*0.1)</f>
        <v>0</v>
      </c>
      <c r="O24" s="8">
        <f>I24+L24</f>
        <v>0</v>
      </c>
      <c r="P24" s="9"/>
      <c r="R24" s="15"/>
      <c r="S24" s="15"/>
      <c r="T24" s="15"/>
      <c r="U24" s="15"/>
    </row>
    <row r="25" spans="1:21" s="15" customFormat="1" ht="30" customHeight="1" x14ac:dyDescent="0.15">
      <c r="A25" s="10" t="s">
        <v>52</v>
      </c>
      <c r="B25" s="12"/>
      <c r="C25" s="12" t="s">
        <v>13</v>
      </c>
      <c r="D25" s="12"/>
      <c r="E25" s="12"/>
      <c r="F25" s="11">
        <f>TRUNC(SUM(F23:F24))</f>
        <v>583000000</v>
      </c>
      <c r="G25" s="11"/>
      <c r="H25" s="11"/>
      <c r="I25" s="13"/>
      <c r="J25" s="11"/>
      <c r="K25" s="11">
        <f>N25-H25</f>
        <v>0</v>
      </c>
      <c r="L25" s="13">
        <f>K25/F25</f>
        <v>0</v>
      </c>
      <c r="M25" s="11"/>
      <c r="N25" s="11">
        <f>+SUM(N23:N24)</f>
        <v>0</v>
      </c>
      <c r="O25" s="13">
        <f>I25+L25</f>
        <v>0</v>
      </c>
      <c r="P25" s="14"/>
      <c r="Q25" s="1"/>
    </row>
    <row r="26" spans="1:21" ht="30" hidden="1" customHeight="1" x14ac:dyDescent="0.15">
      <c r="A26" s="10" t="s">
        <v>23</v>
      </c>
      <c r="B26" s="12"/>
      <c r="C26" s="12" t="s">
        <v>24</v>
      </c>
      <c r="D26" s="12"/>
      <c r="E26" s="12"/>
      <c r="F26" s="24"/>
      <c r="G26" s="11"/>
      <c r="H26" s="24"/>
      <c r="I26" s="13"/>
      <c r="J26" s="11"/>
      <c r="K26" s="11" t="e">
        <f>+#REF!</f>
        <v>#REF!</v>
      </c>
      <c r="L26" s="13"/>
      <c r="M26" s="11"/>
      <c r="N26" s="24" t="e">
        <f>+#REF!</f>
        <v>#REF!</v>
      </c>
      <c r="O26" s="13"/>
      <c r="P26" s="14"/>
      <c r="Q26" s="1" t="e">
        <f>F26-N26</f>
        <v>#REF!</v>
      </c>
    </row>
    <row r="27" spans="1:21" ht="30" hidden="1" customHeight="1" x14ac:dyDescent="0.15">
      <c r="A27" s="10" t="s">
        <v>25</v>
      </c>
      <c r="B27" s="12"/>
      <c r="C27" s="12" t="s">
        <v>24</v>
      </c>
      <c r="D27" s="12"/>
      <c r="E27" s="12"/>
      <c r="F27" s="24">
        <f>+F25+F26</f>
        <v>583000000</v>
      </c>
      <c r="G27" s="11"/>
      <c r="H27" s="24"/>
      <c r="I27" s="13"/>
      <c r="J27" s="11"/>
      <c r="K27" s="24" t="e">
        <f>+K25+K26</f>
        <v>#REF!</v>
      </c>
      <c r="L27" s="13" t="e">
        <f>+O27-I27</f>
        <v>#REF!</v>
      </c>
      <c r="M27" s="11"/>
      <c r="N27" s="24" t="e">
        <f>+N25+N26</f>
        <v>#REF!</v>
      </c>
      <c r="O27" s="13" t="e">
        <f>+N27/F27</f>
        <v>#REF!</v>
      </c>
      <c r="P27" s="14"/>
      <c r="Q27" s="1" t="e">
        <f>F27-N27</f>
        <v>#REF!</v>
      </c>
    </row>
    <row r="28" spans="1:21" ht="30" customHeight="1" x14ac:dyDescent="0.15">
      <c r="P28" s="16"/>
    </row>
    <row r="29" spans="1:21" ht="30" customHeight="1" x14ac:dyDescent="0.15">
      <c r="P29" s="16"/>
    </row>
    <row r="30" spans="1:21" ht="30" customHeight="1" x14ac:dyDescent="0.15">
      <c r="K30" s="17"/>
      <c r="P30" s="16"/>
    </row>
    <row r="31" spans="1:21" ht="30" customHeight="1" x14ac:dyDescent="0.15">
      <c r="P31" s="16"/>
    </row>
    <row r="32" spans="1:21" ht="20.100000000000001" customHeight="1" x14ac:dyDescent="0.15">
      <c r="P32" s="16"/>
    </row>
    <row r="33" spans="16:16" ht="20.100000000000001" customHeight="1" x14ac:dyDescent="0.15">
      <c r="P33" s="16"/>
    </row>
    <row r="34" spans="16:16" ht="20.100000000000001" customHeight="1" x14ac:dyDescent="0.15">
      <c r="P34" s="16"/>
    </row>
    <row r="35" spans="16:16" ht="20.100000000000001" customHeight="1" x14ac:dyDescent="0.15">
      <c r="P35" s="16"/>
    </row>
    <row r="36" spans="16:16" ht="20.100000000000001" customHeight="1" x14ac:dyDescent="0.15">
      <c r="P36" s="16"/>
    </row>
    <row r="37" spans="16:16" ht="20.100000000000001" customHeight="1" x14ac:dyDescent="0.15">
      <c r="P37" s="16"/>
    </row>
    <row r="38" spans="16:16" ht="20.100000000000001" customHeight="1" x14ac:dyDescent="0.15">
      <c r="P38" s="16"/>
    </row>
    <row r="39" spans="16:16" ht="20.100000000000001" customHeight="1" x14ac:dyDescent="0.15">
      <c r="P39" s="16"/>
    </row>
    <row r="40" spans="16:16" ht="20.100000000000001" customHeight="1" x14ac:dyDescent="0.15">
      <c r="P40" s="16"/>
    </row>
    <row r="41" spans="16:16" ht="20.100000000000001" customHeight="1" x14ac:dyDescent="0.15">
      <c r="P41" s="16"/>
    </row>
    <row r="42" spans="16:16" x14ac:dyDescent="0.15">
      <c r="P42" s="16"/>
    </row>
    <row r="43" spans="16:16" x14ac:dyDescent="0.15">
      <c r="P43" s="16"/>
    </row>
    <row r="44" spans="16:16" x14ac:dyDescent="0.15">
      <c r="P44" s="16"/>
    </row>
    <row r="45" spans="16:16" x14ac:dyDescent="0.15">
      <c r="P45" s="16"/>
    </row>
    <row r="46" spans="16:16" x14ac:dyDescent="0.15">
      <c r="P46" s="16"/>
    </row>
    <row r="47" spans="16:16" x14ac:dyDescent="0.15">
      <c r="P47" s="16"/>
    </row>
    <row r="48" spans="16:16" x14ac:dyDescent="0.15">
      <c r="P48" s="16"/>
    </row>
    <row r="49" spans="3:16" x14ac:dyDescent="0.15">
      <c r="P49" s="16"/>
    </row>
    <row r="50" spans="3:16" x14ac:dyDescent="0.15">
      <c r="P50" s="16"/>
    </row>
    <row r="51" spans="3:16" x14ac:dyDescent="0.15">
      <c r="P51" s="16"/>
    </row>
    <row r="52" spans="3:16" x14ac:dyDescent="0.15">
      <c r="P52" s="16"/>
    </row>
    <row r="53" spans="3:16" x14ac:dyDescent="0.15">
      <c r="P53" s="16"/>
    </row>
    <row r="54" spans="3:16" x14ac:dyDescent="0.15">
      <c r="P54" s="16"/>
    </row>
    <row r="55" spans="3:16" x14ac:dyDescent="0.15">
      <c r="P55" s="16"/>
    </row>
    <row r="56" spans="3:16" x14ac:dyDescent="0.15">
      <c r="P56" s="16"/>
    </row>
    <row r="57" spans="3:16" x14ac:dyDescent="0.15">
      <c r="P57" s="16"/>
    </row>
    <row r="58" spans="3:16" x14ac:dyDescent="0.15">
      <c r="C58" s="18"/>
      <c r="D58" s="18"/>
      <c r="E58" s="18"/>
      <c r="F58" s="18"/>
      <c r="G58" s="18"/>
      <c r="H58" s="18"/>
      <c r="I58" s="18"/>
      <c r="J58" s="18"/>
      <c r="K58" s="16"/>
      <c r="L58" s="16"/>
      <c r="M58" s="18"/>
      <c r="N58" s="16"/>
      <c r="O58" s="16"/>
      <c r="P58" s="16"/>
    </row>
    <row r="59" spans="3:16" x14ac:dyDescent="0.15">
      <c r="C59" s="18"/>
      <c r="D59" s="18"/>
      <c r="E59" s="18"/>
      <c r="F59" s="18"/>
      <c r="G59" s="18"/>
      <c r="H59" s="18"/>
      <c r="I59" s="18"/>
      <c r="J59" s="18"/>
      <c r="K59" s="16"/>
      <c r="L59" s="16"/>
      <c r="M59" s="18"/>
      <c r="N59" s="16"/>
      <c r="O59" s="16"/>
      <c r="P59" s="16"/>
    </row>
    <row r="60" spans="3:16" x14ac:dyDescent="0.15">
      <c r="C60" s="18"/>
      <c r="D60" s="18"/>
      <c r="E60" s="18"/>
      <c r="F60" s="18"/>
      <c r="G60" s="18"/>
      <c r="H60" s="18"/>
      <c r="I60" s="18"/>
      <c r="J60" s="18"/>
      <c r="K60" s="16"/>
      <c r="L60" s="16"/>
      <c r="M60" s="18"/>
      <c r="N60" s="16"/>
      <c r="O60" s="16"/>
      <c r="P60" s="16"/>
    </row>
    <row r="61" spans="3:16" x14ac:dyDescent="0.15">
      <c r="C61" s="18"/>
      <c r="D61" s="18"/>
      <c r="E61" s="18"/>
      <c r="F61" s="18"/>
      <c r="G61" s="18"/>
      <c r="H61" s="18"/>
      <c r="I61" s="18"/>
      <c r="J61" s="18"/>
      <c r="K61" s="16"/>
      <c r="L61" s="16"/>
      <c r="M61" s="18"/>
      <c r="N61" s="16"/>
      <c r="O61" s="16"/>
      <c r="P61" s="16"/>
    </row>
    <row r="62" spans="3:16" x14ac:dyDescent="0.15">
      <c r="C62" s="18"/>
      <c r="D62" s="18"/>
      <c r="E62" s="18"/>
      <c r="F62" s="18"/>
      <c r="G62" s="18"/>
      <c r="H62" s="18"/>
      <c r="I62" s="18"/>
      <c r="J62" s="18"/>
      <c r="K62" s="16"/>
      <c r="L62" s="16"/>
      <c r="M62" s="18"/>
      <c r="N62" s="16"/>
      <c r="O62" s="16"/>
      <c r="P62" s="16"/>
    </row>
    <row r="63" spans="3:16" x14ac:dyDescent="0.15">
      <c r="C63" s="18"/>
      <c r="D63" s="18"/>
      <c r="E63" s="18"/>
      <c r="F63" s="18"/>
      <c r="G63" s="18"/>
      <c r="H63" s="18"/>
      <c r="I63" s="18"/>
      <c r="J63" s="18"/>
      <c r="K63" s="16"/>
      <c r="L63" s="16"/>
      <c r="M63" s="18"/>
      <c r="N63" s="16"/>
      <c r="O63" s="16"/>
      <c r="P63" s="16"/>
    </row>
    <row r="64" spans="3:16" x14ac:dyDescent="0.15">
      <c r="C64" s="18"/>
      <c r="D64" s="18"/>
      <c r="E64" s="18"/>
      <c r="F64" s="18"/>
      <c r="G64" s="18"/>
      <c r="H64" s="18"/>
      <c r="I64" s="18"/>
      <c r="J64" s="18"/>
      <c r="K64" s="16"/>
      <c r="L64" s="16"/>
      <c r="M64" s="18"/>
      <c r="N64" s="16"/>
      <c r="O64" s="16"/>
      <c r="P64" s="16"/>
    </row>
    <row r="65" spans="3:16" x14ac:dyDescent="0.15">
      <c r="C65" s="18"/>
      <c r="D65" s="18"/>
      <c r="E65" s="18"/>
      <c r="F65" s="18"/>
      <c r="G65" s="18"/>
      <c r="H65" s="18"/>
      <c r="I65" s="18"/>
      <c r="J65" s="18"/>
      <c r="K65" s="16"/>
      <c r="L65" s="16"/>
      <c r="M65" s="18"/>
      <c r="N65" s="16"/>
      <c r="O65" s="16"/>
      <c r="P65" s="16"/>
    </row>
    <row r="66" spans="3:16" x14ac:dyDescent="0.15">
      <c r="C66" s="18"/>
      <c r="D66" s="18"/>
      <c r="E66" s="18"/>
      <c r="F66" s="18"/>
      <c r="G66" s="18"/>
      <c r="H66" s="18"/>
      <c r="I66" s="18"/>
      <c r="J66" s="18"/>
      <c r="K66" s="16"/>
      <c r="L66" s="16"/>
      <c r="M66" s="18"/>
      <c r="N66" s="16"/>
      <c r="O66" s="16"/>
      <c r="P66" s="16"/>
    </row>
    <row r="67" spans="3:16" x14ac:dyDescent="0.15">
      <c r="C67" s="18"/>
      <c r="D67" s="18"/>
      <c r="E67" s="18"/>
      <c r="F67" s="18"/>
      <c r="G67" s="18"/>
      <c r="H67" s="18"/>
      <c r="I67" s="18"/>
      <c r="J67" s="18"/>
      <c r="K67" s="16"/>
      <c r="L67" s="16"/>
      <c r="M67" s="18"/>
      <c r="N67" s="16"/>
      <c r="O67" s="16"/>
      <c r="P67" s="16"/>
    </row>
    <row r="68" spans="3:16" x14ac:dyDescent="0.15">
      <c r="C68" s="18"/>
      <c r="D68" s="18"/>
      <c r="E68" s="18"/>
      <c r="F68" s="18"/>
      <c r="G68" s="18"/>
      <c r="H68" s="18"/>
      <c r="I68" s="18"/>
      <c r="J68" s="18"/>
      <c r="K68" s="16"/>
      <c r="L68" s="16"/>
      <c r="M68" s="18"/>
      <c r="N68" s="16"/>
      <c r="O68" s="16"/>
      <c r="P68" s="16"/>
    </row>
    <row r="69" spans="3:16" x14ac:dyDescent="0.15">
      <c r="C69" s="18"/>
      <c r="D69" s="18"/>
      <c r="E69" s="18"/>
      <c r="F69" s="18"/>
      <c r="G69" s="18"/>
      <c r="H69" s="18"/>
      <c r="I69" s="18"/>
      <c r="J69" s="18"/>
      <c r="K69" s="16"/>
      <c r="L69" s="16"/>
      <c r="M69" s="18"/>
      <c r="N69" s="16"/>
      <c r="O69" s="16"/>
      <c r="P69" s="16"/>
    </row>
    <row r="70" spans="3:16" x14ac:dyDescent="0.15">
      <c r="C70" s="18"/>
      <c r="D70" s="18"/>
      <c r="E70" s="18"/>
      <c r="F70" s="18"/>
      <c r="G70" s="18"/>
      <c r="H70" s="18"/>
      <c r="I70" s="18"/>
      <c r="J70" s="18"/>
      <c r="K70" s="16"/>
      <c r="L70" s="16"/>
      <c r="M70" s="18"/>
      <c r="N70" s="16"/>
      <c r="O70" s="16"/>
      <c r="P70" s="16"/>
    </row>
    <row r="71" spans="3:16" x14ac:dyDescent="0.15">
      <c r="C71" s="18"/>
      <c r="D71" s="18"/>
      <c r="E71" s="18"/>
      <c r="F71" s="18"/>
      <c r="G71" s="18"/>
      <c r="H71" s="18"/>
      <c r="I71" s="18"/>
      <c r="J71" s="18"/>
      <c r="K71" s="16"/>
      <c r="L71" s="16"/>
      <c r="M71" s="18"/>
      <c r="N71" s="16"/>
      <c r="O71" s="16"/>
      <c r="P71" s="16"/>
    </row>
    <row r="72" spans="3:16" x14ac:dyDescent="0.15">
      <c r="C72" s="18"/>
      <c r="D72" s="18"/>
      <c r="E72" s="18"/>
      <c r="F72" s="18"/>
      <c r="G72" s="18"/>
      <c r="H72" s="18"/>
      <c r="I72" s="18"/>
      <c r="J72" s="18"/>
      <c r="K72" s="16"/>
      <c r="L72" s="16"/>
      <c r="M72" s="18"/>
      <c r="N72" s="16"/>
      <c r="O72" s="16"/>
      <c r="P72" s="16"/>
    </row>
    <row r="73" spans="3:16" x14ac:dyDescent="0.15">
      <c r="C73" s="18"/>
      <c r="D73" s="18"/>
      <c r="E73" s="18"/>
      <c r="F73" s="18"/>
      <c r="G73" s="18"/>
      <c r="H73" s="18"/>
      <c r="I73" s="18"/>
      <c r="J73" s="18"/>
      <c r="K73" s="16"/>
      <c r="L73" s="16"/>
      <c r="M73" s="18"/>
      <c r="N73" s="16"/>
      <c r="O73" s="16"/>
      <c r="P73" s="16"/>
    </row>
    <row r="74" spans="3:16" x14ac:dyDescent="0.15">
      <c r="C74" s="18"/>
      <c r="D74" s="18"/>
      <c r="E74" s="18"/>
      <c r="F74" s="18"/>
      <c r="G74" s="18"/>
      <c r="H74" s="18"/>
      <c r="I74" s="18"/>
      <c r="J74" s="18"/>
      <c r="K74" s="16"/>
      <c r="L74" s="16"/>
      <c r="M74" s="18"/>
      <c r="N74" s="16"/>
      <c r="O74" s="16"/>
      <c r="P74" s="16"/>
    </row>
    <row r="75" spans="3:16" x14ac:dyDescent="0.15">
      <c r="C75" s="18"/>
      <c r="D75" s="18"/>
      <c r="E75" s="18"/>
      <c r="F75" s="18"/>
      <c r="G75" s="18"/>
      <c r="H75" s="18"/>
      <c r="I75" s="18"/>
      <c r="J75" s="18"/>
      <c r="K75" s="16"/>
      <c r="L75" s="16"/>
      <c r="M75" s="18"/>
      <c r="N75" s="16"/>
      <c r="O75" s="16"/>
      <c r="P75" s="16"/>
    </row>
    <row r="76" spans="3:16" x14ac:dyDescent="0.15">
      <c r="C76" s="18"/>
      <c r="D76" s="18"/>
      <c r="E76" s="18"/>
      <c r="F76" s="18"/>
      <c r="G76" s="18"/>
      <c r="H76" s="18"/>
      <c r="I76" s="18"/>
      <c r="J76" s="18"/>
      <c r="K76" s="16"/>
      <c r="L76" s="16"/>
      <c r="M76" s="18"/>
      <c r="N76" s="16"/>
      <c r="O76" s="16"/>
      <c r="P76" s="16"/>
    </row>
    <row r="77" spans="3:16" x14ac:dyDescent="0.15">
      <c r="C77" s="18"/>
      <c r="D77" s="18"/>
      <c r="E77" s="18"/>
      <c r="F77" s="18"/>
      <c r="G77" s="18"/>
      <c r="H77" s="18"/>
      <c r="I77" s="18"/>
      <c r="J77" s="18"/>
      <c r="K77" s="16"/>
      <c r="L77" s="16"/>
      <c r="M77" s="18"/>
      <c r="N77" s="16"/>
      <c r="O77" s="16"/>
      <c r="P77" s="16"/>
    </row>
    <row r="78" spans="3:16" x14ac:dyDescent="0.15">
      <c r="C78" s="18"/>
      <c r="D78" s="18"/>
      <c r="E78" s="18"/>
      <c r="F78" s="18"/>
      <c r="G78" s="18"/>
      <c r="H78" s="18"/>
      <c r="I78" s="18"/>
      <c r="J78" s="18"/>
      <c r="K78" s="16"/>
      <c r="L78" s="16"/>
      <c r="M78" s="18"/>
      <c r="N78" s="16"/>
      <c r="O78" s="16"/>
      <c r="P78" s="16"/>
    </row>
    <row r="79" spans="3:16" x14ac:dyDescent="0.15">
      <c r="C79" s="18"/>
      <c r="D79" s="18"/>
      <c r="E79" s="18"/>
      <c r="F79" s="18"/>
      <c r="G79" s="18"/>
      <c r="H79" s="18"/>
      <c r="I79" s="18"/>
      <c r="J79" s="18"/>
      <c r="K79" s="16"/>
      <c r="L79" s="16"/>
      <c r="M79" s="18"/>
      <c r="N79" s="16"/>
      <c r="O79" s="16"/>
      <c r="P79" s="16"/>
    </row>
    <row r="80" spans="3:16" x14ac:dyDescent="0.15">
      <c r="C80" s="18"/>
      <c r="D80" s="18"/>
      <c r="E80" s="18"/>
      <c r="F80" s="18"/>
      <c r="G80" s="18"/>
      <c r="H80" s="18"/>
      <c r="I80" s="18"/>
      <c r="J80" s="18"/>
      <c r="K80" s="16"/>
      <c r="L80" s="16"/>
      <c r="M80" s="18"/>
      <c r="N80" s="16"/>
      <c r="O80" s="16"/>
      <c r="P80" s="16"/>
    </row>
    <row r="81" spans="3:16" x14ac:dyDescent="0.15">
      <c r="C81" s="18"/>
      <c r="D81" s="18"/>
      <c r="E81" s="18"/>
      <c r="F81" s="18"/>
      <c r="G81" s="18"/>
      <c r="H81" s="18"/>
      <c r="I81" s="18"/>
      <c r="J81" s="18"/>
      <c r="K81" s="16"/>
      <c r="L81" s="16"/>
      <c r="M81" s="18"/>
      <c r="N81" s="16"/>
      <c r="O81" s="16"/>
      <c r="P81" s="16"/>
    </row>
    <row r="82" spans="3:16" x14ac:dyDescent="0.15">
      <c r="C82" s="18"/>
      <c r="D82" s="18"/>
      <c r="E82" s="18"/>
      <c r="F82" s="18"/>
      <c r="G82" s="18"/>
      <c r="H82" s="18"/>
      <c r="I82" s="18"/>
      <c r="J82" s="18"/>
      <c r="K82" s="16"/>
      <c r="L82" s="16"/>
      <c r="M82" s="18"/>
      <c r="N82" s="16"/>
      <c r="O82" s="16"/>
      <c r="P82" s="16"/>
    </row>
    <row r="83" spans="3:16" x14ac:dyDescent="0.15">
      <c r="C83" s="18"/>
      <c r="D83" s="18"/>
      <c r="E83" s="18"/>
      <c r="F83" s="18"/>
      <c r="G83" s="18"/>
      <c r="H83" s="18"/>
      <c r="I83" s="18"/>
      <c r="J83" s="18"/>
      <c r="K83" s="16"/>
      <c r="L83" s="16"/>
      <c r="M83" s="18"/>
      <c r="N83" s="16"/>
      <c r="O83" s="16"/>
      <c r="P83" s="16"/>
    </row>
    <row r="84" spans="3:16" x14ac:dyDescent="0.15">
      <c r="C84" s="18"/>
      <c r="D84" s="18"/>
      <c r="E84" s="18"/>
      <c r="F84" s="18"/>
      <c r="G84" s="18"/>
      <c r="H84" s="18"/>
      <c r="I84" s="18"/>
      <c r="J84" s="18"/>
      <c r="K84" s="16"/>
      <c r="L84" s="16"/>
      <c r="M84" s="18"/>
      <c r="N84" s="16"/>
      <c r="O84" s="16"/>
      <c r="P84" s="16"/>
    </row>
    <row r="85" spans="3:16" x14ac:dyDescent="0.15">
      <c r="C85" s="18"/>
      <c r="D85" s="18"/>
      <c r="E85" s="18"/>
      <c r="F85" s="18"/>
      <c r="G85" s="18"/>
      <c r="H85" s="18"/>
      <c r="I85" s="18"/>
      <c r="J85" s="18"/>
      <c r="K85" s="16"/>
      <c r="L85" s="16"/>
      <c r="M85" s="18"/>
      <c r="N85" s="16"/>
      <c r="O85" s="16"/>
      <c r="P85" s="16"/>
    </row>
    <row r="86" spans="3:16" x14ac:dyDescent="0.15">
      <c r="C86" s="18"/>
      <c r="D86" s="18"/>
      <c r="E86" s="18"/>
      <c r="F86" s="18"/>
      <c r="G86" s="18"/>
      <c r="H86" s="18"/>
      <c r="I86" s="18"/>
      <c r="J86" s="18"/>
      <c r="K86" s="16"/>
      <c r="L86" s="16"/>
      <c r="M86" s="18"/>
      <c r="N86" s="16"/>
      <c r="O86" s="16"/>
      <c r="P86" s="16"/>
    </row>
    <row r="87" spans="3:16" x14ac:dyDescent="0.15">
      <c r="C87" s="18"/>
      <c r="D87" s="18"/>
      <c r="E87" s="18"/>
      <c r="F87" s="18"/>
      <c r="G87" s="18"/>
      <c r="H87" s="18"/>
      <c r="I87" s="18"/>
      <c r="J87" s="18"/>
      <c r="K87" s="16"/>
      <c r="L87" s="16"/>
      <c r="M87" s="18"/>
      <c r="N87" s="16"/>
      <c r="O87" s="16"/>
      <c r="P87" s="16"/>
    </row>
    <row r="88" spans="3:16" x14ac:dyDescent="0.15">
      <c r="C88" s="18"/>
      <c r="D88" s="18"/>
      <c r="E88" s="18"/>
      <c r="F88" s="18"/>
      <c r="G88" s="18"/>
      <c r="H88" s="18"/>
      <c r="I88" s="18"/>
      <c r="J88" s="18"/>
      <c r="K88" s="16"/>
      <c r="L88" s="16"/>
      <c r="M88" s="18"/>
      <c r="N88" s="16"/>
      <c r="O88" s="16"/>
      <c r="P88" s="16"/>
    </row>
    <row r="89" spans="3:16" x14ac:dyDescent="0.15">
      <c r="C89" s="18"/>
      <c r="D89" s="18"/>
      <c r="E89" s="18"/>
      <c r="F89" s="18"/>
      <c r="G89" s="18"/>
      <c r="H89" s="18"/>
      <c r="I89" s="18"/>
      <c r="J89" s="18"/>
      <c r="K89" s="16"/>
      <c r="L89" s="16"/>
      <c r="M89" s="18"/>
      <c r="N89" s="16"/>
      <c r="O89" s="16"/>
      <c r="P89" s="16"/>
    </row>
    <row r="90" spans="3:16" x14ac:dyDescent="0.15">
      <c r="C90" s="18"/>
      <c r="D90" s="18"/>
      <c r="E90" s="18"/>
      <c r="F90" s="18"/>
      <c r="G90" s="18"/>
      <c r="H90" s="18"/>
      <c r="I90" s="18"/>
      <c r="J90" s="18"/>
      <c r="K90" s="16"/>
      <c r="L90" s="16"/>
      <c r="M90" s="18"/>
      <c r="N90" s="16"/>
      <c r="O90" s="16"/>
      <c r="P90" s="16"/>
    </row>
    <row r="91" spans="3:16" x14ac:dyDescent="0.15">
      <c r="C91" s="18"/>
      <c r="D91" s="18"/>
      <c r="E91" s="18"/>
      <c r="F91" s="18"/>
      <c r="G91" s="18"/>
      <c r="H91" s="18"/>
      <c r="I91" s="18"/>
      <c r="J91" s="18"/>
      <c r="K91" s="16"/>
      <c r="L91" s="16"/>
      <c r="M91" s="18"/>
      <c r="N91" s="16"/>
      <c r="O91" s="16"/>
      <c r="P91" s="16"/>
    </row>
    <row r="92" spans="3:16" x14ac:dyDescent="0.15">
      <c r="C92" s="18"/>
      <c r="D92" s="18"/>
      <c r="E92" s="18"/>
      <c r="F92" s="18"/>
      <c r="G92" s="18"/>
      <c r="H92" s="18"/>
      <c r="I92" s="18"/>
      <c r="J92" s="18"/>
      <c r="K92" s="16"/>
      <c r="L92" s="16"/>
      <c r="M92" s="18"/>
      <c r="N92" s="16"/>
      <c r="O92" s="16"/>
      <c r="P92" s="16"/>
    </row>
    <row r="93" spans="3:16" x14ac:dyDescent="0.15">
      <c r="C93" s="18"/>
      <c r="D93" s="18"/>
      <c r="E93" s="18"/>
      <c r="F93" s="18"/>
      <c r="G93" s="18"/>
      <c r="H93" s="18"/>
      <c r="I93" s="18"/>
      <c r="J93" s="18"/>
      <c r="K93" s="16"/>
      <c r="L93" s="16"/>
      <c r="M93" s="18"/>
      <c r="N93" s="16"/>
      <c r="O93" s="16"/>
      <c r="P93" s="16"/>
    </row>
    <row r="94" spans="3:16" x14ac:dyDescent="0.15">
      <c r="C94" s="18"/>
      <c r="D94" s="18"/>
      <c r="E94" s="18"/>
      <c r="F94" s="18"/>
      <c r="G94" s="18"/>
      <c r="H94" s="18"/>
      <c r="I94" s="18"/>
      <c r="J94" s="18"/>
      <c r="K94" s="16"/>
      <c r="L94" s="16"/>
      <c r="M94" s="18"/>
      <c r="N94" s="16"/>
      <c r="O94" s="16"/>
      <c r="P94" s="16"/>
    </row>
    <row r="95" spans="3:16" x14ac:dyDescent="0.15">
      <c r="C95" s="18"/>
      <c r="D95" s="18"/>
      <c r="E95" s="18"/>
      <c r="F95" s="18"/>
      <c r="G95" s="18"/>
      <c r="H95" s="18"/>
      <c r="I95" s="18"/>
      <c r="J95" s="18"/>
      <c r="K95" s="16"/>
      <c r="L95" s="16"/>
      <c r="M95" s="18"/>
      <c r="N95" s="16"/>
      <c r="O95" s="16"/>
      <c r="P95" s="16"/>
    </row>
    <row r="96" spans="3:16" x14ac:dyDescent="0.15">
      <c r="C96" s="18"/>
      <c r="D96" s="18"/>
      <c r="E96" s="18"/>
      <c r="F96" s="18"/>
      <c r="G96" s="18"/>
      <c r="H96" s="18"/>
      <c r="I96" s="18"/>
      <c r="J96" s="18"/>
      <c r="K96" s="16"/>
      <c r="L96" s="16"/>
      <c r="M96" s="18"/>
      <c r="N96" s="16"/>
      <c r="O96" s="16"/>
      <c r="P96" s="16"/>
    </row>
    <row r="97" spans="3:16" x14ac:dyDescent="0.15">
      <c r="C97" s="18"/>
      <c r="D97" s="18"/>
      <c r="E97" s="18"/>
      <c r="F97" s="18"/>
      <c r="G97" s="18"/>
      <c r="H97" s="18"/>
      <c r="I97" s="18"/>
      <c r="J97" s="18"/>
      <c r="K97" s="16"/>
      <c r="L97" s="16"/>
      <c r="M97" s="18"/>
      <c r="N97" s="16"/>
      <c r="O97" s="16"/>
      <c r="P97" s="16"/>
    </row>
    <row r="98" spans="3:16" x14ac:dyDescent="0.15">
      <c r="C98" s="18"/>
      <c r="D98" s="18"/>
      <c r="E98" s="18"/>
      <c r="F98" s="18"/>
      <c r="G98" s="18"/>
      <c r="H98" s="18"/>
      <c r="I98" s="18"/>
      <c r="J98" s="18"/>
      <c r="K98" s="16"/>
      <c r="L98" s="16"/>
      <c r="M98" s="18"/>
      <c r="N98" s="16"/>
      <c r="O98" s="16"/>
      <c r="P98" s="16"/>
    </row>
    <row r="99" spans="3:16" x14ac:dyDescent="0.15">
      <c r="C99" s="18"/>
      <c r="D99" s="18"/>
      <c r="E99" s="18"/>
      <c r="F99" s="18"/>
      <c r="G99" s="18"/>
      <c r="H99" s="18"/>
      <c r="I99" s="18"/>
      <c r="J99" s="18"/>
      <c r="K99" s="16"/>
      <c r="L99" s="16"/>
      <c r="M99" s="18"/>
      <c r="N99" s="16"/>
      <c r="O99" s="16"/>
      <c r="P99" s="16"/>
    </row>
    <row r="100" spans="3:16" x14ac:dyDescent="0.15">
      <c r="C100" s="18"/>
      <c r="D100" s="18"/>
      <c r="E100" s="18"/>
      <c r="F100" s="18"/>
      <c r="G100" s="18"/>
      <c r="H100" s="18"/>
      <c r="I100" s="18"/>
      <c r="J100" s="18"/>
      <c r="K100" s="16"/>
      <c r="L100" s="16"/>
      <c r="M100" s="18"/>
      <c r="N100" s="16"/>
      <c r="O100" s="16"/>
      <c r="P100" s="16"/>
    </row>
  </sheetData>
  <mergeCells count="11">
    <mergeCell ref="P5:P6"/>
    <mergeCell ref="A1:P1"/>
    <mergeCell ref="N4:P4"/>
    <mergeCell ref="A5:A6"/>
    <mergeCell ref="B5:B6"/>
    <mergeCell ref="C5:C6"/>
    <mergeCell ref="D5:D6"/>
    <mergeCell ref="E5:F5"/>
    <mergeCell ref="G5:I5"/>
    <mergeCell ref="J5:L5"/>
    <mergeCell ref="M5:O5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AD11"/>
  <sheetViews>
    <sheetView showZeros="0" view="pageBreakPreview" zoomScaleNormal="100" zoomScaleSheetLayoutView="100" workbookViewId="0">
      <pane xSplit="5" ySplit="5" topLeftCell="F6" activePane="bottomRight" state="frozen"/>
      <selection activeCell="A19" sqref="A19:F19"/>
      <selection pane="topRight" activeCell="A19" sqref="A19:F19"/>
      <selection pane="bottomLeft" activeCell="A19" sqref="A19:F19"/>
      <selection pane="bottomRight" activeCell="Y7" sqref="Y7"/>
    </sheetView>
  </sheetViews>
  <sheetFormatPr defaultRowHeight="12" x14ac:dyDescent="0.15"/>
  <cols>
    <col min="1" max="1" width="6.5546875" style="22" customWidth="1"/>
    <col min="2" max="2" width="21.33203125" style="22" bestFit="1" customWidth="1"/>
    <col min="3" max="3" width="16.6640625" style="23" bestFit="1" customWidth="1"/>
    <col min="4" max="5" width="5.88671875" style="23" customWidth="1"/>
    <col min="6" max="6" width="11.6640625" style="23" customWidth="1"/>
    <col min="7" max="13" width="10.77734375" style="23" hidden="1" customWidth="1"/>
    <col min="14" max="22" width="10.77734375" style="19" hidden="1" customWidth="1"/>
    <col min="23" max="23" width="10.77734375" style="35" customWidth="1"/>
    <col min="24" max="24" width="10.88671875" style="19" bestFit="1" customWidth="1"/>
    <col min="25" max="25" width="10.77734375" style="35" customWidth="1"/>
    <col min="26" max="26" width="10.77734375" style="19" customWidth="1"/>
    <col min="27" max="27" width="10.77734375" style="35" customWidth="1"/>
    <col min="28" max="28" width="10.77734375" style="19" customWidth="1"/>
    <col min="29" max="29" width="10.77734375" style="35" customWidth="1"/>
    <col min="30" max="30" width="10.77734375" style="19" customWidth="1"/>
    <col min="31" max="237" width="8.88671875" style="19"/>
    <col min="238" max="238" width="11.77734375" style="19" customWidth="1"/>
    <col min="239" max="239" width="9.77734375" style="19" customWidth="1"/>
    <col min="240" max="240" width="5.88671875" style="19" customWidth="1"/>
    <col min="241" max="241" width="9" style="19" customWidth="1"/>
    <col min="242" max="242" width="8.77734375" style="19" customWidth="1"/>
    <col min="243" max="243" width="13.77734375" style="19" customWidth="1"/>
    <col min="244" max="244" width="8.77734375" style="19" customWidth="1"/>
    <col min="245" max="245" width="13.77734375" style="19" customWidth="1"/>
    <col min="246" max="246" width="7.77734375" style="19" customWidth="1"/>
    <col min="247" max="247" width="8.77734375" style="19" customWidth="1"/>
    <col min="248" max="248" width="13.77734375" style="19" customWidth="1"/>
    <col min="249" max="249" width="7.77734375" style="19" customWidth="1"/>
    <col min="250" max="250" width="8.77734375" style="19" customWidth="1"/>
    <col min="251" max="251" width="13.77734375" style="19" customWidth="1"/>
    <col min="252" max="252" width="7.77734375" style="19" customWidth="1"/>
    <col min="253" max="258" width="0" style="19" hidden="1" customWidth="1"/>
    <col min="259" max="259" width="7.77734375" style="19" customWidth="1"/>
    <col min="260" max="260" width="12.109375" style="19" customWidth="1"/>
    <col min="261" max="493" width="8.88671875" style="19"/>
    <col min="494" max="494" width="11.77734375" style="19" customWidth="1"/>
    <col min="495" max="495" width="9.77734375" style="19" customWidth="1"/>
    <col min="496" max="496" width="5.88671875" style="19" customWidth="1"/>
    <col min="497" max="497" width="9" style="19" customWidth="1"/>
    <col min="498" max="498" width="8.77734375" style="19" customWidth="1"/>
    <col min="499" max="499" width="13.77734375" style="19" customWidth="1"/>
    <col min="500" max="500" width="8.77734375" style="19" customWidth="1"/>
    <col min="501" max="501" width="13.77734375" style="19" customWidth="1"/>
    <col min="502" max="502" width="7.77734375" style="19" customWidth="1"/>
    <col min="503" max="503" width="8.77734375" style="19" customWidth="1"/>
    <col min="504" max="504" width="13.77734375" style="19" customWidth="1"/>
    <col min="505" max="505" width="7.77734375" style="19" customWidth="1"/>
    <col min="506" max="506" width="8.77734375" style="19" customWidth="1"/>
    <col min="507" max="507" width="13.77734375" style="19" customWidth="1"/>
    <col min="508" max="508" width="7.77734375" style="19" customWidth="1"/>
    <col min="509" max="514" width="0" style="19" hidden="1" customWidth="1"/>
    <col min="515" max="515" width="7.77734375" style="19" customWidth="1"/>
    <col min="516" max="516" width="12.109375" style="19" customWidth="1"/>
    <col min="517" max="749" width="8.88671875" style="19"/>
    <col min="750" max="750" width="11.77734375" style="19" customWidth="1"/>
    <col min="751" max="751" width="9.77734375" style="19" customWidth="1"/>
    <col min="752" max="752" width="5.88671875" style="19" customWidth="1"/>
    <col min="753" max="753" width="9" style="19" customWidth="1"/>
    <col min="754" max="754" width="8.77734375" style="19" customWidth="1"/>
    <col min="755" max="755" width="13.77734375" style="19" customWidth="1"/>
    <col min="756" max="756" width="8.77734375" style="19" customWidth="1"/>
    <col min="757" max="757" width="13.77734375" style="19" customWidth="1"/>
    <col min="758" max="758" width="7.77734375" style="19" customWidth="1"/>
    <col min="759" max="759" width="8.77734375" style="19" customWidth="1"/>
    <col min="760" max="760" width="13.77734375" style="19" customWidth="1"/>
    <col min="761" max="761" width="7.77734375" style="19" customWidth="1"/>
    <col min="762" max="762" width="8.77734375" style="19" customWidth="1"/>
    <col min="763" max="763" width="13.77734375" style="19" customWidth="1"/>
    <col min="764" max="764" width="7.77734375" style="19" customWidth="1"/>
    <col min="765" max="770" width="0" style="19" hidden="1" customWidth="1"/>
    <col min="771" max="771" width="7.77734375" style="19" customWidth="1"/>
    <col min="772" max="772" width="12.109375" style="19" customWidth="1"/>
    <col min="773" max="1005" width="8.88671875" style="19"/>
    <col min="1006" max="1006" width="11.77734375" style="19" customWidth="1"/>
    <col min="1007" max="1007" width="9.77734375" style="19" customWidth="1"/>
    <col min="1008" max="1008" width="5.88671875" style="19" customWidth="1"/>
    <col min="1009" max="1009" width="9" style="19" customWidth="1"/>
    <col min="1010" max="1010" width="8.77734375" style="19" customWidth="1"/>
    <col min="1011" max="1011" width="13.77734375" style="19" customWidth="1"/>
    <col min="1012" max="1012" width="8.77734375" style="19" customWidth="1"/>
    <col min="1013" max="1013" width="13.77734375" style="19" customWidth="1"/>
    <col min="1014" max="1014" width="7.77734375" style="19" customWidth="1"/>
    <col min="1015" max="1015" width="8.77734375" style="19" customWidth="1"/>
    <col min="1016" max="1016" width="13.77734375" style="19" customWidth="1"/>
    <col min="1017" max="1017" width="7.77734375" style="19" customWidth="1"/>
    <col min="1018" max="1018" width="8.77734375" style="19" customWidth="1"/>
    <col min="1019" max="1019" width="13.77734375" style="19" customWidth="1"/>
    <col min="1020" max="1020" width="7.77734375" style="19" customWidth="1"/>
    <col min="1021" max="1026" width="0" style="19" hidden="1" customWidth="1"/>
    <col min="1027" max="1027" width="7.77734375" style="19" customWidth="1"/>
    <col min="1028" max="1028" width="12.109375" style="19" customWidth="1"/>
    <col min="1029" max="1261" width="8.88671875" style="19"/>
    <col min="1262" max="1262" width="11.77734375" style="19" customWidth="1"/>
    <col min="1263" max="1263" width="9.77734375" style="19" customWidth="1"/>
    <col min="1264" max="1264" width="5.88671875" style="19" customWidth="1"/>
    <col min="1265" max="1265" width="9" style="19" customWidth="1"/>
    <col min="1266" max="1266" width="8.77734375" style="19" customWidth="1"/>
    <col min="1267" max="1267" width="13.77734375" style="19" customWidth="1"/>
    <col min="1268" max="1268" width="8.77734375" style="19" customWidth="1"/>
    <col min="1269" max="1269" width="13.77734375" style="19" customWidth="1"/>
    <col min="1270" max="1270" width="7.77734375" style="19" customWidth="1"/>
    <col min="1271" max="1271" width="8.77734375" style="19" customWidth="1"/>
    <col min="1272" max="1272" width="13.77734375" style="19" customWidth="1"/>
    <col min="1273" max="1273" width="7.77734375" style="19" customWidth="1"/>
    <col min="1274" max="1274" width="8.77734375" style="19" customWidth="1"/>
    <col min="1275" max="1275" width="13.77734375" style="19" customWidth="1"/>
    <col min="1276" max="1276" width="7.77734375" style="19" customWidth="1"/>
    <col min="1277" max="1282" width="0" style="19" hidden="1" customWidth="1"/>
    <col min="1283" max="1283" width="7.77734375" style="19" customWidth="1"/>
    <col min="1284" max="1284" width="12.109375" style="19" customWidth="1"/>
    <col min="1285" max="1517" width="8.88671875" style="19"/>
    <col min="1518" max="1518" width="11.77734375" style="19" customWidth="1"/>
    <col min="1519" max="1519" width="9.77734375" style="19" customWidth="1"/>
    <col min="1520" max="1520" width="5.88671875" style="19" customWidth="1"/>
    <col min="1521" max="1521" width="9" style="19" customWidth="1"/>
    <col min="1522" max="1522" width="8.77734375" style="19" customWidth="1"/>
    <col min="1523" max="1523" width="13.77734375" style="19" customWidth="1"/>
    <col min="1524" max="1524" width="8.77734375" style="19" customWidth="1"/>
    <col min="1525" max="1525" width="13.77734375" style="19" customWidth="1"/>
    <col min="1526" max="1526" width="7.77734375" style="19" customWidth="1"/>
    <col min="1527" max="1527" width="8.77734375" style="19" customWidth="1"/>
    <col min="1528" max="1528" width="13.77734375" style="19" customWidth="1"/>
    <col min="1529" max="1529" width="7.77734375" style="19" customWidth="1"/>
    <col min="1530" max="1530" width="8.77734375" style="19" customWidth="1"/>
    <col min="1531" max="1531" width="13.77734375" style="19" customWidth="1"/>
    <col min="1532" max="1532" width="7.77734375" style="19" customWidth="1"/>
    <col min="1533" max="1538" width="0" style="19" hidden="1" customWidth="1"/>
    <col min="1539" max="1539" width="7.77734375" style="19" customWidth="1"/>
    <col min="1540" max="1540" width="12.109375" style="19" customWidth="1"/>
    <col min="1541" max="1773" width="8.88671875" style="19"/>
    <col min="1774" max="1774" width="11.77734375" style="19" customWidth="1"/>
    <col min="1775" max="1775" width="9.77734375" style="19" customWidth="1"/>
    <col min="1776" max="1776" width="5.88671875" style="19" customWidth="1"/>
    <col min="1777" max="1777" width="9" style="19" customWidth="1"/>
    <col min="1778" max="1778" width="8.77734375" style="19" customWidth="1"/>
    <col min="1779" max="1779" width="13.77734375" style="19" customWidth="1"/>
    <col min="1780" max="1780" width="8.77734375" style="19" customWidth="1"/>
    <col min="1781" max="1781" width="13.77734375" style="19" customWidth="1"/>
    <col min="1782" max="1782" width="7.77734375" style="19" customWidth="1"/>
    <col min="1783" max="1783" width="8.77734375" style="19" customWidth="1"/>
    <col min="1784" max="1784" width="13.77734375" style="19" customWidth="1"/>
    <col min="1785" max="1785" width="7.77734375" style="19" customWidth="1"/>
    <col min="1786" max="1786" width="8.77734375" style="19" customWidth="1"/>
    <col min="1787" max="1787" width="13.77734375" style="19" customWidth="1"/>
    <col min="1788" max="1788" width="7.77734375" style="19" customWidth="1"/>
    <col min="1789" max="1794" width="0" style="19" hidden="1" customWidth="1"/>
    <col min="1795" max="1795" width="7.77734375" style="19" customWidth="1"/>
    <col min="1796" max="1796" width="12.109375" style="19" customWidth="1"/>
    <col min="1797" max="2029" width="8.88671875" style="19"/>
    <col min="2030" max="2030" width="11.77734375" style="19" customWidth="1"/>
    <col min="2031" max="2031" width="9.77734375" style="19" customWidth="1"/>
    <col min="2032" max="2032" width="5.88671875" style="19" customWidth="1"/>
    <col min="2033" max="2033" width="9" style="19" customWidth="1"/>
    <col min="2034" max="2034" width="8.77734375" style="19" customWidth="1"/>
    <col min="2035" max="2035" width="13.77734375" style="19" customWidth="1"/>
    <col min="2036" max="2036" width="8.77734375" style="19" customWidth="1"/>
    <col min="2037" max="2037" width="13.77734375" style="19" customWidth="1"/>
    <col min="2038" max="2038" width="7.77734375" style="19" customWidth="1"/>
    <col min="2039" max="2039" width="8.77734375" style="19" customWidth="1"/>
    <col min="2040" max="2040" width="13.77734375" style="19" customWidth="1"/>
    <col min="2041" max="2041" width="7.77734375" style="19" customWidth="1"/>
    <col min="2042" max="2042" width="8.77734375" style="19" customWidth="1"/>
    <col min="2043" max="2043" width="13.77734375" style="19" customWidth="1"/>
    <col min="2044" max="2044" width="7.77734375" style="19" customWidth="1"/>
    <col min="2045" max="2050" width="0" style="19" hidden="1" customWidth="1"/>
    <col min="2051" max="2051" width="7.77734375" style="19" customWidth="1"/>
    <col min="2052" max="2052" width="12.109375" style="19" customWidth="1"/>
    <col min="2053" max="2285" width="8.88671875" style="19"/>
    <col min="2286" max="2286" width="11.77734375" style="19" customWidth="1"/>
    <col min="2287" max="2287" width="9.77734375" style="19" customWidth="1"/>
    <col min="2288" max="2288" width="5.88671875" style="19" customWidth="1"/>
    <col min="2289" max="2289" width="9" style="19" customWidth="1"/>
    <col min="2290" max="2290" width="8.77734375" style="19" customWidth="1"/>
    <col min="2291" max="2291" width="13.77734375" style="19" customWidth="1"/>
    <col min="2292" max="2292" width="8.77734375" style="19" customWidth="1"/>
    <col min="2293" max="2293" width="13.77734375" style="19" customWidth="1"/>
    <col min="2294" max="2294" width="7.77734375" style="19" customWidth="1"/>
    <col min="2295" max="2295" width="8.77734375" style="19" customWidth="1"/>
    <col min="2296" max="2296" width="13.77734375" style="19" customWidth="1"/>
    <col min="2297" max="2297" width="7.77734375" style="19" customWidth="1"/>
    <col min="2298" max="2298" width="8.77734375" style="19" customWidth="1"/>
    <col min="2299" max="2299" width="13.77734375" style="19" customWidth="1"/>
    <col min="2300" max="2300" width="7.77734375" style="19" customWidth="1"/>
    <col min="2301" max="2306" width="0" style="19" hidden="1" customWidth="1"/>
    <col min="2307" max="2307" width="7.77734375" style="19" customWidth="1"/>
    <col min="2308" max="2308" width="12.109375" style="19" customWidth="1"/>
    <col min="2309" max="2541" width="8.88671875" style="19"/>
    <col min="2542" max="2542" width="11.77734375" style="19" customWidth="1"/>
    <col min="2543" max="2543" width="9.77734375" style="19" customWidth="1"/>
    <col min="2544" max="2544" width="5.88671875" style="19" customWidth="1"/>
    <col min="2545" max="2545" width="9" style="19" customWidth="1"/>
    <col min="2546" max="2546" width="8.77734375" style="19" customWidth="1"/>
    <col min="2547" max="2547" width="13.77734375" style="19" customWidth="1"/>
    <col min="2548" max="2548" width="8.77734375" style="19" customWidth="1"/>
    <col min="2549" max="2549" width="13.77734375" style="19" customWidth="1"/>
    <col min="2550" max="2550" width="7.77734375" style="19" customWidth="1"/>
    <col min="2551" max="2551" width="8.77734375" style="19" customWidth="1"/>
    <col min="2552" max="2552" width="13.77734375" style="19" customWidth="1"/>
    <col min="2553" max="2553" width="7.77734375" style="19" customWidth="1"/>
    <col min="2554" max="2554" width="8.77734375" style="19" customWidth="1"/>
    <col min="2555" max="2555" width="13.77734375" style="19" customWidth="1"/>
    <col min="2556" max="2556" width="7.77734375" style="19" customWidth="1"/>
    <col min="2557" max="2562" width="0" style="19" hidden="1" customWidth="1"/>
    <col min="2563" max="2563" width="7.77734375" style="19" customWidth="1"/>
    <col min="2564" max="2564" width="12.109375" style="19" customWidth="1"/>
    <col min="2565" max="2797" width="8.88671875" style="19"/>
    <col min="2798" max="2798" width="11.77734375" style="19" customWidth="1"/>
    <col min="2799" max="2799" width="9.77734375" style="19" customWidth="1"/>
    <col min="2800" max="2800" width="5.88671875" style="19" customWidth="1"/>
    <col min="2801" max="2801" width="9" style="19" customWidth="1"/>
    <col min="2802" max="2802" width="8.77734375" style="19" customWidth="1"/>
    <col min="2803" max="2803" width="13.77734375" style="19" customWidth="1"/>
    <col min="2804" max="2804" width="8.77734375" style="19" customWidth="1"/>
    <col min="2805" max="2805" width="13.77734375" style="19" customWidth="1"/>
    <col min="2806" max="2806" width="7.77734375" style="19" customWidth="1"/>
    <col min="2807" max="2807" width="8.77734375" style="19" customWidth="1"/>
    <col min="2808" max="2808" width="13.77734375" style="19" customWidth="1"/>
    <col min="2809" max="2809" width="7.77734375" style="19" customWidth="1"/>
    <col min="2810" max="2810" width="8.77734375" style="19" customWidth="1"/>
    <col min="2811" max="2811" width="13.77734375" style="19" customWidth="1"/>
    <col min="2812" max="2812" width="7.77734375" style="19" customWidth="1"/>
    <col min="2813" max="2818" width="0" style="19" hidden="1" customWidth="1"/>
    <col min="2819" max="2819" width="7.77734375" style="19" customWidth="1"/>
    <col min="2820" max="2820" width="12.109375" style="19" customWidth="1"/>
    <col min="2821" max="3053" width="8.88671875" style="19"/>
    <col min="3054" max="3054" width="11.77734375" style="19" customWidth="1"/>
    <col min="3055" max="3055" width="9.77734375" style="19" customWidth="1"/>
    <col min="3056" max="3056" width="5.88671875" style="19" customWidth="1"/>
    <col min="3057" max="3057" width="9" style="19" customWidth="1"/>
    <col min="3058" max="3058" width="8.77734375" style="19" customWidth="1"/>
    <col min="3059" max="3059" width="13.77734375" style="19" customWidth="1"/>
    <col min="3060" max="3060" width="8.77734375" style="19" customWidth="1"/>
    <col min="3061" max="3061" width="13.77734375" style="19" customWidth="1"/>
    <col min="3062" max="3062" width="7.77734375" style="19" customWidth="1"/>
    <col min="3063" max="3063" width="8.77734375" style="19" customWidth="1"/>
    <col min="3064" max="3064" width="13.77734375" style="19" customWidth="1"/>
    <col min="3065" max="3065" width="7.77734375" style="19" customWidth="1"/>
    <col min="3066" max="3066" width="8.77734375" style="19" customWidth="1"/>
    <col min="3067" max="3067" width="13.77734375" style="19" customWidth="1"/>
    <col min="3068" max="3068" width="7.77734375" style="19" customWidth="1"/>
    <col min="3069" max="3074" width="0" style="19" hidden="1" customWidth="1"/>
    <col min="3075" max="3075" width="7.77734375" style="19" customWidth="1"/>
    <col min="3076" max="3076" width="12.109375" style="19" customWidth="1"/>
    <col min="3077" max="3309" width="8.88671875" style="19"/>
    <col min="3310" max="3310" width="11.77734375" style="19" customWidth="1"/>
    <col min="3311" max="3311" width="9.77734375" style="19" customWidth="1"/>
    <col min="3312" max="3312" width="5.88671875" style="19" customWidth="1"/>
    <col min="3313" max="3313" width="9" style="19" customWidth="1"/>
    <col min="3314" max="3314" width="8.77734375" style="19" customWidth="1"/>
    <col min="3315" max="3315" width="13.77734375" style="19" customWidth="1"/>
    <col min="3316" max="3316" width="8.77734375" style="19" customWidth="1"/>
    <col min="3317" max="3317" width="13.77734375" style="19" customWidth="1"/>
    <col min="3318" max="3318" width="7.77734375" style="19" customWidth="1"/>
    <col min="3319" max="3319" width="8.77734375" style="19" customWidth="1"/>
    <col min="3320" max="3320" width="13.77734375" style="19" customWidth="1"/>
    <col min="3321" max="3321" width="7.77734375" style="19" customWidth="1"/>
    <col min="3322" max="3322" width="8.77734375" style="19" customWidth="1"/>
    <col min="3323" max="3323" width="13.77734375" style="19" customWidth="1"/>
    <col min="3324" max="3324" width="7.77734375" style="19" customWidth="1"/>
    <col min="3325" max="3330" width="0" style="19" hidden="1" customWidth="1"/>
    <col min="3331" max="3331" width="7.77734375" style="19" customWidth="1"/>
    <col min="3332" max="3332" width="12.109375" style="19" customWidth="1"/>
    <col min="3333" max="3565" width="8.88671875" style="19"/>
    <col min="3566" max="3566" width="11.77734375" style="19" customWidth="1"/>
    <col min="3567" max="3567" width="9.77734375" style="19" customWidth="1"/>
    <col min="3568" max="3568" width="5.88671875" style="19" customWidth="1"/>
    <col min="3569" max="3569" width="9" style="19" customWidth="1"/>
    <col min="3570" max="3570" width="8.77734375" style="19" customWidth="1"/>
    <col min="3571" max="3571" width="13.77734375" style="19" customWidth="1"/>
    <col min="3572" max="3572" width="8.77734375" style="19" customWidth="1"/>
    <col min="3573" max="3573" width="13.77734375" style="19" customWidth="1"/>
    <col min="3574" max="3574" width="7.77734375" style="19" customWidth="1"/>
    <col min="3575" max="3575" width="8.77734375" style="19" customWidth="1"/>
    <col min="3576" max="3576" width="13.77734375" style="19" customWidth="1"/>
    <col min="3577" max="3577" width="7.77734375" style="19" customWidth="1"/>
    <col min="3578" max="3578" width="8.77734375" style="19" customWidth="1"/>
    <col min="3579" max="3579" width="13.77734375" style="19" customWidth="1"/>
    <col min="3580" max="3580" width="7.77734375" style="19" customWidth="1"/>
    <col min="3581" max="3586" width="0" style="19" hidden="1" customWidth="1"/>
    <col min="3587" max="3587" width="7.77734375" style="19" customWidth="1"/>
    <col min="3588" max="3588" width="12.109375" style="19" customWidth="1"/>
    <col min="3589" max="3821" width="8.88671875" style="19"/>
    <col min="3822" max="3822" width="11.77734375" style="19" customWidth="1"/>
    <col min="3823" max="3823" width="9.77734375" style="19" customWidth="1"/>
    <col min="3824" max="3824" width="5.88671875" style="19" customWidth="1"/>
    <col min="3825" max="3825" width="9" style="19" customWidth="1"/>
    <col min="3826" max="3826" width="8.77734375" style="19" customWidth="1"/>
    <col min="3827" max="3827" width="13.77734375" style="19" customWidth="1"/>
    <col min="3828" max="3828" width="8.77734375" style="19" customWidth="1"/>
    <col min="3829" max="3829" width="13.77734375" style="19" customWidth="1"/>
    <col min="3830" max="3830" width="7.77734375" style="19" customWidth="1"/>
    <col min="3831" max="3831" width="8.77734375" style="19" customWidth="1"/>
    <col min="3832" max="3832" width="13.77734375" style="19" customWidth="1"/>
    <col min="3833" max="3833" width="7.77734375" style="19" customWidth="1"/>
    <col min="3834" max="3834" width="8.77734375" style="19" customWidth="1"/>
    <col min="3835" max="3835" width="13.77734375" style="19" customWidth="1"/>
    <col min="3836" max="3836" width="7.77734375" style="19" customWidth="1"/>
    <col min="3837" max="3842" width="0" style="19" hidden="1" customWidth="1"/>
    <col min="3843" max="3843" width="7.77734375" style="19" customWidth="1"/>
    <col min="3844" max="3844" width="12.109375" style="19" customWidth="1"/>
    <col min="3845" max="4077" width="8.88671875" style="19"/>
    <col min="4078" max="4078" width="11.77734375" style="19" customWidth="1"/>
    <col min="4079" max="4079" width="9.77734375" style="19" customWidth="1"/>
    <col min="4080" max="4080" width="5.88671875" style="19" customWidth="1"/>
    <col min="4081" max="4081" width="9" style="19" customWidth="1"/>
    <col min="4082" max="4082" width="8.77734375" style="19" customWidth="1"/>
    <col min="4083" max="4083" width="13.77734375" style="19" customWidth="1"/>
    <col min="4084" max="4084" width="8.77734375" style="19" customWidth="1"/>
    <col min="4085" max="4085" width="13.77734375" style="19" customWidth="1"/>
    <col min="4086" max="4086" width="7.77734375" style="19" customWidth="1"/>
    <col min="4087" max="4087" width="8.77734375" style="19" customWidth="1"/>
    <col min="4088" max="4088" width="13.77734375" style="19" customWidth="1"/>
    <col min="4089" max="4089" width="7.77734375" style="19" customWidth="1"/>
    <col min="4090" max="4090" width="8.77734375" style="19" customWidth="1"/>
    <col min="4091" max="4091" width="13.77734375" style="19" customWidth="1"/>
    <col min="4092" max="4092" width="7.77734375" style="19" customWidth="1"/>
    <col min="4093" max="4098" width="0" style="19" hidden="1" customWidth="1"/>
    <col min="4099" max="4099" width="7.77734375" style="19" customWidth="1"/>
    <col min="4100" max="4100" width="12.109375" style="19" customWidth="1"/>
    <col min="4101" max="4333" width="8.88671875" style="19"/>
    <col min="4334" max="4334" width="11.77734375" style="19" customWidth="1"/>
    <col min="4335" max="4335" width="9.77734375" style="19" customWidth="1"/>
    <col min="4336" max="4336" width="5.88671875" style="19" customWidth="1"/>
    <col min="4337" max="4337" width="9" style="19" customWidth="1"/>
    <col min="4338" max="4338" width="8.77734375" style="19" customWidth="1"/>
    <col min="4339" max="4339" width="13.77734375" style="19" customWidth="1"/>
    <col min="4340" max="4340" width="8.77734375" style="19" customWidth="1"/>
    <col min="4341" max="4341" width="13.77734375" style="19" customWidth="1"/>
    <col min="4342" max="4342" width="7.77734375" style="19" customWidth="1"/>
    <col min="4343" max="4343" width="8.77734375" style="19" customWidth="1"/>
    <col min="4344" max="4344" width="13.77734375" style="19" customWidth="1"/>
    <col min="4345" max="4345" width="7.77734375" style="19" customWidth="1"/>
    <col min="4346" max="4346" width="8.77734375" style="19" customWidth="1"/>
    <col min="4347" max="4347" width="13.77734375" style="19" customWidth="1"/>
    <col min="4348" max="4348" width="7.77734375" style="19" customWidth="1"/>
    <col min="4349" max="4354" width="0" style="19" hidden="1" customWidth="1"/>
    <col min="4355" max="4355" width="7.77734375" style="19" customWidth="1"/>
    <col min="4356" max="4356" width="12.109375" style="19" customWidth="1"/>
    <col min="4357" max="4589" width="8.88671875" style="19"/>
    <col min="4590" max="4590" width="11.77734375" style="19" customWidth="1"/>
    <col min="4591" max="4591" width="9.77734375" style="19" customWidth="1"/>
    <col min="4592" max="4592" width="5.88671875" style="19" customWidth="1"/>
    <col min="4593" max="4593" width="9" style="19" customWidth="1"/>
    <col min="4594" max="4594" width="8.77734375" style="19" customWidth="1"/>
    <col min="4595" max="4595" width="13.77734375" style="19" customWidth="1"/>
    <col min="4596" max="4596" width="8.77734375" style="19" customWidth="1"/>
    <col min="4597" max="4597" width="13.77734375" style="19" customWidth="1"/>
    <col min="4598" max="4598" width="7.77734375" style="19" customWidth="1"/>
    <col min="4599" max="4599" width="8.77734375" style="19" customWidth="1"/>
    <col min="4600" max="4600" width="13.77734375" style="19" customWidth="1"/>
    <col min="4601" max="4601" width="7.77734375" style="19" customWidth="1"/>
    <col min="4602" max="4602" width="8.77734375" style="19" customWidth="1"/>
    <col min="4603" max="4603" width="13.77734375" style="19" customWidth="1"/>
    <col min="4604" max="4604" width="7.77734375" style="19" customWidth="1"/>
    <col min="4605" max="4610" width="0" style="19" hidden="1" customWidth="1"/>
    <col min="4611" max="4611" width="7.77734375" style="19" customWidth="1"/>
    <col min="4612" max="4612" width="12.109375" style="19" customWidth="1"/>
    <col min="4613" max="4845" width="8.88671875" style="19"/>
    <col min="4846" max="4846" width="11.77734375" style="19" customWidth="1"/>
    <col min="4847" max="4847" width="9.77734375" style="19" customWidth="1"/>
    <col min="4848" max="4848" width="5.88671875" style="19" customWidth="1"/>
    <col min="4849" max="4849" width="9" style="19" customWidth="1"/>
    <col min="4850" max="4850" width="8.77734375" style="19" customWidth="1"/>
    <col min="4851" max="4851" width="13.77734375" style="19" customWidth="1"/>
    <col min="4852" max="4852" width="8.77734375" style="19" customWidth="1"/>
    <col min="4853" max="4853" width="13.77734375" style="19" customWidth="1"/>
    <col min="4854" max="4854" width="7.77734375" style="19" customWidth="1"/>
    <col min="4855" max="4855" width="8.77734375" style="19" customWidth="1"/>
    <col min="4856" max="4856" width="13.77734375" style="19" customWidth="1"/>
    <col min="4857" max="4857" width="7.77734375" style="19" customWidth="1"/>
    <col min="4858" max="4858" width="8.77734375" style="19" customWidth="1"/>
    <col min="4859" max="4859" width="13.77734375" style="19" customWidth="1"/>
    <col min="4860" max="4860" width="7.77734375" style="19" customWidth="1"/>
    <col min="4861" max="4866" width="0" style="19" hidden="1" customWidth="1"/>
    <col min="4867" max="4867" width="7.77734375" style="19" customWidth="1"/>
    <col min="4868" max="4868" width="12.109375" style="19" customWidth="1"/>
    <col min="4869" max="5101" width="8.88671875" style="19"/>
    <col min="5102" max="5102" width="11.77734375" style="19" customWidth="1"/>
    <col min="5103" max="5103" width="9.77734375" style="19" customWidth="1"/>
    <col min="5104" max="5104" width="5.88671875" style="19" customWidth="1"/>
    <col min="5105" max="5105" width="9" style="19" customWidth="1"/>
    <col min="5106" max="5106" width="8.77734375" style="19" customWidth="1"/>
    <col min="5107" max="5107" width="13.77734375" style="19" customWidth="1"/>
    <col min="5108" max="5108" width="8.77734375" style="19" customWidth="1"/>
    <col min="5109" max="5109" width="13.77734375" style="19" customWidth="1"/>
    <col min="5110" max="5110" width="7.77734375" style="19" customWidth="1"/>
    <col min="5111" max="5111" width="8.77734375" style="19" customWidth="1"/>
    <col min="5112" max="5112" width="13.77734375" style="19" customWidth="1"/>
    <col min="5113" max="5113" width="7.77734375" style="19" customWidth="1"/>
    <col min="5114" max="5114" width="8.77734375" style="19" customWidth="1"/>
    <col min="5115" max="5115" width="13.77734375" style="19" customWidth="1"/>
    <col min="5116" max="5116" width="7.77734375" style="19" customWidth="1"/>
    <col min="5117" max="5122" width="0" style="19" hidden="1" customWidth="1"/>
    <col min="5123" max="5123" width="7.77734375" style="19" customWidth="1"/>
    <col min="5124" max="5124" width="12.109375" style="19" customWidth="1"/>
    <col min="5125" max="5357" width="8.88671875" style="19"/>
    <col min="5358" max="5358" width="11.77734375" style="19" customWidth="1"/>
    <col min="5359" max="5359" width="9.77734375" style="19" customWidth="1"/>
    <col min="5360" max="5360" width="5.88671875" style="19" customWidth="1"/>
    <col min="5361" max="5361" width="9" style="19" customWidth="1"/>
    <col min="5362" max="5362" width="8.77734375" style="19" customWidth="1"/>
    <col min="5363" max="5363" width="13.77734375" style="19" customWidth="1"/>
    <col min="5364" max="5364" width="8.77734375" style="19" customWidth="1"/>
    <col min="5365" max="5365" width="13.77734375" style="19" customWidth="1"/>
    <col min="5366" max="5366" width="7.77734375" style="19" customWidth="1"/>
    <col min="5367" max="5367" width="8.77734375" style="19" customWidth="1"/>
    <col min="5368" max="5368" width="13.77734375" style="19" customWidth="1"/>
    <col min="5369" max="5369" width="7.77734375" style="19" customWidth="1"/>
    <col min="5370" max="5370" width="8.77734375" style="19" customWidth="1"/>
    <col min="5371" max="5371" width="13.77734375" style="19" customWidth="1"/>
    <col min="5372" max="5372" width="7.77734375" style="19" customWidth="1"/>
    <col min="5373" max="5378" width="0" style="19" hidden="1" customWidth="1"/>
    <col min="5379" max="5379" width="7.77734375" style="19" customWidth="1"/>
    <col min="5380" max="5380" width="12.109375" style="19" customWidth="1"/>
    <col min="5381" max="5613" width="8.88671875" style="19"/>
    <col min="5614" max="5614" width="11.77734375" style="19" customWidth="1"/>
    <col min="5615" max="5615" width="9.77734375" style="19" customWidth="1"/>
    <col min="5616" max="5616" width="5.88671875" style="19" customWidth="1"/>
    <col min="5617" max="5617" width="9" style="19" customWidth="1"/>
    <col min="5618" max="5618" width="8.77734375" style="19" customWidth="1"/>
    <col min="5619" max="5619" width="13.77734375" style="19" customWidth="1"/>
    <col min="5620" max="5620" width="8.77734375" style="19" customWidth="1"/>
    <col min="5621" max="5621" width="13.77734375" style="19" customWidth="1"/>
    <col min="5622" max="5622" width="7.77734375" style="19" customWidth="1"/>
    <col min="5623" max="5623" width="8.77734375" style="19" customWidth="1"/>
    <col min="5624" max="5624" width="13.77734375" style="19" customWidth="1"/>
    <col min="5625" max="5625" width="7.77734375" style="19" customWidth="1"/>
    <col min="5626" max="5626" width="8.77734375" style="19" customWidth="1"/>
    <col min="5627" max="5627" width="13.77734375" style="19" customWidth="1"/>
    <col min="5628" max="5628" width="7.77734375" style="19" customWidth="1"/>
    <col min="5629" max="5634" width="0" style="19" hidden="1" customWidth="1"/>
    <col min="5635" max="5635" width="7.77734375" style="19" customWidth="1"/>
    <col min="5636" max="5636" width="12.109375" style="19" customWidth="1"/>
    <col min="5637" max="5869" width="8.88671875" style="19"/>
    <col min="5870" max="5870" width="11.77734375" style="19" customWidth="1"/>
    <col min="5871" max="5871" width="9.77734375" style="19" customWidth="1"/>
    <col min="5872" max="5872" width="5.88671875" style="19" customWidth="1"/>
    <col min="5873" max="5873" width="9" style="19" customWidth="1"/>
    <col min="5874" max="5874" width="8.77734375" style="19" customWidth="1"/>
    <col min="5875" max="5875" width="13.77734375" style="19" customWidth="1"/>
    <col min="5876" max="5876" width="8.77734375" style="19" customWidth="1"/>
    <col min="5877" max="5877" width="13.77734375" style="19" customWidth="1"/>
    <col min="5878" max="5878" width="7.77734375" style="19" customWidth="1"/>
    <col min="5879" max="5879" width="8.77734375" style="19" customWidth="1"/>
    <col min="5880" max="5880" width="13.77734375" style="19" customWidth="1"/>
    <col min="5881" max="5881" width="7.77734375" style="19" customWidth="1"/>
    <col min="5882" max="5882" width="8.77734375" style="19" customWidth="1"/>
    <col min="5883" max="5883" width="13.77734375" style="19" customWidth="1"/>
    <col min="5884" max="5884" width="7.77734375" style="19" customWidth="1"/>
    <col min="5885" max="5890" width="0" style="19" hidden="1" customWidth="1"/>
    <col min="5891" max="5891" width="7.77734375" style="19" customWidth="1"/>
    <col min="5892" max="5892" width="12.109375" style="19" customWidth="1"/>
    <col min="5893" max="6125" width="8.88671875" style="19"/>
    <col min="6126" max="6126" width="11.77734375" style="19" customWidth="1"/>
    <col min="6127" max="6127" width="9.77734375" style="19" customWidth="1"/>
    <col min="6128" max="6128" width="5.88671875" style="19" customWidth="1"/>
    <col min="6129" max="6129" width="9" style="19" customWidth="1"/>
    <col min="6130" max="6130" width="8.77734375" style="19" customWidth="1"/>
    <col min="6131" max="6131" width="13.77734375" style="19" customWidth="1"/>
    <col min="6132" max="6132" width="8.77734375" style="19" customWidth="1"/>
    <col min="6133" max="6133" width="13.77734375" style="19" customWidth="1"/>
    <col min="6134" max="6134" width="7.77734375" style="19" customWidth="1"/>
    <col min="6135" max="6135" width="8.77734375" style="19" customWidth="1"/>
    <col min="6136" max="6136" width="13.77734375" style="19" customWidth="1"/>
    <col min="6137" max="6137" width="7.77734375" style="19" customWidth="1"/>
    <col min="6138" max="6138" width="8.77734375" style="19" customWidth="1"/>
    <col min="6139" max="6139" width="13.77734375" style="19" customWidth="1"/>
    <col min="6140" max="6140" width="7.77734375" style="19" customWidth="1"/>
    <col min="6141" max="6146" width="0" style="19" hidden="1" customWidth="1"/>
    <col min="6147" max="6147" width="7.77734375" style="19" customWidth="1"/>
    <col min="6148" max="6148" width="12.109375" style="19" customWidth="1"/>
    <col min="6149" max="6381" width="8.88671875" style="19"/>
    <col min="6382" max="6382" width="11.77734375" style="19" customWidth="1"/>
    <col min="6383" max="6383" width="9.77734375" style="19" customWidth="1"/>
    <col min="6384" max="6384" width="5.88671875" style="19" customWidth="1"/>
    <col min="6385" max="6385" width="9" style="19" customWidth="1"/>
    <col min="6386" max="6386" width="8.77734375" style="19" customWidth="1"/>
    <col min="6387" max="6387" width="13.77734375" style="19" customWidth="1"/>
    <col min="6388" max="6388" width="8.77734375" style="19" customWidth="1"/>
    <col min="6389" max="6389" width="13.77734375" style="19" customWidth="1"/>
    <col min="6390" max="6390" width="7.77734375" style="19" customWidth="1"/>
    <col min="6391" max="6391" width="8.77734375" style="19" customWidth="1"/>
    <col min="6392" max="6392" width="13.77734375" style="19" customWidth="1"/>
    <col min="6393" max="6393" width="7.77734375" style="19" customWidth="1"/>
    <col min="6394" max="6394" width="8.77734375" style="19" customWidth="1"/>
    <col min="6395" max="6395" width="13.77734375" style="19" customWidth="1"/>
    <col min="6396" max="6396" width="7.77734375" style="19" customWidth="1"/>
    <col min="6397" max="6402" width="0" style="19" hidden="1" customWidth="1"/>
    <col min="6403" max="6403" width="7.77734375" style="19" customWidth="1"/>
    <col min="6404" max="6404" width="12.109375" style="19" customWidth="1"/>
    <col min="6405" max="6637" width="8.88671875" style="19"/>
    <col min="6638" max="6638" width="11.77734375" style="19" customWidth="1"/>
    <col min="6639" max="6639" width="9.77734375" style="19" customWidth="1"/>
    <col min="6640" max="6640" width="5.88671875" style="19" customWidth="1"/>
    <col min="6641" max="6641" width="9" style="19" customWidth="1"/>
    <col min="6642" max="6642" width="8.77734375" style="19" customWidth="1"/>
    <col min="6643" max="6643" width="13.77734375" style="19" customWidth="1"/>
    <col min="6644" max="6644" width="8.77734375" style="19" customWidth="1"/>
    <col min="6645" max="6645" width="13.77734375" style="19" customWidth="1"/>
    <col min="6646" max="6646" width="7.77734375" style="19" customWidth="1"/>
    <col min="6647" max="6647" width="8.77734375" style="19" customWidth="1"/>
    <col min="6648" max="6648" width="13.77734375" style="19" customWidth="1"/>
    <col min="6649" max="6649" width="7.77734375" style="19" customWidth="1"/>
    <col min="6650" max="6650" width="8.77734375" style="19" customWidth="1"/>
    <col min="6651" max="6651" width="13.77734375" style="19" customWidth="1"/>
    <col min="6652" max="6652" width="7.77734375" style="19" customWidth="1"/>
    <col min="6653" max="6658" width="0" style="19" hidden="1" customWidth="1"/>
    <col min="6659" max="6659" width="7.77734375" style="19" customWidth="1"/>
    <col min="6660" max="6660" width="12.109375" style="19" customWidth="1"/>
    <col min="6661" max="6893" width="8.88671875" style="19"/>
    <col min="6894" max="6894" width="11.77734375" style="19" customWidth="1"/>
    <col min="6895" max="6895" width="9.77734375" style="19" customWidth="1"/>
    <col min="6896" max="6896" width="5.88671875" style="19" customWidth="1"/>
    <col min="6897" max="6897" width="9" style="19" customWidth="1"/>
    <col min="6898" max="6898" width="8.77734375" style="19" customWidth="1"/>
    <col min="6899" max="6899" width="13.77734375" style="19" customWidth="1"/>
    <col min="6900" max="6900" width="8.77734375" style="19" customWidth="1"/>
    <col min="6901" max="6901" width="13.77734375" style="19" customWidth="1"/>
    <col min="6902" max="6902" width="7.77734375" style="19" customWidth="1"/>
    <col min="6903" max="6903" width="8.77734375" style="19" customWidth="1"/>
    <col min="6904" max="6904" width="13.77734375" style="19" customWidth="1"/>
    <col min="6905" max="6905" width="7.77734375" style="19" customWidth="1"/>
    <col min="6906" max="6906" width="8.77734375" style="19" customWidth="1"/>
    <col min="6907" max="6907" width="13.77734375" style="19" customWidth="1"/>
    <col min="6908" max="6908" width="7.77734375" style="19" customWidth="1"/>
    <col min="6909" max="6914" width="0" style="19" hidden="1" customWidth="1"/>
    <col min="6915" max="6915" width="7.77734375" style="19" customWidth="1"/>
    <col min="6916" max="6916" width="12.109375" style="19" customWidth="1"/>
    <col min="6917" max="7149" width="8.88671875" style="19"/>
    <col min="7150" max="7150" width="11.77734375" style="19" customWidth="1"/>
    <col min="7151" max="7151" width="9.77734375" style="19" customWidth="1"/>
    <col min="7152" max="7152" width="5.88671875" style="19" customWidth="1"/>
    <col min="7153" max="7153" width="9" style="19" customWidth="1"/>
    <col min="7154" max="7154" width="8.77734375" style="19" customWidth="1"/>
    <col min="7155" max="7155" width="13.77734375" style="19" customWidth="1"/>
    <col min="7156" max="7156" width="8.77734375" style="19" customWidth="1"/>
    <col min="7157" max="7157" width="13.77734375" style="19" customWidth="1"/>
    <col min="7158" max="7158" width="7.77734375" style="19" customWidth="1"/>
    <col min="7159" max="7159" width="8.77734375" style="19" customWidth="1"/>
    <col min="7160" max="7160" width="13.77734375" style="19" customWidth="1"/>
    <col min="7161" max="7161" width="7.77734375" style="19" customWidth="1"/>
    <col min="7162" max="7162" width="8.77734375" style="19" customWidth="1"/>
    <col min="7163" max="7163" width="13.77734375" style="19" customWidth="1"/>
    <col min="7164" max="7164" width="7.77734375" style="19" customWidth="1"/>
    <col min="7165" max="7170" width="0" style="19" hidden="1" customWidth="1"/>
    <col min="7171" max="7171" width="7.77734375" style="19" customWidth="1"/>
    <col min="7172" max="7172" width="12.109375" style="19" customWidth="1"/>
    <col min="7173" max="7405" width="8.88671875" style="19"/>
    <col min="7406" max="7406" width="11.77734375" style="19" customWidth="1"/>
    <col min="7407" max="7407" width="9.77734375" style="19" customWidth="1"/>
    <col min="7408" max="7408" width="5.88671875" style="19" customWidth="1"/>
    <col min="7409" max="7409" width="9" style="19" customWidth="1"/>
    <col min="7410" max="7410" width="8.77734375" style="19" customWidth="1"/>
    <col min="7411" max="7411" width="13.77734375" style="19" customWidth="1"/>
    <col min="7412" max="7412" width="8.77734375" style="19" customWidth="1"/>
    <col min="7413" max="7413" width="13.77734375" style="19" customWidth="1"/>
    <col min="7414" max="7414" width="7.77734375" style="19" customWidth="1"/>
    <col min="7415" max="7415" width="8.77734375" style="19" customWidth="1"/>
    <col min="7416" max="7416" width="13.77734375" style="19" customWidth="1"/>
    <col min="7417" max="7417" width="7.77734375" style="19" customWidth="1"/>
    <col min="7418" max="7418" width="8.77734375" style="19" customWidth="1"/>
    <col min="7419" max="7419" width="13.77734375" style="19" customWidth="1"/>
    <col min="7420" max="7420" width="7.77734375" style="19" customWidth="1"/>
    <col min="7421" max="7426" width="0" style="19" hidden="1" customWidth="1"/>
    <col min="7427" max="7427" width="7.77734375" style="19" customWidth="1"/>
    <col min="7428" max="7428" width="12.109375" style="19" customWidth="1"/>
    <col min="7429" max="7661" width="8.88671875" style="19"/>
    <col min="7662" max="7662" width="11.77734375" style="19" customWidth="1"/>
    <col min="7663" max="7663" width="9.77734375" style="19" customWidth="1"/>
    <col min="7664" max="7664" width="5.88671875" style="19" customWidth="1"/>
    <col min="7665" max="7665" width="9" style="19" customWidth="1"/>
    <col min="7666" max="7666" width="8.77734375" style="19" customWidth="1"/>
    <col min="7667" max="7667" width="13.77734375" style="19" customWidth="1"/>
    <col min="7668" max="7668" width="8.77734375" style="19" customWidth="1"/>
    <col min="7669" max="7669" width="13.77734375" style="19" customWidth="1"/>
    <col min="7670" max="7670" width="7.77734375" style="19" customWidth="1"/>
    <col min="7671" max="7671" width="8.77734375" style="19" customWidth="1"/>
    <col min="7672" max="7672" width="13.77734375" style="19" customWidth="1"/>
    <col min="7673" max="7673" width="7.77734375" style="19" customWidth="1"/>
    <col min="7674" max="7674" width="8.77734375" style="19" customWidth="1"/>
    <col min="7675" max="7675" width="13.77734375" style="19" customWidth="1"/>
    <col min="7676" max="7676" width="7.77734375" style="19" customWidth="1"/>
    <col min="7677" max="7682" width="0" style="19" hidden="1" customWidth="1"/>
    <col min="7683" max="7683" width="7.77734375" style="19" customWidth="1"/>
    <col min="7684" max="7684" width="12.109375" style="19" customWidth="1"/>
    <col min="7685" max="7917" width="8.88671875" style="19"/>
    <col min="7918" max="7918" width="11.77734375" style="19" customWidth="1"/>
    <col min="7919" max="7919" width="9.77734375" style="19" customWidth="1"/>
    <col min="7920" max="7920" width="5.88671875" style="19" customWidth="1"/>
    <col min="7921" max="7921" width="9" style="19" customWidth="1"/>
    <col min="7922" max="7922" width="8.77734375" style="19" customWidth="1"/>
    <col min="7923" max="7923" width="13.77734375" style="19" customWidth="1"/>
    <col min="7924" max="7924" width="8.77734375" style="19" customWidth="1"/>
    <col min="7925" max="7925" width="13.77734375" style="19" customWidth="1"/>
    <col min="7926" max="7926" width="7.77734375" style="19" customWidth="1"/>
    <col min="7927" max="7927" width="8.77734375" style="19" customWidth="1"/>
    <col min="7928" max="7928" width="13.77734375" style="19" customWidth="1"/>
    <col min="7929" max="7929" width="7.77734375" style="19" customWidth="1"/>
    <col min="7930" max="7930" width="8.77734375" style="19" customWidth="1"/>
    <col min="7931" max="7931" width="13.77734375" style="19" customWidth="1"/>
    <col min="7932" max="7932" width="7.77734375" style="19" customWidth="1"/>
    <col min="7933" max="7938" width="0" style="19" hidden="1" customWidth="1"/>
    <col min="7939" max="7939" width="7.77734375" style="19" customWidth="1"/>
    <col min="7940" max="7940" width="12.109375" style="19" customWidth="1"/>
    <col min="7941" max="8173" width="8.88671875" style="19"/>
    <col min="8174" max="8174" width="11.77734375" style="19" customWidth="1"/>
    <col min="8175" max="8175" width="9.77734375" style="19" customWidth="1"/>
    <col min="8176" max="8176" width="5.88671875" style="19" customWidth="1"/>
    <col min="8177" max="8177" width="9" style="19" customWidth="1"/>
    <col min="8178" max="8178" width="8.77734375" style="19" customWidth="1"/>
    <col min="8179" max="8179" width="13.77734375" style="19" customWidth="1"/>
    <col min="8180" max="8180" width="8.77734375" style="19" customWidth="1"/>
    <col min="8181" max="8181" width="13.77734375" style="19" customWidth="1"/>
    <col min="8182" max="8182" width="7.77734375" style="19" customWidth="1"/>
    <col min="8183" max="8183" width="8.77734375" style="19" customWidth="1"/>
    <col min="8184" max="8184" width="13.77734375" style="19" customWidth="1"/>
    <col min="8185" max="8185" width="7.77734375" style="19" customWidth="1"/>
    <col min="8186" max="8186" width="8.77734375" style="19" customWidth="1"/>
    <col min="8187" max="8187" width="13.77734375" style="19" customWidth="1"/>
    <col min="8188" max="8188" width="7.77734375" style="19" customWidth="1"/>
    <col min="8189" max="8194" width="0" style="19" hidden="1" customWidth="1"/>
    <col min="8195" max="8195" width="7.77734375" style="19" customWidth="1"/>
    <col min="8196" max="8196" width="12.109375" style="19" customWidth="1"/>
    <col min="8197" max="8429" width="8.88671875" style="19"/>
    <col min="8430" max="8430" width="11.77734375" style="19" customWidth="1"/>
    <col min="8431" max="8431" width="9.77734375" style="19" customWidth="1"/>
    <col min="8432" max="8432" width="5.88671875" style="19" customWidth="1"/>
    <col min="8433" max="8433" width="9" style="19" customWidth="1"/>
    <col min="8434" max="8434" width="8.77734375" style="19" customWidth="1"/>
    <col min="8435" max="8435" width="13.77734375" style="19" customWidth="1"/>
    <col min="8436" max="8436" width="8.77734375" style="19" customWidth="1"/>
    <col min="8437" max="8437" width="13.77734375" style="19" customWidth="1"/>
    <col min="8438" max="8438" width="7.77734375" style="19" customWidth="1"/>
    <col min="8439" max="8439" width="8.77734375" style="19" customWidth="1"/>
    <col min="8440" max="8440" width="13.77734375" style="19" customWidth="1"/>
    <col min="8441" max="8441" width="7.77734375" style="19" customWidth="1"/>
    <col min="8442" max="8442" width="8.77734375" style="19" customWidth="1"/>
    <col min="8443" max="8443" width="13.77734375" style="19" customWidth="1"/>
    <col min="8444" max="8444" width="7.77734375" style="19" customWidth="1"/>
    <col min="8445" max="8450" width="0" style="19" hidden="1" customWidth="1"/>
    <col min="8451" max="8451" width="7.77734375" style="19" customWidth="1"/>
    <col min="8452" max="8452" width="12.109375" style="19" customWidth="1"/>
    <col min="8453" max="8685" width="8.88671875" style="19"/>
    <col min="8686" max="8686" width="11.77734375" style="19" customWidth="1"/>
    <col min="8687" max="8687" width="9.77734375" style="19" customWidth="1"/>
    <col min="8688" max="8688" width="5.88671875" style="19" customWidth="1"/>
    <col min="8689" max="8689" width="9" style="19" customWidth="1"/>
    <col min="8690" max="8690" width="8.77734375" style="19" customWidth="1"/>
    <col min="8691" max="8691" width="13.77734375" style="19" customWidth="1"/>
    <col min="8692" max="8692" width="8.77734375" style="19" customWidth="1"/>
    <col min="8693" max="8693" width="13.77734375" style="19" customWidth="1"/>
    <col min="8694" max="8694" width="7.77734375" style="19" customWidth="1"/>
    <col min="8695" max="8695" width="8.77734375" style="19" customWidth="1"/>
    <col min="8696" max="8696" width="13.77734375" style="19" customWidth="1"/>
    <col min="8697" max="8697" width="7.77734375" style="19" customWidth="1"/>
    <col min="8698" max="8698" width="8.77734375" style="19" customWidth="1"/>
    <col min="8699" max="8699" width="13.77734375" style="19" customWidth="1"/>
    <col min="8700" max="8700" width="7.77734375" style="19" customWidth="1"/>
    <col min="8701" max="8706" width="0" style="19" hidden="1" customWidth="1"/>
    <col min="8707" max="8707" width="7.77734375" style="19" customWidth="1"/>
    <col min="8708" max="8708" width="12.109375" style="19" customWidth="1"/>
    <col min="8709" max="8941" width="8.88671875" style="19"/>
    <col min="8942" max="8942" width="11.77734375" style="19" customWidth="1"/>
    <col min="8943" max="8943" width="9.77734375" style="19" customWidth="1"/>
    <col min="8944" max="8944" width="5.88671875" style="19" customWidth="1"/>
    <col min="8945" max="8945" width="9" style="19" customWidth="1"/>
    <col min="8946" max="8946" width="8.77734375" style="19" customWidth="1"/>
    <col min="8947" max="8947" width="13.77734375" style="19" customWidth="1"/>
    <col min="8948" max="8948" width="8.77734375" style="19" customWidth="1"/>
    <col min="8949" max="8949" width="13.77734375" style="19" customWidth="1"/>
    <col min="8950" max="8950" width="7.77734375" style="19" customWidth="1"/>
    <col min="8951" max="8951" width="8.77734375" style="19" customWidth="1"/>
    <col min="8952" max="8952" width="13.77734375" style="19" customWidth="1"/>
    <col min="8953" max="8953" width="7.77734375" style="19" customWidth="1"/>
    <col min="8954" max="8954" width="8.77734375" style="19" customWidth="1"/>
    <col min="8955" max="8955" width="13.77734375" style="19" customWidth="1"/>
    <col min="8956" max="8956" width="7.77734375" style="19" customWidth="1"/>
    <col min="8957" max="8962" width="0" style="19" hidden="1" customWidth="1"/>
    <col min="8963" max="8963" width="7.77734375" style="19" customWidth="1"/>
    <col min="8964" max="8964" width="12.109375" style="19" customWidth="1"/>
    <col min="8965" max="9197" width="8.88671875" style="19"/>
    <col min="9198" max="9198" width="11.77734375" style="19" customWidth="1"/>
    <col min="9199" max="9199" width="9.77734375" style="19" customWidth="1"/>
    <col min="9200" max="9200" width="5.88671875" style="19" customWidth="1"/>
    <col min="9201" max="9201" width="9" style="19" customWidth="1"/>
    <col min="9202" max="9202" width="8.77734375" style="19" customWidth="1"/>
    <col min="9203" max="9203" width="13.77734375" style="19" customWidth="1"/>
    <col min="9204" max="9204" width="8.77734375" style="19" customWidth="1"/>
    <col min="9205" max="9205" width="13.77734375" style="19" customWidth="1"/>
    <col min="9206" max="9206" width="7.77734375" style="19" customWidth="1"/>
    <col min="9207" max="9207" width="8.77734375" style="19" customWidth="1"/>
    <col min="9208" max="9208" width="13.77734375" style="19" customWidth="1"/>
    <col min="9209" max="9209" width="7.77734375" style="19" customWidth="1"/>
    <col min="9210" max="9210" width="8.77734375" style="19" customWidth="1"/>
    <col min="9211" max="9211" width="13.77734375" style="19" customWidth="1"/>
    <col min="9212" max="9212" width="7.77734375" style="19" customWidth="1"/>
    <col min="9213" max="9218" width="0" style="19" hidden="1" customWidth="1"/>
    <col min="9219" max="9219" width="7.77734375" style="19" customWidth="1"/>
    <col min="9220" max="9220" width="12.109375" style="19" customWidth="1"/>
    <col min="9221" max="9453" width="8.88671875" style="19"/>
    <col min="9454" max="9454" width="11.77734375" style="19" customWidth="1"/>
    <col min="9455" max="9455" width="9.77734375" style="19" customWidth="1"/>
    <col min="9456" max="9456" width="5.88671875" style="19" customWidth="1"/>
    <col min="9457" max="9457" width="9" style="19" customWidth="1"/>
    <col min="9458" max="9458" width="8.77734375" style="19" customWidth="1"/>
    <col min="9459" max="9459" width="13.77734375" style="19" customWidth="1"/>
    <col min="9460" max="9460" width="8.77734375" style="19" customWidth="1"/>
    <col min="9461" max="9461" width="13.77734375" style="19" customWidth="1"/>
    <col min="9462" max="9462" width="7.77734375" style="19" customWidth="1"/>
    <col min="9463" max="9463" width="8.77734375" style="19" customWidth="1"/>
    <col min="9464" max="9464" width="13.77734375" style="19" customWidth="1"/>
    <col min="9465" max="9465" width="7.77734375" style="19" customWidth="1"/>
    <col min="9466" max="9466" width="8.77734375" style="19" customWidth="1"/>
    <col min="9467" max="9467" width="13.77734375" style="19" customWidth="1"/>
    <col min="9468" max="9468" width="7.77734375" style="19" customWidth="1"/>
    <col min="9469" max="9474" width="0" style="19" hidden="1" customWidth="1"/>
    <col min="9475" max="9475" width="7.77734375" style="19" customWidth="1"/>
    <col min="9476" max="9476" width="12.109375" style="19" customWidth="1"/>
    <col min="9477" max="9709" width="8.88671875" style="19"/>
    <col min="9710" max="9710" width="11.77734375" style="19" customWidth="1"/>
    <col min="9711" max="9711" width="9.77734375" style="19" customWidth="1"/>
    <col min="9712" max="9712" width="5.88671875" style="19" customWidth="1"/>
    <col min="9713" max="9713" width="9" style="19" customWidth="1"/>
    <col min="9714" max="9714" width="8.77734375" style="19" customWidth="1"/>
    <col min="9715" max="9715" width="13.77734375" style="19" customWidth="1"/>
    <col min="9716" max="9716" width="8.77734375" style="19" customWidth="1"/>
    <col min="9717" max="9717" width="13.77734375" style="19" customWidth="1"/>
    <col min="9718" max="9718" width="7.77734375" style="19" customWidth="1"/>
    <col min="9719" max="9719" width="8.77734375" style="19" customWidth="1"/>
    <col min="9720" max="9720" width="13.77734375" style="19" customWidth="1"/>
    <col min="9721" max="9721" width="7.77734375" style="19" customWidth="1"/>
    <col min="9722" max="9722" width="8.77734375" style="19" customWidth="1"/>
    <col min="9723" max="9723" width="13.77734375" style="19" customWidth="1"/>
    <col min="9724" max="9724" width="7.77734375" style="19" customWidth="1"/>
    <col min="9725" max="9730" width="0" style="19" hidden="1" customWidth="1"/>
    <col min="9731" max="9731" width="7.77734375" style="19" customWidth="1"/>
    <col min="9732" max="9732" width="12.109375" style="19" customWidth="1"/>
    <col min="9733" max="9965" width="8.88671875" style="19"/>
    <col min="9966" max="9966" width="11.77734375" style="19" customWidth="1"/>
    <col min="9967" max="9967" width="9.77734375" style="19" customWidth="1"/>
    <col min="9968" max="9968" width="5.88671875" style="19" customWidth="1"/>
    <col min="9969" max="9969" width="9" style="19" customWidth="1"/>
    <col min="9970" max="9970" width="8.77734375" style="19" customWidth="1"/>
    <col min="9971" max="9971" width="13.77734375" style="19" customWidth="1"/>
    <col min="9972" max="9972" width="8.77734375" style="19" customWidth="1"/>
    <col min="9973" max="9973" width="13.77734375" style="19" customWidth="1"/>
    <col min="9974" max="9974" width="7.77734375" style="19" customWidth="1"/>
    <col min="9975" max="9975" width="8.77734375" style="19" customWidth="1"/>
    <col min="9976" max="9976" width="13.77734375" style="19" customWidth="1"/>
    <col min="9977" max="9977" width="7.77734375" style="19" customWidth="1"/>
    <col min="9978" max="9978" width="8.77734375" style="19" customWidth="1"/>
    <col min="9979" max="9979" width="13.77734375" style="19" customWidth="1"/>
    <col min="9980" max="9980" width="7.77734375" style="19" customWidth="1"/>
    <col min="9981" max="9986" width="0" style="19" hidden="1" customWidth="1"/>
    <col min="9987" max="9987" width="7.77734375" style="19" customWidth="1"/>
    <col min="9988" max="9988" width="12.109375" style="19" customWidth="1"/>
    <col min="9989" max="10221" width="8.88671875" style="19"/>
    <col min="10222" max="10222" width="11.77734375" style="19" customWidth="1"/>
    <col min="10223" max="10223" width="9.77734375" style="19" customWidth="1"/>
    <col min="10224" max="10224" width="5.88671875" style="19" customWidth="1"/>
    <col min="10225" max="10225" width="9" style="19" customWidth="1"/>
    <col min="10226" max="10226" width="8.77734375" style="19" customWidth="1"/>
    <col min="10227" max="10227" width="13.77734375" style="19" customWidth="1"/>
    <col min="10228" max="10228" width="8.77734375" style="19" customWidth="1"/>
    <col min="10229" max="10229" width="13.77734375" style="19" customWidth="1"/>
    <col min="10230" max="10230" width="7.77734375" style="19" customWidth="1"/>
    <col min="10231" max="10231" width="8.77734375" style="19" customWidth="1"/>
    <col min="10232" max="10232" width="13.77734375" style="19" customWidth="1"/>
    <col min="10233" max="10233" width="7.77734375" style="19" customWidth="1"/>
    <col min="10234" max="10234" width="8.77734375" style="19" customWidth="1"/>
    <col min="10235" max="10235" width="13.77734375" style="19" customWidth="1"/>
    <col min="10236" max="10236" width="7.77734375" style="19" customWidth="1"/>
    <col min="10237" max="10242" width="0" style="19" hidden="1" customWidth="1"/>
    <col min="10243" max="10243" width="7.77734375" style="19" customWidth="1"/>
    <col min="10244" max="10244" width="12.109375" style="19" customWidth="1"/>
    <col min="10245" max="10477" width="8.88671875" style="19"/>
    <col min="10478" max="10478" width="11.77734375" style="19" customWidth="1"/>
    <col min="10479" max="10479" width="9.77734375" style="19" customWidth="1"/>
    <col min="10480" max="10480" width="5.88671875" style="19" customWidth="1"/>
    <col min="10481" max="10481" width="9" style="19" customWidth="1"/>
    <col min="10482" max="10482" width="8.77734375" style="19" customWidth="1"/>
    <col min="10483" max="10483" width="13.77734375" style="19" customWidth="1"/>
    <col min="10484" max="10484" width="8.77734375" style="19" customWidth="1"/>
    <col min="10485" max="10485" width="13.77734375" style="19" customWidth="1"/>
    <col min="10486" max="10486" width="7.77734375" style="19" customWidth="1"/>
    <col min="10487" max="10487" width="8.77734375" style="19" customWidth="1"/>
    <col min="10488" max="10488" width="13.77734375" style="19" customWidth="1"/>
    <col min="10489" max="10489" width="7.77734375" style="19" customWidth="1"/>
    <col min="10490" max="10490" width="8.77734375" style="19" customWidth="1"/>
    <col min="10491" max="10491" width="13.77734375" style="19" customWidth="1"/>
    <col min="10492" max="10492" width="7.77734375" style="19" customWidth="1"/>
    <col min="10493" max="10498" width="0" style="19" hidden="1" customWidth="1"/>
    <col min="10499" max="10499" width="7.77734375" style="19" customWidth="1"/>
    <col min="10500" max="10500" width="12.109375" style="19" customWidth="1"/>
    <col min="10501" max="10733" width="8.88671875" style="19"/>
    <col min="10734" max="10734" width="11.77734375" style="19" customWidth="1"/>
    <col min="10735" max="10735" width="9.77734375" style="19" customWidth="1"/>
    <col min="10736" max="10736" width="5.88671875" style="19" customWidth="1"/>
    <col min="10737" max="10737" width="9" style="19" customWidth="1"/>
    <col min="10738" max="10738" width="8.77734375" style="19" customWidth="1"/>
    <col min="10739" max="10739" width="13.77734375" style="19" customWidth="1"/>
    <col min="10740" max="10740" width="8.77734375" style="19" customWidth="1"/>
    <col min="10741" max="10741" width="13.77734375" style="19" customWidth="1"/>
    <col min="10742" max="10742" width="7.77734375" style="19" customWidth="1"/>
    <col min="10743" max="10743" width="8.77734375" style="19" customWidth="1"/>
    <col min="10744" max="10744" width="13.77734375" style="19" customWidth="1"/>
    <col min="10745" max="10745" width="7.77734375" style="19" customWidth="1"/>
    <col min="10746" max="10746" width="8.77734375" style="19" customWidth="1"/>
    <col min="10747" max="10747" width="13.77734375" style="19" customWidth="1"/>
    <col min="10748" max="10748" width="7.77734375" style="19" customWidth="1"/>
    <col min="10749" max="10754" width="0" style="19" hidden="1" customWidth="1"/>
    <col min="10755" max="10755" width="7.77734375" style="19" customWidth="1"/>
    <col min="10756" max="10756" width="12.109375" style="19" customWidth="1"/>
    <col min="10757" max="10989" width="8.88671875" style="19"/>
    <col min="10990" max="10990" width="11.77734375" style="19" customWidth="1"/>
    <col min="10991" max="10991" width="9.77734375" style="19" customWidth="1"/>
    <col min="10992" max="10992" width="5.88671875" style="19" customWidth="1"/>
    <col min="10993" max="10993" width="9" style="19" customWidth="1"/>
    <col min="10994" max="10994" width="8.77734375" style="19" customWidth="1"/>
    <col min="10995" max="10995" width="13.77734375" style="19" customWidth="1"/>
    <col min="10996" max="10996" width="8.77734375" style="19" customWidth="1"/>
    <col min="10997" max="10997" width="13.77734375" style="19" customWidth="1"/>
    <col min="10998" max="10998" width="7.77734375" style="19" customWidth="1"/>
    <col min="10999" max="10999" width="8.77734375" style="19" customWidth="1"/>
    <col min="11000" max="11000" width="13.77734375" style="19" customWidth="1"/>
    <col min="11001" max="11001" width="7.77734375" style="19" customWidth="1"/>
    <col min="11002" max="11002" width="8.77734375" style="19" customWidth="1"/>
    <col min="11003" max="11003" width="13.77734375" style="19" customWidth="1"/>
    <col min="11004" max="11004" width="7.77734375" style="19" customWidth="1"/>
    <col min="11005" max="11010" width="0" style="19" hidden="1" customWidth="1"/>
    <col min="11011" max="11011" width="7.77734375" style="19" customWidth="1"/>
    <col min="11012" max="11012" width="12.109375" style="19" customWidth="1"/>
    <col min="11013" max="11245" width="8.88671875" style="19"/>
    <col min="11246" max="11246" width="11.77734375" style="19" customWidth="1"/>
    <col min="11247" max="11247" width="9.77734375" style="19" customWidth="1"/>
    <col min="11248" max="11248" width="5.88671875" style="19" customWidth="1"/>
    <col min="11249" max="11249" width="9" style="19" customWidth="1"/>
    <col min="11250" max="11250" width="8.77734375" style="19" customWidth="1"/>
    <col min="11251" max="11251" width="13.77734375" style="19" customWidth="1"/>
    <col min="11252" max="11252" width="8.77734375" style="19" customWidth="1"/>
    <col min="11253" max="11253" width="13.77734375" style="19" customWidth="1"/>
    <col min="11254" max="11254" width="7.77734375" style="19" customWidth="1"/>
    <col min="11255" max="11255" width="8.77734375" style="19" customWidth="1"/>
    <col min="11256" max="11256" width="13.77734375" style="19" customWidth="1"/>
    <col min="11257" max="11257" width="7.77734375" style="19" customWidth="1"/>
    <col min="11258" max="11258" width="8.77734375" style="19" customWidth="1"/>
    <col min="11259" max="11259" width="13.77734375" style="19" customWidth="1"/>
    <col min="11260" max="11260" width="7.77734375" style="19" customWidth="1"/>
    <col min="11261" max="11266" width="0" style="19" hidden="1" customWidth="1"/>
    <col min="11267" max="11267" width="7.77734375" style="19" customWidth="1"/>
    <col min="11268" max="11268" width="12.109375" style="19" customWidth="1"/>
    <col min="11269" max="11501" width="8.88671875" style="19"/>
    <col min="11502" max="11502" width="11.77734375" style="19" customWidth="1"/>
    <col min="11503" max="11503" width="9.77734375" style="19" customWidth="1"/>
    <col min="11504" max="11504" width="5.88671875" style="19" customWidth="1"/>
    <col min="11505" max="11505" width="9" style="19" customWidth="1"/>
    <col min="11506" max="11506" width="8.77734375" style="19" customWidth="1"/>
    <col min="11507" max="11507" width="13.77734375" style="19" customWidth="1"/>
    <col min="11508" max="11508" width="8.77734375" style="19" customWidth="1"/>
    <col min="11509" max="11509" width="13.77734375" style="19" customWidth="1"/>
    <col min="11510" max="11510" width="7.77734375" style="19" customWidth="1"/>
    <col min="11511" max="11511" width="8.77734375" style="19" customWidth="1"/>
    <col min="11512" max="11512" width="13.77734375" style="19" customWidth="1"/>
    <col min="11513" max="11513" width="7.77734375" style="19" customWidth="1"/>
    <col min="11514" max="11514" width="8.77734375" style="19" customWidth="1"/>
    <col min="11515" max="11515" width="13.77734375" style="19" customWidth="1"/>
    <col min="11516" max="11516" width="7.77734375" style="19" customWidth="1"/>
    <col min="11517" max="11522" width="0" style="19" hidden="1" customWidth="1"/>
    <col min="11523" max="11523" width="7.77734375" style="19" customWidth="1"/>
    <col min="11524" max="11524" width="12.109375" style="19" customWidth="1"/>
    <col min="11525" max="11757" width="8.88671875" style="19"/>
    <col min="11758" max="11758" width="11.77734375" style="19" customWidth="1"/>
    <col min="11759" max="11759" width="9.77734375" style="19" customWidth="1"/>
    <col min="11760" max="11760" width="5.88671875" style="19" customWidth="1"/>
    <col min="11761" max="11761" width="9" style="19" customWidth="1"/>
    <col min="11762" max="11762" width="8.77734375" style="19" customWidth="1"/>
    <col min="11763" max="11763" width="13.77734375" style="19" customWidth="1"/>
    <col min="11764" max="11764" width="8.77734375" style="19" customWidth="1"/>
    <col min="11765" max="11765" width="13.77734375" style="19" customWidth="1"/>
    <col min="11766" max="11766" width="7.77734375" style="19" customWidth="1"/>
    <col min="11767" max="11767" width="8.77734375" style="19" customWidth="1"/>
    <col min="11768" max="11768" width="13.77734375" style="19" customWidth="1"/>
    <col min="11769" max="11769" width="7.77734375" style="19" customWidth="1"/>
    <col min="11770" max="11770" width="8.77734375" style="19" customWidth="1"/>
    <col min="11771" max="11771" width="13.77734375" style="19" customWidth="1"/>
    <col min="11772" max="11772" width="7.77734375" style="19" customWidth="1"/>
    <col min="11773" max="11778" width="0" style="19" hidden="1" customWidth="1"/>
    <col min="11779" max="11779" width="7.77734375" style="19" customWidth="1"/>
    <col min="11780" max="11780" width="12.109375" style="19" customWidth="1"/>
    <col min="11781" max="12013" width="8.88671875" style="19"/>
    <col min="12014" max="12014" width="11.77734375" style="19" customWidth="1"/>
    <col min="12015" max="12015" width="9.77734375" style="19" customWidth="1"/>
    <col min="12016" max="12016" width="5.88671875" style="19" customWidth="1"/>
    <col min="12017" max="12017" width="9" style="19" customWidth="1"/>
    <col min="12018" max="12018" width="8.77734375" style="19" customWidth="1"/>
    <col min="12019" max="12019" width="13.77734375" style="19" customWidth="1"/>
    <col min="12020" max="12020" width="8.77734375" style="19" customWidth="1"/>
    <col min="12021" max="12021" width="13.77734375" style="19" customWidth="1"/>
    <col min="12022" max="12022" width="7.77734375" style="19" customWidth="1"/>
    <col min="12023" max="12023" width="8.77734375" style="19" customWidth="1"/>
    <col min="12024" max="12024" width="13.77734375" style="19" customWidth="1"/>
    <col min="12025" max="12025" width="7.77734375" style="19" customWidth="1"/>
    <col min="12026" max="12026" width="8.77734375" style="19" customWidth="1"/>
    <col min="12027" max="12027" width="13.77734375" style="19" customWidth="1"/>
    <col min="12028" max="12028" width="7.77734375" style="19" customWidth="1"/>
    <col min="12029" max="12034" width="0" style="19" hidden="1" customWidth="1"/>
    <col min="12035" max="12035" width="7.77734375" style="19" customWidth="1"/>
    <col min="12036" max="12036" width="12.109375" style="19" customWidth="1"/>
    <col min="12037" max="12269" width="8.88671875" style="19"/>
    <col min="12270" max="12270" width="11.77734375" style="19" customWidth="1"/>
    <col min="12271" max="12271" width="9.77734375" style="19" customWidth="1"/>
    <col min="12272" max="12272" width="5.88671875" style="19" customWidth="1"/>
    <col min="12273" max="12273" width="9" style="19" customWidth="1"/>
    <col min="12274" max="12274" width="8.77734375" style="19" customWidth="1"/>
    <col min="12275" max="12275" width="13.77734375" style="19" customWidth="1"/>
    <col min="12276" max="12276" width="8.77734375" style="19" customWidth="1"/>
    <col min="12277" max="12277" width="13.77734375" style="19" customWidth="1"/>
    <col min="12278" max="12278" width="7.77734375" style="19" customWidth="1"/>
    <col min="12279" max="12279" width="8.77734375" style="19" customWidth="1"/>
    <col min="12280" max="12280" width="13.77734375" style="19" customWidth="1"/>
    <col min="12281" max="12281" width="7.77734375" style="19" customWidth="1"/>
    <col min="12282" max="12282" width="8.77734375" style="19" customWidth="1"/>
    <col min="12283" max="12283" width="13.77734375" style="19" customWidth="1"/>
    <col min="12284" max="12284" width="7.77734375" style="19" customWidth="1"/>
    <col min="12285" max="12290" width="0" style="19" hidden="1" customWidth="1"/>
    <col min="12291" max="12291" width="7.77734375" style="19" customWidth="1"/>
    <col min="12292" max="12292" width="12.109375" style="19" customWidth="1"/>
    <col min="12293" max="12525" width="8.88671875" style="19"/>
    <col min="12526" max="12526" width="11.77734375" style="19" customWidth="1"/>
    <col min="12527" max="12527" width="9.77734375" style="19" customWidth="1"/>
    <col min="12528" max="12528" width="5.88671875" style="19" customWidth="1"/>
    <col min="12529" max="12529" width="9" style="19" customWidth="1"/>
    <col min="12530" max="12530" width="8.77734375" style="19" customWidth="1"/>
    <col min="12531" max="12531" width="13.77734375" style="19" customWidth="1"/>
    <col min="12532" max="12532" width="8.77734375" style="19" customWidth="1"/>
    <col min="12533" max="12533" width="13.77734375" style="19" customWidth="1"/>
    <col min="12534" max="12534" width="7.77734375" style="19" customWidth="1"/>
    <col min="12535" max="12535" width="8.77734375" style="19" customWidth="1"/>
    <col min="12536" max="12536" width="13.77734375" style="19" customWidth="1"/>
    <col min="12537" max="12537" width="7.77734375" style="19" customWidth="1"/>
    <col min="12538" max="12538" width="8.77734375" style="19" customWidth="1"/>
    <col min="12539" max="12539" width="13.77734375" style="19" customWidth="1"/>
    <col min="12540" max="12540" width="7.77734375" style="19" customWidth="1"/>
    <col min="12541" max="12546" width="0" style="19" hidden="1" customWidth="1"/>
    <col min="12547" max="12547" width="7.77734375" style="19" customWidth="1"/>
    <col min="12548" max="12548" width="12.109375" style="19" customWidth="1"/>
    <col min="12549" max="12781" width="8.88671875" style="19"/>
    <col min="12782" max="12782" width="11.77734375" style="19" customWidth="1"/>
    <col min="12783" max="12783" width="9.77734375" style="19" customWidth="1"/>
    <col min="12784" max="12784" width="5.88671875" style="19" customWidth="1"/>
    <col min="12785" max="12785" width="9" style="19" customWidth="1"/>
    <col min="12786" max="12786" width="8.77734375" style="19" customWidth="1"/>
    <col min="12787" max="12787" width="13.77734375" style="19" customWidth="1"/>
    <col min="12788" max="12788" width="8.77734375" style="19" customWidth="1"/>
    <col min="12789" max="12789" width="13.77734375" style="19" customWidth="1"/>
    <col min="12790" max="12790" width="7.77734375" style="19" customWidth="1"/>
    <col min="12791" max="12791" width="8.77734375" style="19" customWidth="1"/>
    <col min="12792" max="12792" width="13.77734375" style="19" customWidth="1"/>
    <col min="12793" max="12793" width="7.77734375" style="19" customWidth="1"/>
    <col min="12794" max="12794" width="8.77734375" style="19" customWidth="1"/>
    <col min="12795" max="12795" width="13.77734375" style="19" customWidth="1"/>
    <col min="12796" max="12796" width="7.77734375" style="19" customWidth="1"/>
    <col min="12797" max="12802" width="0" style="19" hidden="1" customWidth="1"/>
    <col min="12803" max="12803" width="7.77734375" style="19" customWidth="1"/>
    <col min="12804" max="12804" width="12.109375" style="19" customWidth="1"/>
    <col min="12805" max="13037" width="8.88671875" style="19"/>
    <col min="13038" max="13038" width="11.77734375" style="19" customWidth="1"/>
    <col min="13039" max="13039" width="9.77734375" style="19" customWidth="1"/>
    <col min="13040" max="13040" width="5.88671875" style="19" customWidth="1"/>
    <col min="13041" max="13041" width="9" style="19" customWidth="1"/>
    <col min="13042" max="13042" width="8.77734375" style="19" customWidth="1"/>
    <col min="13043" max="13043" width="13.77734375" style="19" customWidth="1"/>
    <col min="13044" max="13044" width="8.77734375" style="19" customWidth="1"/>
    <col min="13045" max="13045" width="13.77734375" style="19" customWidth="1"/>
    <col min="13046" max="13046" width="7.77734375" style="19" customWidth="1"/>
    <col min="13047" max="13047" width="8.77734375" style="19" customWidth="1"/>
    <col min="13048" max="13048" width="13.77734375" style="19" customWidth="1"/>
    <col min="13049" max="13049" width="7.77734375" style="19" customWidth="1"/>
    <col min="13050" max="13050" width="8.77734375" style="19" customWidth="1"/>
    <col min="13051" max="13051" width="13.77734375" style="19" customWidth="1"/>
    <col min="13052" max="13052" width="7.77734375" style="19" customWidth="1"/>
    <col min="13053" max="13058" width="0" style="19" hidden="1" customWidth="1"/>
    <col min="13059" max="13059" width="7.77734375" style="19" customWidth="1"/>
    <col min="13060" max="13060" width="12.109375" style="19" customWidth="1"/>
    <col min="13061" max="13293" width="8.88671875" style="19"/>
    <col min="13294" max="13294" width="11.77734375" style="19" customWidth="1"/>
    <col min="13295" max="13295" width="9.77734375" style="19" customWidth="1"/>
    <col min="13296" max="13296" width="5.88671875" style="19" customWidth="1"/>
    <col min="13297" max="13297" width="9" style="19" customWidth="1"/>
    <col min="13298" max="13298" width="8.77734375" style="19" customWidth="1"/>
    <col min="13299" max="13299" width="13.77734375" style="19" customWidth="1"/>
    <col min="13300" max="13300" width="8.77734375" style="19" customWidth="1"/>
    <col min="13301" max="13301" width="13.77734375" style="19" customWidth="1"/>
    <col min="13302" max="13302" width="7.77734375" style="19" customWidth="1"/>
    <col min="13303" max="13303" width="8.77734375" style="19" customWidth="1"/>
    <col min="13304" max="13304" width="13.77734375" style="19" customWidth="1"/>
    <col min="13305" max="13305" width="7.77734375" style="19" customWidth="1"/>
    <col min="13306" max="13306" width="8.77734375" style="19" customWidth="1"/>
    <col min="13307" max="13307" width="13.77734375" style="19" customWidth="1"/>
    <col min="13308" max="13308" width="7.77734375" style="19" customWidth="1"/>
    <col min="13309" max="13314" width="0" style="19" hidden="1" customWidth="1"/>
    <col min="13315" max="13315" width="7.77734375" style="19" customWidth="1"/>
    <col min="13316" max="13316" width="12.109375" style="19" customWidth="1"/>
    <col min="13317" max="13549" width="8.88671875" style="19"/>
    <col min="13550" max="13550" width="11.77734375" style="19" customWidth="1"/>
    <col min="13551" max="13551" width="9.77734375" style="19" customWidth="1"/>
    <col min="13552" max="13552" width="5.88671875" style="19" customWidth="1"/>
    <col min="13553" max="13553" width="9" style="19" customWidth="1"/>
    <col min="13554" max="13554" width="8.77734375" style="19" customWidth="1"/>
    <col min="13555" max="13555" width="13.77734375" style="19" customWidth="1"/>
    <col min="13556" max="13556" width="8.77734375" style="19" customWidth="1"/>
    <col min="13557" max="13557" width="13.77734375" style="19" customWidth="1"/>
    <col min="13558" max="13558" width="7.77734375" style="19" customWidth="1"/>
    <col min="13559" max="13559" width="8.77734375" style="19" customWidth="1"/>
    <col min="13560" max="13560" width="13.77734375" style="19" customWidth="1"/>
    <col min="13561" max="13561" width="7.77734375" style="19" customWidth="1"/>
    <col min="13562" max="13562" width="8.77734375" style="19" customWidth="1"/>
    <col min="13563" max="13563" width="13.77734375" style="19" customWidth="1"/>
    <col min="13564" max="13564" width="7.77734375" style="19" customWidth="1"/>
    <col min="13565" max="13570" width="0" style="19" hidden="1" customWidth="1"/>
    <col min="13571" max="13571" width="7.77734375" style="19" customWidth="1"/>
    <col min="13572" max="13572" width="12.109375" style="19" customWidth="1"/>
    <col min="13573" max="13805" width="8.88671875" style="19"/>
    <col min="13806" max="13806" width="11.77734375" style="19" customWidth="1"/>
    <col min="13807" max="13807" width="9.77734375" style="19" customWidth="1"/>
    <col min="13808" max="13808" width="5.88671875" style="19" customWidth="1"/>
    <col min="13809" max="13809" width="9" style="19" customWidth="1"/>
    <col min="13810" max="13810" width="8.77734375" style="19" customWidth="1"/>
    <col min="13811" max="13811" width="13.77734375" style="19" customWidth="1"/>
    <col min="13812" max="13812" width="8.77734375" style="19" customWidth="1"/>
    <col min="13813" max="13813" width="13.77734375" style="19" customWidth="1"/>
    <col min="13814" max="13814" width="7.77734375" style="19" customWidth="1"/>
    <col min="13815" max="13815" width="8.77734375" style="19" customWidth="1"/>
    <col min="13816" max="13816" width="13.77734375" style="19" customWidth="1"/>
    <col min="13817" max="13817" width="7.77734375" style="19" customWidth="1"/>
    <col min="13818" max="13818" width="8.77734375" style="19" customWidth="1"/>
    <col min="13819" max="13819" width="13.77734375" style="19" customWidth="1"/>
    <col min="13820" max="13820" width="7.77734375" style="19" customWidth="1"/>
    <col min="13821" max="13826" width="0" style="19" hidden="1" customWidth="1"/>
    <col min="13827" max="13827" width="7.77734375" style="19" customWidth="1"/>
    <col min="13828" max="13828" width="12.109375" style="19" customWidth="1"/>
    <col min="13829" max="14061" width="8.88671875" style="19"/>
    <col min="14062" max="14062" width="11.77734375" style="19" customWidth="1"/>
    <col min="14063" max="14063" width="9.77734375" style="19" customWidth="1"/>
    <col min="14064" max="14064" width="5.88671875" style="19" customWidth="1"/>
    <col min="14065" max="14065" width="9" style="19" customWidth="1"/>
    <col min="14066" max="14066" width="8.77734375" style="19" customWidth="1"/>
    <col min="14067" max="14067" width="13.77734375" style="19" customWidth="1"/>
    <col min="14068" max="14068" width="8.77734375" style="19" customWidth="1"/>
    <col min="14069" max="14069" width="13.77734375" style="19" customWidth="1"/>
    <col min="14070" max="14070" width="7.77734375" style="19" customWidth="1"/>
    <col min="14071" max="14071" width="8.77734375" style="19" customWidth="1"/>
    <col min="14072" max="14072" width="13.77734375" style="19" customWidth="1"/>
    <col min="14073" max="14073" width="7.77734375" style="19" customWidth="1"/>
    <col min="14074" max="14074" width="8.77734375" style="19" customWidth="1"/>
    <col min="14075" max="14075" width="13.77734375" style="19" customWidth="1"/>
    <col min="14076" max="14076" width="7.77734375" style="19" customWidth="1"/>
    <col min="14077" max="14082" width="0" style="19" hidden="1" customWidth="1"/>
    <col min="14083" max="14083" width="7.77734375" style="19" customWidth="1"/>
    <col min="14084" max="14084" width="12.109375" style="19" customWidth="1"/>
    <col min="14085" max="14317" width="8.88671875" style="19"/>
    <col min="14318" max="14318" width="11.77734375" style="19" customWidth="1"/>
    <col min="14319" max="14319" width="9.77734375" style="19" customWidth="1"/>
    <col min="14320" max="14320" width="5.88671875" style="19" customWidth="1"/>
    <col min="14321" max="14321" width="9" style="19" customWidth="1"/>
    <col min="14322" max="14322" width="8.77734375" style="19" customWidth="1"/>
    <col min="14323" max="14323" width="13.77734375" style="19" customWidth="1"/>
    <col min="14324" max="14324" width="8.77734375" style="19" customWidth="1"/>
    <col min="14325" max="14325" width="13.77734375" style="19" customWidth="1"/>
    <col min="14326" max="14326" width="7.77734375" style="19" customWidth="1"/>
    <col min="14327" max="14327" width="8.77734375" style="19" customWidth="1"/>
    <col min="14328" max="14328" width="13.77734375" style="19" customWidth="1"/>
    <col min="14329" max="14329" width="7.77734375" style="19" customWidth="1"/>
    <col min="14330" max="14330" width="8.77734375" style="19" customWidth="1"/>
    <col min="14331" max="14331" width="13.77734375" style="19" customWidth="1"/>
    <col min="14332" max="14332" width="7.77734375" style="19" customWidth="1"/>
    <col min="14333" max="14338" width="0" style="19" hidden="1" customWidth="1"/>
    <col min="14339" max="14339" width="7.77734375" style="19" customWidth="1"/>
    <col min="14340" max="14340" width="12.109375" style="19" customWidth="1"/>
    <col min="14341" max="14573" width="8.88671875" style="19"/>
    <col min="14574" max="14574" width="11.77734375" style="19" customWidth="1"/>
    <col min="14575" max="14575" width="9.77734375" style="19" customWidth="1"/>
    <col min="14576" max="14576" width="5.88671875" style="19" customWidth="1"/>
    <col min="14577" max="14577" width="9" style="19" customWidth="1"/>
    <col min="14578" max="14578" width="8.77734375" style="19" customWidth="1"/>
    <col min="14579" max="14579" width="13.77734375" style="19" customWidth="1"/>
    <col min="14580" max="14580" width="8.77734375" style="19" customWidth="1"/>
    <col min="14581" max="14581" width="13.77734375" style="19" customWidth="1"/>
    <col min="14582" max="14582" width="7.77734375" style="19" customWidth="1"/>
    <col min="14583" max="14583" width="8.77734375" style="19" customWidth="1"/>
    <col min="14584" max="14584" width="13.77734375" style="19" customWidth="1"/>
    <col min="14585" max="14585" width="7.77734375" style="19" customWidth="1"/>
    <col min="14586" max="14586" width="8.77734375" style="19" customWidth="1"/>
    <col min="14587" max="14587" width="13.77734375" style="19" customWidth="1"/>
    <col min="14588" max="14588" width="7.77734375" style="19" customWidth="1"/>
    <col min="14589" max="14594" width="0" style="19" hidden="1" customWidth="1"/>
    <col min="14595" max="14595" width="7.77734375" style="19" customWidth="1"/>
    <col min="14596" max="14596" width="12.109375" style="19" customWidth="1"/>
    <col min="14597" max="14829" width="8.88671875" style="19"/>
    <col min="14830" max="14830" width="11.77734375" style="19" customWidth="1"/>
    <col min="14831" max="14831" width="9.77734375" style="19" customWidth="1"/>
    <col min="14832" max="14832" width="5.88671875" style="19" customWidth="1"/>
    <col min="14833" max="14833" width="9" style="19" customWidth="1"/>
    <col min="14834" max="14834" width="8.77734375" style="19" customWidth="1"/>
    <col min="14835" max="14835" width="13.77734375" style="19" customWidth="1"/>
    <col min="14836" max="14836" width="8.77734375" style="19" customWidth="1"/>
    <col min="14837" max="14837" width="13.77734375" style="19" customWidth="1"/>
    <col min="14838" max="14838" width="7.77734375" style="19" customWidth="1"/>
    <col min="14839" max="14839" width="8.77734375" style="19" customWidth="1"/>
    <col min="14840" max="14840" width="13.77734375" style="19" customWidth="1"/>
    <col min="14841" max="14841" width="7.77734375" style="19" customWidth="1"/>
    <col min="14842" max="14842" width="8.77734375" style="19" customWidth="1"/>
    <col min="14843" max="14843" width="13.77734375" style="19" customWidth="1"/>
    <col min="14844" max="14844" width="7.77734375" style="19" customWidth="1"/>
    <col min="14845" max="14850" width="0" style="19" hidden="1" customWidth="1"/>
    <col min="14851" max="14851" width="7.77734375" style="19" customWidth="1"/>
    <col min="14852" max="14852" width="12.109375" style="19" customWidth="1"/>
    <col min="14853" max="15085" width="8.88671875" style="19"/>
    <col min="15086" max="15086" width="11.77734375" style="19" customWidth="1"/>
    <col min="15087" max="15087" width="9.77734375" style="19" customWidth="1"/>
    <col min="15088" max="15088" width="5.88671875" style="19" customWidth="1"/>
    <col min="15089" max="15089" width="9" style="19" customWidth="1"/>
    <col min="15090" max="15090" width="8.77734375" style="19" customWidth="1"/>
    <col min="15091" max="15091" width="13.77734375" style="19" customWidth="1"/>
    <col min="15092" max="15092" width="8.77734375" style="19" customWidth="1"/>
    <col min="15093" max="15093" width="13.77734375" style="19" customWidth="1"/>
    <col min="15094" max="15094" width="7.77734375" style="19" customWidth="1"/>
    <col min="15095" max="15095" width="8.77734375" style="19" customWidth="1"/>
    <col min="15096" max="15096" width="13.77734375" style="19" customWidth="1"/>
    <col min="15097" max="15097" width="7.77734375" style="19" customWidth="1"/>
    <col min="15098" max="15098" width="8.77734375" style="19" customWidth="1"/>
    <col min="15099" max="15099" width="13.77734375" style="19" customWidth="1"/>
    <col min="15100" max="15100" width="7.77734375" style="19" customWidth="1"/>
    <col min="15101" max="15106" width="0" style="19" hidden="1" customWidth="1"/>
    <col min="15107" max="15107" width="7.77734375" style="19" customWidth="1"/>
    <col min="15108" max="15108" width="12.109375" style="19" customWidth="1"/>
    <col min="15109" max="15341" width="8.88671875" style="19"/>
    <col min="15342" max="15342" width="11.77734375" style="19" customWidth="1"/>
    <col min="15343" max="15343" width="9.77734375" style="19" customWidth="1"/>
    <col min="15344" max="15344" width="5.88671875" style="19" customWidth="1"/>
    <col min="15345" max="15345" width="9" style="19" customWidth="1"/>
    <col min="15346" max="15346" width="8.77734375" style="19" customWidth="1"/>
    <col min="15347" max="15347" width="13.77734375" style="19" customWidth="1"/>
    <col min="15348" max="15348" width="8.77734375" style="19" customWidth="1"/>
    <col min="15349" max="15349" width="13.77734375" style="19" customWidth="1"/>
    <col min="15350" max="15350" width="7.77734375" style="19" customWidth="1"/>
    <col min="15351" max="15351" width="8.77734375" style="19" customWidth="1"/>
    <col min="15352" max="15352" width="13.77734375" style="19" customWidth="1"/>
    <col min="15353" max="15353" width="7.77734375" style="19" customWidth="1"/>
    <col min="15354" max="15354" width="8.77734375" style="19" customWidth="1"/>
    <col min="15355" max="15355" width="13.77734375" style="19" customWidth="1"/>
    <col min="15356" max="15356" width="7.77734375" style="19" customWidth="1"/>
    <col min="15357" max="15362" width="0" style="19" hidden="1" customWidth="1"/>
    <col min="15363" max="15363" width="7.77734375" style="19" customWidth="1"/>
    <col min="15364" max="15364" width="12.109375" style="19" customWidth="1"/>
    <col min="15365" max="15597" width="8.88671875" style="19"/>
    <col min="15598" max="15598" width="11.77734375" style="19" customWidth="1"/>
    <col min="15599" max="15599" width="9.77734375" style="19" customWidth="1"/>
    <col min="15600" max="15600" width="5.88671875" style="19" customWidth="1"/>
    <col min="15601" max="15601" width="9" style="19" customWidth="1"/>
    <col min="15602" max="15602" width="8.77734375" style="19" customWidth="1"/>
    <col min="15603" max="15603" width="13.77734375" style="19" customWidth="1"/>
    <col min="15604" max="15604" width="8.77734375" style="19" customWidth="1"/>
    <col min="15605" max="15605" width="13.77734375" style="19" customWidth="1"/>
    <col min="15606" max="15606" width="7.77734375" style="19" customWidth="1"/>
    <col min="15607" max="15607" width="8.77734375" style="19" customWidth="1"/>
    <col min="15608" max="15608" width="13.77734375" style="19" customWidth="1"/>
    <col min="15609" max="15609" width="7.77734375" style="19" customWidth="1"/>
    <col min="15610" max="15610" width="8.77734375" style="19" customWidth="1"/>
    <col min="15611" max="15611" width="13.77734375" style="19" customWidth="1"/>
    <col min="15612" max="15612" width="7.77734375" style="19" customWidth="1"/>
    <col min="15613" max="15618" width="0" style="19" hidden="1" customWidth="1"/>
    <col min="15619" max="15619" width="7.77734375" style="19" customWidth="1"/>
    <col min="15620" max="15620" width="12.109375" style="19" customWidth="1"/>
    <col min="15621" max="15853" width="8.88671875" style="19"/>
    <col min="15854" max="15854" width="11.77734375" style="19" customWidth="1"/>
    <col min="15855" max="15855" width="9.77734375" style="19" customWidth="1"/>
    <col min="15856" max="15856" width="5.88671875" style="19" customWidth="1"/>
    <col min="15857" max="15857" width="9" style="19" customWidth="1"/>
    <col min="15858" max="15858" width="8.77734375" style="19" customWidth="1"/>
    <col min="15859" max="15859" width="13.77734375" style="19" customWidth="1"/>
    <col min="15860" max="15860" width="8.77734375" style="19" customWidth="1"/>
    <col min="15861" max="15861" width="13.77734375" style="19" customWidth="1"/>
    <col min="15862" max="15862" width="7.77734375" style="19" customWidth="1"/>
    <col min="15863" max="15863" width="8.77734375" style="19" customWidth="1"/>
    <col min="15864" max="15864" width="13.77734375" style="19" customWidth="1"/>
    <col min="15865" max="15865" width="7.77734375" style="19" customWidth="1"/>
    <col min="15866" max="15866" width="8.77734375" style="19" customWidth="1"/>
    <col min="15867" max="15867" width="13.77734375" style="19" customWidth="1"/>
    <col min="15868" max="15868" width="7.77734375" style="19" customWidth="1"/>
    <col min="15869" max="15874" width="0" style="19" hidden="1" customWidth="1"/>
    <col min="15875" max="15875" width="7.77734375" style="19" customWidth="1"/>
    <col min="15876" max="15876" width="12.109375" style="19" customWidth="1"/>
    <col min="15877" max="16109" width="8.88671875" style="19"/>
    <col min="16110" max="16110" width="11.77734375" style="19" customWidth="1"/>
    <col min="16111" max="16111" width="9.77734375" style="19" customWidth="1"/>
    <col min="16112" max="16112" width="5.88671875" style="19" customWidth="1"/>
    <col min="16113" max="16113" width="9" style="19" customWidth="1"/>
    <col min="16114" max="16114" width="8.77734375" style="19" customWidth="1"/>
    <col min="16115" max="16115" width="13.77734375" style="19" customWidth="1"/>
    <col min="16116" max="16116" width="8.77734375" style="19" customWidth="1"/>
    <col min="16117" max="16117" width="13.77734375" style="19" customWidth="1"/>
    <col min="16118" max="16118" width="7.77734375" style="19" customWidth="1"/>
    <col min="16119" max="16119" width="8.77734375" style="19" customWidth="1"/>
    <col min="16120" max="16120" width="13.77734375" style="19" customWidth="1"/>
    <col min="16121" max="16121" width="7.77734375" style="19" customWidth="1"/>
    <col min="16122" max="16122" width="8.77734375" style="19" customWidth="1"/>
    <col min="16123" max="16123" width="13.77734375" style="19" customWidth="1"/>
    <col min="16124" max="16124" width="7.77734375" style="19" customWidth="1"/>
    <col min="16125" max="16130" width="0" style="19" hidden="1" customWidth="1"/>
    <col min="16131" max="16131" width="7.77734375" style="19" customWidth="1"/>
    <col min="16132" max="16132" width="12.109375" style="19" customWidth="1"/>
    <col min="16133" max="16384" width="8.88671875" style="19"/>
  </cols>
  <sheetData>
    <row r="1" spans="1:30" ht="39.950000000000003" customHeight="1" x14ac:dyDescent="0.15">
      <c r="A1" s="199" t="str">
        <f>+집계표!A1</f>
        <v>내 역 서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"/>
      <c r="AC1" s="19"/>
    </row>
    <row r="2" spans="1:30" ht="26.25" customHeight="1" x14ac:dyDescent="0.1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19"/>
      <c r="AC2" s="19"/>
      <c r="AD2" s="70" t="s">
        <v>77</v>
      </c>
    </row>
    <row r="3" spans="1:30" ht="30" customHeight="1" x14ac:dyDescent="0.15">
      <c r="A3" s="193" t="s">
        <v>17</v>
      </c>
      <c r="B3" s="194"/>
      <c r="C3" s="200" t="s">
        <v>18</v>
      </c>
      <c r="D3" s="200" t="s">
        <v>19</v>
      </c>
      <c r="E3" s="200" t="s">
        <v>33</v>
      </c>
      <c r="F3" s="200" t="s">
        <v>20</v>
      </c>
      <c r="G3" s="203" t="s">
        <v>30</v>
      </c>
      <c r="H3" s="204"/>
      <c r="I3" s="204"/>
      <c r="J3" s="204"/>
      <c r="K3" s="204"/>
      <c r="L3" s="204"/>
      <c r="M3" s="204"/>
      <c r="N3" s="205"/>
      <c r="O3" s="208" t="s">
        <v>67</v>
      </c>
      <c r="P3" s="209"/>
      <c r="Q3" s="209"/>
      <c r="R3" s="209"/>
      <c r="S3" s="209"/>
      <c r="T3" s="209"/>
      <c r="U3" s="209"/>
      <c r="V3" s="210"/>
      <c r="W3" s="207" t="s">
        <v>169</v>
      </c>
      <c r="X3" s="207"/>
      <c r="Y3" s="207"/>
      <c r="Z3" s="207"/>
      <c r="AA3" s="207"/>
      <c r="AB3" s="207"/>
      <c r="AC3" s="207"/>
      <c r="AD3" s="207"/>
    </row>
    <row r="4" spans="1:30" ht="30" customHeight="1" x14ac:dyDescent="0.15">
      <c r="A4" s="195"/>
      <c r="B4" s="196"/>
      <c r="C4" s="201"/>
      <c r="D4" s="201"/>
      <c r="E4" s="201"/>
      <c r="F4" s="201"/>
      <c r="G4" s="206" t="s">
        <v>34</v>
      </c>
      <c r="H4" s="206"/>
      <c r="I4" s="206" t="s">
        <v>35</v>
      </c>
      <c r="J4" s="206"/>
      <c r="K4" s="206" t="s">
        <v>36</v>
      </c>
      <c r="L4" s="206"/>
      <c r="M4" s="206" t="s">
        <v>37</v>
      </c>
      <c r="N4" s="206"/>
      <c r="O4" s="206" t="s">
        <v>34</v>
      </c>
      <c r="P4" s="206"/>
      <c r="Q4" s="206" t="s">
        <v>35</v>
      </c>
      <c r="R4" s="206"/>
      <c r="S4" s="206" t="s">
        <v>36</v>
      </c>
      <c r="T4" s="206"/>
      <c r="U4" s="206" t="s">
        <v>37</v>
      </c>
      <c r="V4" s="206"/>
      <c r="W4" s="206" t="s">
        <v>34</v>
      </c>
      <c r="X4" s="206"/>
      <c r="Y4" s="206" t="s">
        <v>35</v>
      </c>
      <c r="Z4" s="206"/>
      <c r="AA4" s="206" t="s">
        <v>36</v>
      </c>
      <c r="AB4" s="206"/>
      <c r="AC4" s="206" t="s">
        <v>37</v>
      </c>
      <c r="AD4" s="206"/>
    </row>
    <row r="5" spans="1:30" ht="30" customHeight="1" x14ac:dyDescent="0.15">
      <c r="A5" s="197"/>
      <c r="B5" s="198"/>
      <c r="C5" s="202"/>
      <c r="D5" s="202"/>
      <c r="E5" s="202"/>
      <c r="F5" s="202"/>
      <c r="G5" s="33" t="s">
        <v>32</v>
      </c>
      <c r="H5" s="33" t="s">
        <v>38</v>
      </c>
      <c r="I5" s="33" t="s">
        <v>32</v>
      </c>
      <c r="J5" s="33" t="s">
        <v>21</v>
      </c>
      <c r="K5" s="33" t="s">
        <v>32</v>
      </c>
      <c r="L5" s="33" t="s">
        <v>21</v>
      </c>
      <c r="M5" s="33" t="s">
        <v>32</v>
      </c>
      <c r="N5" s="33" t="s">
        <v>21</v>
      </c>
      <c r="O5" s="33" t="s">
        <v>32</v>
      </c>
      <c r="P5" s="33" t="s">
        <v>21</v>
      </c>
      <c r="Q5" s="33" t="s">
        <v>32</v>
      </c>
      <c r="R5" s="33" t="s">
        <v>21</v>
      </c>
      <c r="S5" s="33" t="s">
        <v>32</v>
      </c>
      <c r="T5" s="33" t="s">
        <v>21</v>
      </c>
      <c r="U5" s="33" t="s">
        <v>32</v>
      </c>
      <c r="V5" s="33" t="s">
        <v>70</v>
      </c>
      <c r="W5" s="33" t="s">
        <v>32</v>
      </c>
      <c r="X5" s="33" t="s">
        <v>38</v>
      </c>
      <c r="Y5" s="33" t="s">
        <v>32</v>
      </c>
      <c r="Z5" s="33" t="s">
        <v>21</v>
      </c>
      <c r="AA5" s="33" t="s">
        <v>32</v>
      </c>
      <c r="AB5" s="33" t="s">
        <v>21</v>
      </c>
      <c r="AC5" s="33" t="s">
        <v>32</v>
      </c>
      <c r="AD5" s="33" t="s">
        <v>21</v>
      </c>
    </row>
    <row r="6" spans="1:30" s="26" customFormat="1" ht="30" customHeight="1" x14ac:dyDescent="0.15">
      <c r="A6" s="65" t="s">
        <v>68</v>
      </c>
      <c r="B6" s="30" t="s">
        <v>31</v>
      </c>
      <c r="C6" s="20"/>
      <c r="D6" s="28"/>
      <c r="E6" s="28"/>
      <c r="F6" s="21"/>
      <c r="G6" s="28"/>
      <c r="H6" s="21">
        <f>J6+L6+N6</f>
        <v>561994134</v>
      </c>
      <c r="I6" s="21"/>
      <c r="J6" s="21">
        <f>SUM(J8:J9)</f>
        <v>321693006</v>
      </c>
      <c r="K6" s="28"/>
      <c r="L6" s="21">
        <f>SUM(L8:L9)</f>
        <v>137984196</v>
      </c>
      <c r="M6" s="28"/>
      <c r="N6" s="21">
        <f>SUM(N8:N9)</f>
        <v>102316932</v>
      </c>
      <c r="O6" s="28"/>
      <c r="P6" s="21">
        <f>R6+T6+V6</f>
        <v>487501794</v>
      </c>
      <c r="Q6" s="21"/>
      <c r="R6" s="21">
        <f>SUM(R8:R9)</f>
        <v>279052593</v>
      </c>
      <c r="S6" s="28"/>
      <c r="T6" s="21">
        <f>SUM(T8:T9)</f>
        <v>119694384</v>
      </c>
      <c r="U6" s="28"/>
      <c r="V6" s="21">
        <f>SUM(V8:V9)</f>
        <v>88754817</v>
      </c>
      <c r="W6" s="173"/>
      <c r="X6" s="174">
        <f>Z6+AB6+AD6</f>
        <v>399751461</v>
      </c>
      <c r="Y6" s="174"/>
      <c r="Z6" s="174">
        <f>SUM(Z8:Z9)</f>
        <v>228823122</v>
      </c>
      <c r="AA6" s="173"/>
      <c r="AB6" s="174">
        <f>SUM(AB8:AB9)</f>
        <v>98149392</v>
      </c>
      <c r="AC6" s="173"/>
      <c r="AD6" s="174">
        <f>SUM(AD8:AD9)</f>
        <v>72778947</v>
      </c>
    </row>
    <row r="7" spans="1:30" s="26" customFormat="1" ht="30" customHeight="1" x14ac:dyDescent="0.15">
      <c r="A7" s="31"/>
      <c r="B7" s="30"/>
      <c r="C7" s="20"/>
      <c r="D7" s="28"/>
      <c r="E7" s="28"/>
      <c r="F7" s="27"/>
      <c r="G7" s="28"/>
      <c r="H7" s="27"/>
      <c r="I7" s="27"/>
      <c r="J7" s="27"/>
      <c r="K7" s="28"/>
      <c r="L7" s="27"/>
      <c r="M7" s="28"/>
      <c r="N7" s="27"/>
      <c r="O7" s="28"/>
      <c r="P7" s="27"/>
      <c r="Q7" s="27"/>
      <c r="R7" s="27"/>
      <c r="S7" s="28"/>
      <c r="T7" s="27"/>
      <c r="U7" s="28"/>
      <c r="V7" s="27"/>
      <c r="W7" s="173"/>
      <c r="X7" s="175"/>
      <c r="Y7" s="175"/>
      <c r="Z7" s="175"/>
      <c r="AA7" s="173"/>
      <c r="AB7" s="175"/>
      <c r="AC7" s="173"/>
      <c r="AD7" s="175"/>
    </row>
    <row r="8" spans="1:30" s="26" customFormat="1" ht="30" customHeight="1" x14ac:dyDescent="0.15">
      <c r="A8" s="31" t="s">
        <v>69</v>
      </c>
      <c r="B8" s="30" t="s">
        <v>79</v>
      </c>
      <c r="C8" s="20" t="s">
        <v>78</v>
      </c>
      <c r="D8" s="28" t="s">
        <v>66</v>
      </c>
      <c r="E8" s="28">
        <v>6</v>
      </c>
      <c r="F8" s="27"/>
      <c r="G8" s="28">
        <f>I8+K8+M8</f>
        <v>69050989</v>
      </c>
      <c r="H8" s="27">
        <f>J8+L8+N8</f>
        <v>414305934</v>
      </c>
      <c r="I8" s="27">
        <v>37472897</v>
      </c>
      <c r="J8" s="27">
        <f>INT(E8*I8)</f>
        <v>224837382</v>
      </c>
      <c r="K8" s="27">
        <v>15410864</v>
      </c>
      <c r="L8" s="27">
        <f>INT(E8*K8)</f>
        <v>92465184</v>
      </c>
      <c r="M8" s="27">
        <v>16167228</v>
      </c>
      <c r="N8" s="27">
        <f>INT(E8*M8)</f>
        <v>97003368</v>
      </c>
      <c r="O8" s="28">
        <f>Q8+S8+U8</f>
        <v>59898278</v>
      </c>
      <c r="P8" s="27">
        <f>R8+T8+V8</f>
        <v>359389668</v>
      </c>
      <c r="Q8" s="27">
        <f>INT(I8*$O$10)</f>
        <v>32505864</v>
      </c>
      <c r="R8" s="27">
        <f>E8*Q8</f>
        <v>195035184</v>
      </c>
      <c r="S8" s="27">
        <f>INT(K8*$O$10)</f>
        <v>13368153</v>
      </c>
      <c r="T8" s="27">
        <f>S8*E8</f>
        <v>80208918</v>
      </c>
      <c r="U8" s="27">
        <f>INT(M8*$O$10)</f>
        <v>14024261</v>
      </c>
      <c r="V8" s="27">
        <f>U8*E8</f>
        <v>84145566</v>
      </c>
      <c r="W8" s="173">
        <f>Y8+AA8+AC8</f>
        <v>49116587</v>
      </c>
      <c r="X8" s="175">
        <f>Z8+AB8+AD8</f>
        <v>294699522</v>
      </c>
      <c r="Y8" s="175">
        <f>INT(Q8*$W$10)</f>
        <v>26654808</v>
      </c>
      <c r="Z8" s="175">
        <f>INT(Y8*E8)</f>
        <v>159928848</v>
      </c>
      <c r="AA8" s="175">
        <f>INT(S8*$W$10)</f>
        <v>10961885</v>
      </c>
      <c r="AB8" s="175">
        <f>INT(AA8*E8)</f>
        <v>65771310</v>
      </c>
      <c r="AC8" s="175">
        <f>INT(U8*$W$10)</f>
        <v>11499894</v>
      </c>
      <c r="AD8" s="175">
        <f>INT(AC8*E8)</f>
        <v>68999364</v>
      </c>
    </row>
    <row r="9" spans="1:30" s="26" customFormat="1" ht="30" customHeight="1" x14ac:dyDescent="0.15">
      <c r="A9" s="31" t="s">
        <v>71</v>
      </c>
      <c r="B9" s="30" t="s">
        <v>72</v>
      </c>
      <c r="C9" s="20" t="s">
        <v>74</v>
      </c>
      <c r="D9" s="28" t="s">
        <v>75</v>
      </c>
      <c r="E9" s="28">
        <v>3</v>
      </c>
      <c r="F9" s="27"/>
      <c r="G9" s="28">
        <f>I9+K9+M9</f>
        <v>49229400</v>
      </c>
      <c r="H9" s="27">
        <f>J9+L9+N9</f>
        <v>147688200</v>
      </c>
      <c r="I9" s="27">
        <f>가배관내역서!I5</f>
        <v>32285208</v>
      </c>
      <c r="J9" s="27">
        <f>INT(E9*I9)</f>
        <v>96855624</v>
      </c>
      <c r="K9" s="27">
        <f>가배관내역서!K5</f>
        <v>15173004</v>
      </c>
      <c r="L9" s="27">
        <f>INT(E9*K9)</f>
        <v>45519012</v>
      </c>
      <c r="M9" s="27">
        <f>가배관내역서!M5</f>
        <v>1771188</v>
      </c>
      <c r="N9" s="27">
        <f>INT(E9*M9)</f>
        <v>5313564</v>
      </c>
      <c r="O9" s="28">
        <f>Q9+S9+U9</f>
        <v>42704042</v>
      </c>
      <c r="P9" s="27">
        <f>R9+T9+V9</f>
        <v>128112126</v>
      </c>
      <c r="Q9" s="27">
        <f>INT(I9*$O$10)</f>
        <v>28005803</v>
      </c>
      <c r="R9" s="27">
        <f>E9*Q9</f>
        <v>84017409</v>
      </c>
      <c r="S9" s="27">
        <f>INT(K9*$O$10)</f>
        <v>13161822</v>
      </c>
      <c r="T9" s="27">
        <f>S9*E9</f>
        <v>39485466</v>
      </c>
      <c r="U9" s="27">
        <f>INT(M9*$O$10)</f>
        <v>1536417</v>
      </c>
      <c r="V9" s="27">
        <f>U9*E9</f>
        <v>4609251</v>
      </c>
      <c r="W9" s="173">
        <f>Y9+AA9+AC9</f>
        <v>35017313</v>
      </c>
      <c r="X9" s="175">
        <f>Z9+AB9+AD9</f>
        <v>105051939</v>
      </c>
      <c r="Y9" s="175">
        <f>INT(Q9*$W$10)</f>
        <v>22964758</v>
      </c>
      <c r="Z9" s="175">
        <f>INT(Y9*E9)</f>
        <v>68894274</v>
      </c>
      <c r="AA9" s="175">
        <f>INT(S9*$W$10)</f>
        <v>10792694</v>
      </c>
      <c r="AB9" s="175">
        <f>INT(AA9*E9)</f>
        <v>32378082</v>
      </c>
      <c r="AC9" s="175">
        <f>INT(U9*$W$10)</f>
        <v>1259861</v>
      </c>
      <c r="AD9" s="175">
        <f>INT(AC9*E9)</f>
        <v>3779583</v>
      </c>
    </row>
    <row r="10" spans="1:30" hidden="1" x14ac:dyDescent="0.15">
      <c r="O10" s="64">
        <v>0.86745000000000005</v>
      </c>
      <c r="W10" s="36">
        <v>0.82</v>
      </c>
    </row>
    <row r="11" spans="1:30" x14ac:dyDescent="0.15">
      <c r="W11" s="36"/>
    </row>
  </sheetData>
  <mergeCells count="21">
    <mergeCell ref="O4:P4"/>
    <mergeCell ref="D3:D5"/>
    <mergeCell ref="Q4:R4"/>
    <mergeCell ref="S4:T4"/>
    <mergeCell ref="U4:V4"/>
    <mergeCell ref="A3:B5"/>
    <mergeCell ref="A1:Z1"/>
    <mergeCell ref="C3:C5"/>
    <mergeCell ref="E3:E5"/>
    <mergeCell ref="F3:F5"/>
    <mergeCell ref="G3:N3"/>
    <mergeCell ref="G4:H4"/>
    <mergeCell ref="I4:J4"/>
    <mergeCell ref="M4:N4"/>
    <mergeCell ref="K4:L4"/>
    <mergeCell ref="W3:AD3"/>
    <mergeCell ref="W4:X4"/>
    <mergeCell ref="Y4:Z4"/>
    <mergeCell ref="AA4:AB4"/>
    <mergeCell ref="AC4:AD4"/>
    <mergeCell ref="O3:V3"/>
  </mergeCells>
  <phoneticPr fontId="3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81" firstPageNumber="2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R18"/>
  <sheetViews>
    <sheetView workbookViewId="0">
      <pane xSplit="5" ySplit="4" topLeftCell="F5" activePane="bottomRight" state="frozen"/>
      <selection activeCell="F28" sqref="F28"/>
      <selection pane="topRight" activeCell="F28" sqref="F28"/>
      <selection pane="bottomLeft" activeCell="F28" sqref="F28"/>
      <selection pane="bottomRight" activeCell="H13" sqref="H13"/>
    </sheetView>
  </sheetViews>
  <sheetFormatPr defaultRowHeight="11.25" x14ac:dyDescent="0.15"/>
  <cols>
    <col min="1" max="1" width="3.5546875" style="71" customWidth="1"/>
    <col min="2" max="3" width="13.88671875" style="71" customWidth="1"/>
    <col min="4" max="4" width="7.21875" style="71" customWidth="1"/>
    <col min="5" max="5" width="4" style="72" bestFit="1" customWidth="1"/>
    <col min="6" max="13" width="11.21875" style="71" customWidth="1"/>
    <col min="14" max="14" width="11.21875" style="72" customWidth="1"/>
    <col min="15" max="16384" width="8.88671875" style="71"/>
  </cols>
  <sheetData>
    <row r="1" spans="1:18" ht="27.75" customHeight="1" x14ac:dyDescent="0.15">
      <c r="A1" s="211" t="s">
        <v>151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</row>
    <row r="2" spans="1:18" ht="15" customHeight="1" x14ac:dyDescent="0.15">
      <c r="A2" s="172" t="s">
        <v>163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</row>
    <row r="3" spans="1:18" ht="21.95" customHeight="1" x14ac:dyDescent="0.15">
      <c r="A3" s="212" t="s">
        <v>81</v>
      </c>
      <c r="B3" s="213"/>
      <c r="C3" s="214" t="s">
        <v>82</v>
      </c>
      <c r="D3" s="214" t="s">
        <v>83</v>
      </c>
      <c r="E3" s="214" t="s">
        <v>19</v>
      </c>
      <c r="F3" s="214" t="s">
        <v>84</v>
      </c>
      <c r="G3" s="214" t="s">
        <v>85</v>
      </c>
      <c r="H3" s="214" t="s">
        <v>86</v>
      </c>
      <c r="I3" s="214" t="s">
        <v>85</v>
      </c>
      <c r="J3" s="214" t="s">
        <v>87</v>
      </c>
      <c r="K3" s="214" t="s">
        <v>85</v>
      </c>
      <c r="L3" s="214" t="s">
        <v>88</v>
      </c>
      <c r="M3" s="214" t="s">
        <v>85</v>
      </c>
      <c r="N3" s="215" t="s">
        <v>89</v>
      </c>
    </row>
    <row r="4" spans="1:18" ht="21.95" customHeight="1" x14ac:dyDescent="0.15">
      <c r="A4" s="212"/>
      <c r="B4" s="213"/>
      <c r="C4" s="214" t="s">
        <v>85</v>
      </c>
      <c r="D4" s="214" t="s">
        <v>85</v>
      </c>
      <c r="E4" s="214" t="s">
        <v>85</v>
      </c>
      <c r="F4" s="73" t="s">
        <v>90</v>
      </c>
      <c r="G4" s="73" t="s">
        <v>29</v>
      </c>
      <c r="H4" s="73" t="s">
        <v>90</v>
      </c>
      <c r="I4" s="73" t="s">
        <v>29</v>
      </c>
      <c r="J4" s="73" t="s">
        <v>90</v>
      </c>
      <c r="K4" s="73" t="s">
        <v>29</v>
      </c>
      <c r="L4" s="73" t="s">
        <v>90</v>
      </c>
      <c r="M4" s="73" t="s">
        <v>29</v>
      </c>
      <c r="N4" s="215" t="s">
        <v>85</v>
      </c>
    </row>
    <row r="5" spans="1:18" ht="21.95" customHeight="1" x14ac:dyDescent="0.15">
      <c r="A5" s="157" t="s">
        <v>164</v>
      </c>
      <c r="B5" s="158"/>
      <c r="C5" s="159"/>
      <c r="D5" s="159"/>
      <c r="E5" s="160"/>
      <c r="F5" s="161"/>
      <c r="G5" s="162">
        <f>I5+K5+M5</f>
        <v>49229400</v>
      </c>
      <c r="H5" s="161"/>
      <c r="I5" s="162">
        <f>I7</f>
        <v>32285208</v>
      </c>
      <c r="J5" s="161"/>
      <c r="K5" s="162">
        <f>K7</f>
        <v>15173004</v>
      </c>
      <c r="L5" s="161"/>
      <c r="M5" s="162">
        <f>M7</f>
        <v>1771188</v>
      </c>
      <c r="N5" s="163"/>
      <c r="R5" s="164"/>
    </row>
    <row r="6" spans="1:18" ht="21.95" customHeight="1" x14ac:dyDescent="0.15">
      <c r="A6" s="74"/>
      <c r="B6" s="75"/>
      <c r="C6" s="76"/>
      <c r="D6" s="76"/>
      <c r="E6" s="73"/>
      <c r="F6" s="77"/>
      <c r="G6" s="78"/>
      <c r="H6" s="77"/>
      <c r="I6" s="78"/>
      <c r="J6" s="77"/>
      <c r="K6" s="78"/>
      <c r="L6" s="77"/>
      <c r="M6" s="78"/>
      <c r="N6" s="79"/>
    </row>
    <row r="7" spans="1:18" ht="21.95" customHeight="1" x14ac:dyDescent="0.15">
      <c r="A7" s="165" t="s">
        <v>172</v>
      </c>
      <c r="B7" s="80"/>
      <c r="C7" s="81" t="s">
        <v>173</v>
      </c>
      <c r="D7" s="81"/>
      <c r="E7" s="82"/>
      <c r="F7" s="83"/>
      <c r="G7" s="84">
        <f>I7+K7+M7</f>
        <v>49229400</v>
      </c>
      <c r="H7" s="83"/>
      <c r="I7" s="84">
        <f>SUM(I8:I17)</f>
        <v>32285208</v>
      </c>
      <c r="J7" s="83"/>
      <c r="K7" s="84">
        <f>SUM(K8:K17)</f>
        <v>15173004</v>
      </c>
      <c r="L7" s="83"/>
      <c r="M7" s="84">
        <f>SUM(M8:M17)</f>
        <v>1771188</v>
      </c>
      <c r="N7" s="85"/>
    </row>
    <row r="8" spans="1:18" ht="21.95" customHeight="1" x14ac:dyDescent="0.15">
      <c r="A8" s="74"/>
      <c r="B8" s="166" t="str">
        <f>[107]목록!B4</f>
        <v>강관부설(기계)</v>
      </c>
      <c r="C8" s="76" t="s">
        <v>171</v>
      </c>
      <c r="D8" s="86">
        <v>7</v>
      </c>
      <c r="E8" s="73" t="s">
        <v>152</v>
      </c>
      <c r="F8" s="167">
        <f t="shared" ref="F8:G17" si="0">H8+J8+L8</f>
        <v>1158852.3999999999</v>
      </c>
      <c r="G8" s="167">
        <f t="shared" si="0"/>
        <v>8111966.8000000007</v>
      </c>
      <c r="H8" s="167">
        <f>[107]목록!I4</f>
        <v>106347.2</v>
      </c>
      <c r="I8" s="167">
        <f>TRUNC(H8*D8,1)</f>
        <v>744430.4</v>
      </c>
      <c r="J8" s="167">
        <f>[107]목록!K4</f>
        <v>896273.4</v>
      </c>
      <c r="K8" s="167">
        <f>TRUNC(J8*D8,1)</f>
        <v>6273913.7999999998</v>
      </c>
      <c r="L8" s="167">
        <f>[107]목록!M4</f>
        <v>156231.79999999999</v>
      </c>
      <c r="M8" s="167">
        <f>TRUNC(L8*D8,1)</f>
        <v>1093622.6000000001</v>
      </c>
      <c r="N8" s="79" t="s">
        <v>85</v>
      </c>
    </row>
    <row r="9" spans="1:18" ht="21.95" customHeight="1" x14ac:dyDescent="0.15">
      <c r="A9" s="74"/>
      <c r="B9" s="166" t="str">
        <f>[107]목록!B6</f>
        <v>강관접합(B종)</v>
      </c>
      <c r="C9" s="76" t="s">
        <v>171</v>
      </c>
      <c r="D9" s="86">
        <v>6</v>
      </c>
      <c r="E9" s="73" t="s">
        <v>153</v>
      </c>
      <c r="F9" s="167">
        <f t="shared" si="0"/>
        <v>641953.5</v>
      </c>
      <c r="G9" s="167">
        <f t="shared" si="0"/>
        <v>3851721</v>
      </c>
      <c r="H9" s="167">
        <f>[107]목록!I6</f>
        <v>47946.5</v>
      </c>
      <c r="I9" s="167">
        <f t="shared" ref="I9:I17" si="1">TRUNC(H9*D9,1)</f>
        <v>287679</v>
      </c>
      <c r="J9" s="167">
        <f>[107]목록!K6</f>
        <v>560384</v>
      </c>
      <c r="K9" s="167">
        <f t="shared" ref="K9:K12" si="2">TRUNC(J9*D9,1)</f>
        <v>3362304</v>
      </c>
      <c r="L9" s="167">
        <f>[107]목록!M6</f>
        <v>33623</v>
      </c>
      <c r="M9" s="167">
        <f t="shared" ref="M9:M12" si="3">TRUNC(L9*D9,1)</f>
        <v>201738</v>
      </c>
      <c r="N9" s="79" t="s">
        <v>85</v>
      </c>
    </row>
    <row r="10" spans="1:18" ht="21.95" customHeight="1" x14ac:dyDescent="0.15">
      <c r="A10" s="74"/>
      <c r="B10" s="166" t="str">
        <f>[107]목록!B8</f>
        <v>강관절단(B종)</v>
      </c>
      <c r="C10" s="76" t="s">
        <v>171</v>
      </c>
      <c r="D10" s="86">
        <v>1</v>
      </c>
      <c r="E10" s="73" t="s">
        <v>153</v>
      </c>
      <c r="F10" s="167">
        <f t="shared" si="0"/>
        <v>536135</v>
      </c>
      <c r="G10" s="167">
        <f t="shared" si="0"/>
        <v>536135</v>
      </c>
      <c r="H10" s="167">
        <f>[107]목록!I8</f>
        <v>57031</v>
      </c>
      <c r="I10" s="167">
        <f t="shared" si="1"/>
        <v>57031</v>
      </c>
      <c r="J10" s="167">
        <f>[107]목록!K8</f>
        <v>479104</v>
      </c>
      <c r="K10" s="167">
        <f t="shared" si="2"/>
        <v>479104</v>
      </c>
      <c r="L10" s="167">
        <f>[107]목록!M8</f>
        <v>0</v>
      </c>
      <c r="M10" s="167">
        <f t="shared" si="3"/>
        <v>0</v>
      </c>
      <c r="N10" s="79" t="s">
        <v>85</v>
      </c>
    </row>
    <row r="11" spans="1:18" ht="21.95" customHeight="1" x14ac:dyDescent="0.15">
      <c r="A11" s="74"/>
      <c r="B11" s="166" t="str">
        <f>[107]목록!B10</f>
        <v>플랜지조인트접합</v>
      </c>
      <c r="C11" s="76" t="s">
        <v>171</v>
      </c>
      <c r="D11" s="86">
        <v>2</v>
      </c>
      <c r="E11" s="73" t="s">
        <v>153</v>
      </c>
      <c r="F11" s="167">
        <f t="shared" si="0"/>
        <v>831878</v>
      </c>
      <c r="G11" s="167">
        <f t="shared" si="0"/>
        <v>1663756</v>
      </c>
      <c r="H11" s="167">
        <f>[107]목록!I10</f>
        <v>650000</v>
      </c>
      <c r="I11" s="167">
        <f t="shared" si="1"/>
        <v>1300000</v>
      </c>
      <c r="J11" s="167">
        <f>[107]목록!K10</f>
        <v>178312</v>
      </c>
      <c r="K11" s="167">
        <f t="shared" si="2"/>
        <v>356624</v>
      </c>
      <c r="L11" s="167">
        <f>[107]목록!M10</f>
        <v>3566</v>
      </c>
      <c r="M11" s="167">
        <f t="shared" si="3"/>
        <v>7132</v>
      </c>
      <c r="N11" s="79"/>
    </row>
    <row r="12" spans="1:18" ht="21.95" customHeight="1" x14ac:dyDescent="0.15">
      <c r="A12" s="74"/>
      <c r="B12" s="166" t="str">
        <f>[107]목록!B12</f>
        <v>강관철거</v>
      </c>
      <c r="C12" s="76" t="s">
        <v>171</v>
      </c>
      <c r="D12" s="86">
        <v>6</v>
      </c>
      <c r="E12" s="73" t="s">
        <v>154</v>
      </c>
      <c r="F12" s="167">
        <f t="shared" si="0"/>
        <v>968955.2</v>
      </c>
      <c r="G12" s="167">
        <f t="shared" si="0"/>
        <v>5813731.2000000002</v>
      </c>
      <c r="H12" s="167">
        <f>[107]목록!I12</f>
        <v>107329.60000000001</v>
      </c>
      <c r="I12" s="167">
        <f t="shared" si="1"/>
        <v>643977.6</v>
      </c>
      <c r="J12" s="167">
        <f>[107]목록!K12</f>
        <v>783509.7</v>
      </c>
      <c r="K12" s="167">
        <f t="shared" si="2"/>
        <v>4701058.2</v>
      </c>
      <c r="L12" s="167">
        <f>[107]목록!M12</f>
        <v>78115.899999999994</v>
      </c>
      <c r="M12" s="167">
        <f t="shared" si="3"/>
        <v>468695.4</v>
      </c>
      <c r="N12" s="79"/>
    </row>
    <row r="13" spans="1:18" ht="21.95" customHeight="1" x14ac:dyDescent="0.15">
      <c r="A13" s="74"/>
      <c r="B13" s="168" t="s">
        <v>155</v>
      </c>
      <c r="C13" s="169" t="s">
        <v>165</v>
      </c>
      <c r="D13" s="170">
        <v>1</v>
      </c>
      <c r="E13" s="171" t="s">
        <v>156</v>
      </c>
      <c r="F13" s="167">
        <f t="shared" si="0"/>
        <v>4311580</v>
      </c>
      <c r="G13" s="167">
        <f t="shared" si="0"/>
        <v>4311580</v>
      </c>
      <c r="H13" s="167">
        <f>696490*6+132640</f>
        <v>4311580</v>
      </c>
      <c r="I13" s="167">
        <f t="shared" si="1"/>
        <v>4311580</v>
      </c>
      <c r="J13" s="167"/>
      <c r="K13" s="167"/>
      <c r="L13" s="167"/>
      <c r="M13" s="167"/>
      <c r="N13" s="79"/>
    </row>
    <row r="14" spans="1:18" ht="21.95" customHeight="1" x14ac:dyDescent="0.15">
      <c r="A14" s="74"/>
      <c r="B14" s="176" t="s">
        <v>174</v>
      </c>
      <c r="C14" s="177" t="s">
        <v>176</v>
      </c>
      <c r="D14" s="178">
        <v>1</v>
      </c>
      <c r="E14" s="179" t="s">
        <v>175</v>
      </c>
      <c r="F14" s="181">
        <f t="shared" si="0"/>
        <v>4717440</v>
      </c>
      <c r="G14" s="181">
        <f t="shared" si="0"/>
        <v>4717440</v>
      </c>
      <c r="H14" s="167">
        <f>1146200*4+132640</f>
        <v>4717440</v>
      </c>
      <c r="I14" s="181">
        <f t="shared" ref="I14" si="4">TRUNC(H14*D14,0)</f>
        <v>4717440</v>
      </c>
      <c r="J14" s="180"/>
      <c r="K14" s="167"/>
      <c r="L14" s="167"/>
      <c r="M14" s="167"/>
      <c r="N14" s="79"/>
    </row>
    <row r="15" spans="1:18" ht="21.95" customHeight="1" x14ac:dyDescent="0.15">
      <c r="A15" s="74"/>
      <c r="B15" s="168" t="s">
        <v>158</v>
      </c>
      <c r="C15" s="169" t="s">
        <v>167</v>
      </c>
      <c r="D15" s="170">
        <v>2</v>
      </c>
      <c r="E15" s="171" t="s">
        <v>159</v>
      </c>
      <c r="F15" s="167">
        <f t="shared" si="0"/>
        <v>3559230</v>
      </c>
      <c r="G15" s="167">
        <f t="shared" si="0"/>
        <v>7118460</v>
      </c>
      <c r="H15" s="167">
        <f>1146200*2+1266830</f>
        <v>3559230</v>
      </c>
      <c r="I15" s="167">
        <f t="shared" si="1"/>
        <v>7118460</v>
      </c>
      <c r="J15" s="167"/>
      <c r="K15" s="167"/>
      <c r="L15" s="167"/>
      <c r="M15" s="167"/>
      <c r="N15" s="79"/>
    </row>
    <row r="16" spans="1:18" ht="21.95" customHeight="1" x14ac:dyDescent="0.15">
      <c r="A16" s="74"/>
      <c r="B16" s="168" t="s">
        <v>160</v>
      </c>
      <c r="C16" s="169" t="s">
        <v>166</v>
      </c>
      <c r="D16" s="170">
        <v>2</v>
      </c>
      <c r="E16" s="171" t="s">
        <v>157</v>
      </c>
      <c r="F16" s="167">
        <f t="shared" si="0"/>
        <v>6422850</v>
      </c>
      <c r="G16" s="167">
        <f t="shared" si="0"/>
        <v>12845700</v>
      </c>
      <c r="H16" s="167">
        <f>6290210+132640</f>
        <v>6422850</v>
      </c>
      <c r="I16" s="167">
        <f t="shared" si="1"/>
        <v>12845700</v>
      </c>
      <c r="J16" s="167"/>
      <c r="K16" s="167"/>
      <c r="L16" s="167"/>
      <c r="M16" s="167"/>
      <c r="N16" s="79"/>
    </row>
    <row r="17" spans="1:14" ht="21.95" customHeight="1" x14ac:dyDescent="0.15">
      <c r="A17" s="74"/>
      <c r="B17" s="168" t="s">
        <v>161</v>
      </c>
      <c r="C17" s="169" t="s">
        <v>168</v>
      </c>
      <c r="D17" s="170">
        <v>1</v>
      </c>
      <c r="E17" s="171" t="s">
        <v>157</v>
      </c>
      <c r="F17" s="167">
        <f t="shared" si="0"/>
        <v>258910</v>
      </c>
      <c r="G17" s="167">
        <f t="shared" si="0"/>
        <v>258910</v>
      </c>
      <c r="H17" s="167">
        <v>258910</v>
      </c>
      <c r="I17" s="167">
        <f t="shared" si="1"/>
        <v>258910</v>
      </c>
      <c r="J17" s="167"/>
      <c r="K17" s="167"/>
      <c r="L17" s="167"/>
      <c r="M17" s="167"/>
      <c r="N17" s="79"/>
    </row>
    <row r="18" spans="1:14" ht="21.95" customHeight="1" x14ac:dyDescent="0.15">
      <c r="A18" s="74"/>
      <c r="B18" s="166"/>
      <c r="C18" s="87"/>
      <c r="D18" s="86"/>
      <c r="E18" s="73"/>
      <c r="F18" s="167"/>
      <c r="G18" s="167"/>
      <c r="H18" s="167"/>
      <c r="I18" s="167"/>
      <c r="J18" s="167"/>
      <c r="K18" s="167"/>
      <c r="L18" s="167"/>
      <c r="M18" s="167"/>
      <c r="N18" s="79"/>
    </row>
  </sheetData>
  <mergeCells count="10">
    <mergeCell ref="A1:N1"/>
    <mergeCell ref="A3:B4"/>
    <mergeCell ref="C3:C4"/>
    <mergeCell ref="D3:D4"/>
    <mergeCell ref="E3:E4"/>
    <mergeCell ref="F3:G3"/>
    <mergeCell ref="H3:I3"/>
    <mergeCell ref="J3:K3"/>
    <mergeCell ref="L3:M3"/>
    <mergeCell ref="N3:N4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5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N10"/>
  <sheetViews>
    <sheetView zoomScaleNormal="100" workbookViewId="0">
      <pane ySplit="2" topLeftCell="A3" activePane="bottomLeft" state="frozen"/>
      <selection activeCell="F28" sqref="F28"/>
      <selection pane="bottomLeft" activeCell="C13" sqref="C13"/>
    </sheetView>
  </sheetViews>
  <sheetFormatPr defaultRowHeight="12.75" customHeight="1" x14ac:dyDescent="0.15"/>
  <cols>
    <col min="1" max="1" width="5.88671875" style="71" customWidth="1"/>
    <col min="2" max="3" width="23.88671875" style="71" customWidth="1"/>
    <col min="4" max="4" width="7.21875" style="71" customWidth="1"/>
    <col min="5" max="5" width="5.88671875" style="72" customWidth="1"/>
    <col min="6" max="6" width="8.5546875" style="72" hidden="1" customWidth="1"/>
    <col min="7" max="7" width="9.88671875" style="71" customWidth="1"/>
    <col min="8" max="8" width="8.5546875" style="71" hidden="1" customWidth="1"/>
    <col min="9" max="9" width="9.88671875" style="71" customWidth="1"/>
    <col min="10" max="10" width="8.5546875" style="71" hidden="1" customWidth="1"/>
    <col min="11" max="11" width="9.88671875" style="71" customWidth="1"/>
    <col min="12" max="12" width="8.5546875" style="71" hidden="1" customWidth="1"/>
    <col min="13" max="13" width="9.88671875" style="71" customWidth="1"/>
    <col min="14" max="14" width="10.5546875" style="72" customWidth="1"/>
    <col min="15" max="16384" width="8.88671875" style="71"/>
  </cols>
  <sheetData>
    <row r="1" spans="1:14" ht="18" customHeight="1" x14ac:dyDescent="0.15">
      <c r="A1" s="88" t="s">
        <v>113</v>
      </c>
    </row>
    <row r="2" spans="1:14" ht="18" customHeight="1" x14ac:dyDescent="0.15">
      <c r="A2" s="216" t="s">
        <v>81</v>
      </c>
      <c r="B2" s="217"/>
      <c r="C2" s="89" t="s">
        <v>114</v>
      </c>
      <c r="D2" s="89" t="s">
        <v>28</v>
      </c>
      <c r="E2" s="89" t="s">
        <v>115</v>
      </c>
      <c r="F2" s="89"/>
      <c r="G2" s="89" t="s">
        <v>84</v>
      </c>
      <c r="H2" s="89"/>
      <c r="I2" s="89" t="s">
        <v>86</v>
      </c>
      <c r="J2" s="89"/>
      <c r="K2" s="89" t="s">
        <v>87</v>
      </c>
      <c r="L2" s="89"/>
      <c r="M2" s="89" t="s">
        <v>88</v>
      </c>
      <c r="N2" s="89" t="s">
        <v>89</v>
      </c>
    </row>
    <row r="3" spans="1:14" ht="18" customHeight="1" x14ac:dyDescent="0.15">
      <c r="A3" s="90"/>
      <c r="B3" s="91"/>
      <c r="C3" s="92"/>
      <c r="D3" s="92"/>
      <c r="E3" s="89"/>
      <c r="F3" s="89"/>
      <c r="G3" s="93"/>
      <c r="H3" s="93"/>
      <c r="I3" s="93"/>
      <c r="J3" s="93"/>
      <c r="K3" s="93"/>
      <c r="L3" s="93"/>
      <c r="M3" s="93"/>
      <c r="N3" s="89"/>
    </row>
    <row r="4" spans="1:14" ht="18" customHeight="1" x14ac:dyDescent="0.15">
      <c r="A4" s="94">
        <v>1</v>
      </c>
      <c r="B4" s="95" t="str">
        <f>[107]일위대가!B5</f>
        <v>강관부설(기계)</v>
      </c>
      <c r="C4" s="96" t="str">
        <f>강관부설!C5</f>
        <v>D900㎜</v>
      </c>
      <c r="D4" s="92">
        <v>1</v>
      </c>
      <c r="E4" s="89" t="s">
        <v>116</v>
      </c>
      <c r="F4" s="89"/>
      <c r="G4" s="97">
        <f t="shared" ref="G4:G9" si="0">I4+K4+M4</f>
        <v>363851.1</v>
      </c>
      <c r="H4" s="97"/>
      <c r="I4" s="97">
        <f>강관부설!I5</f>
        <v>31070.2</v>
      </c>
      <c r="J4" s="97">
        <f>강관부설!J5</f>
        <v>0</v>
      </c>
      <c r="K4" s="97">
        <f>강관부설!K5</f>
        <v>292715.59999999998</v>
      </c>
      <c r="L4" s="97">
        <f>강관부설!L5</f>
        <v>0</v>
      </c>
      <c r="M4" s="97">
        <f>강관부설!M5</f>
        <v>40065.300000000003</v>
      </c>
      <c r="N4" s="89"/>
    </row>
    <row r="5" spans="1:14" ht="18" customHeight="1" x14ac:dyDescent="0.15">
      <c r="A5" s="94">
        <v>3</v>
      </c>
      <c r="B5" s="98" t="str">
        <f>[107]일위대가!B17</f>
        <v>강관접합(B종)</v>
      </c>
      <c r="C5" s="99" t="str">
        <f>C4</f>
        <v>D900㎜</v>
      </c>
      <c r="D5" s="92">
        <v>1</v>
      </c>
      <c r="E5" s="89" t="s">
        <v>95</v>
      </c>
      <c r="F5" s="89"/>
      <c r="G5" s="97">
        <f t="shared" si="0"/>
        <v>604605.69999999995</v>
      </c>
      <c r="H5" s="97"/>
      <c r="I5" s="97">
        <f>강관부설!I11</f>
        <v>10598.7</v>
      </c>
      <c r="J5" s="97"/>
      <c r="K5" s="97">
        <f>[107]일위대가!K17</f>
        <v>560384</v>
      </c>
      <c r="L5" s="97"/>
      <c r="M5" s="97">
        <f>[107]일위대가!M17</f>
        <v>33623</v>
      </c>
      <c r="N5" s="89"/>
    </row>
    <row r="6" spans="1:14" ht="18" customHeight="1" x14ac:dyDescent="0.15">
      <c r="A6" s="94">
        <v>5</v>
      </c>
      <c r="B6" s="98" t="str">
        <f>[107]일위대가!B29</f>
        <v>강관절단(B종)</v>
      </c>
      <c r="C6" s="99" t="str">
        <f>C5</f>
        <v>D900㎜</v>
      </c>
      <c r="D6" s="92">
        <v>1</v>
      </c>
      <c r="E6" s="89" t="s">
        <v>95</v>
      </c>
      <c r="F6" s="89"/>
      <c r="G6" s="97">
        <f t="shared" si="0"/>
        <v>502473</v>
      </c>
      <c r="H6" s="97"/>
      <c r="I6" s="97">
        <f>강관부설!I17</f>
        <v>23369</v>
      </c>
      <c r="J6" s="97"/>
      <c r="K6" s="97">
        <f>[107]일위대가!K29</f>
        <v>479104</v>
      </c>
      <c r="L6" s="97"/>
      <c r="M6" s="97">
        <f>[107]일위대가!M29</f>
        <v>0</v>
      </c>
      <c r="N6" s="89"/>
    </row>
    <row r="7" spans="1:14" ht="18" customHeight="1" x14ac:dyDescent="0.15">
      <c r="A7" s="94">
        <v>7</v>
      </c>
      <c r="B7" s="98" t="str">
        <f>[107]일위대가!B43</f>
        <v>플랜지조인트접합</v>
      </c>
      <c r="C7" s="99" t="str">
        <f>C6</f>
        <v>D900㎜</v>
      </c>
      <c r="D7" s="92">
        <v>1</v>
      </c>
      <c r="E7" s="89" t="s">
        <v>95</v>
      </c>
      <c r="F7" s="89"/>
      <c r="G7" s="97">
        <f t="shared" si="0"/>
        <v>181878</v>
      </c>
      <c r="H7" s="97"/>
      <c r="I7" s="97">
        <f>강관부설!I24</f>
        <v>0</v>
      </c>
      <c r="J7" s="97"/>
      <c r="K7" s="97">
        <f>[107]일위대가!K43</f>
        <v>178312</v>
      </c>
      <c r="L7" s="97"/>
      <c r="M7" s="97">
        <f>[107]일위대가!M43</f>
        <v>3566</v>
      </c>
      <c r="N7" s="89"/>
    </row>
    <row r="8" spans="1:14" ht="18" customHeight="1" x14ac:dyDescent="0.15">
      <c r="A8" s="94">
        <v>9</v>
      </c>
      <c r="B8" s="98" t="str">
        <f>[107]일위대가!B55</f>
        <v>강관철거</v>
      </c>
      <c r="C8" s="99" t="str">
        <f>C7</f>
        <v>D900㎜</v>
      </c>
      <c r="D8" s="92">
        <v>1</v>
      </c>
      <c r="E8" s="89" t="s">
        <v>95</v>
      </c>
      <c r="F8" s="89"/>
      <c r="G8" s="97">
        <f t="shared" si="0"/>
        <v>899360.7</v>
      </c>
      <c r="H8" s="97"/>
      <c r="I8" s="97">
        <f>강관부설!I29</f>
        <v>37735.1</v>
      </c>
      <c r="J8" s="97"/>
      <c r="K8" s="97">
        <f>[107]일위대가!K55</f>
        <v>783509.7</v>
      </c>
      <c r="L8" s="97"/>
      <c r="M8" s="97">
        <f>[107]일위대가!M55</f>
        <v>78115.899999999994</v>
      </c>
      <c r="N8" s="89"/>
    </row>
    <row r="9" spans="1:14" ht="18" customHeight="1" x14ac:dyDescent="0.15">
      <c r="A9" s="94">
        <v>11</v>
      </c>
      <c r="B9" s="98" t="str">
        <f>[107]일위대가!B63</f>
        <v>강관절단(철거)</v>
      </c>
      <c r="C9" s="99" t="str">
        <f>C8</f>
        <v>D900㎜</v>
      </c>
      <c r="D9" s="92">
        <v>1</v>
      </c>
      <c r="E9" s="89" t="s">
        <v>95</v>
      </c>
      <c r="F9" s="89"/>
      <c r="G9" s="97">
        <f t="shared" si="0"/>
        <v>357573</v>
      </c>
      <c r="H9" s="97"/>
      <c r="I9" s="97">
        <f>강관부설!I33</f>
        <v>22200</v>
      </c>
      <c r="J9" s="97"/>
      <c r="K9" s="97">
        <f>[107]일위대가!K63</f>
        <v>335373</v>
      </c>
      <c r="L9" s="97"/>
      <c r="M9" s="97">
        <f>[107]일위대가!M63</f>
        <v>0</v>
      </c>
      <c r="N9" s="89"/>
    </row>
    <row r="10" spans="1:14" ht="18" customHeight="1" x14ac:dyDescent="0.15">
      <c r="A10" s="94"/>
      <c r="B10" s="98"/>
      <c r="C10" s="99"/>
      <c r="D10" s="92"/>
      <c r="E10" s="89"/>
      <c r="F10" s="89"/>
      <c r="G10" s="97"/>
      <c r="H10" s="97"/>
      <c r="I10" s="97"/>
      <c r="J10" s="97"/>
      <c r="K10" s="97"/>
      <c r="L10" s="97"/>
      <c r="M10" s="97"/>
      <c r="N10" s="89"/>
    </row>
  </sheetData>
  <mergeCells count="1">
    <mergeCell ref="A2:B2"/>
  </mergeCells>
  <phoneticPr fontId="3" type="noConversion"/>
  <pageMargins left="0.31496062992125984" right="0.31496062992125984" top="1" bottom="0.59055118110236215" header="0.5" footer="0.5"/>
  <pageSetup paperSize="9" scale="88" orientation="landscape" r:id="rId1"/>
  <headerFooter alignWithMargins="0">
    <oddHeader>&amp;RPage : &amp;P/&amp;N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N38"/>
  <sheetViews>
    <sheetView workbookViewId="0">
      <pane xSplit="5" ySplit="3" topLeftCell="F4" activePane="bottomRight" state="frozen"/>
      <selection activeCell="F28" sqref="F28"/>
      <selection pane="topRight" activeCell="F28" sqref="F28"/>
      <selection pane="bottomLeft" activeCell="F28" sqref="F28"/>
      <selection pane="bottomRight" activeCell="J15" sqref="J15"/>
    </sheetView>
  </sheetViews>
  <sheetFormatPr defaultRowHeight="11.25" x14ac:dyDescent="0.15"/>
  <cols>
    <col min="1" max="1" width="5.88671875" style="71" customWidth="1"/>
    <col min="2" max="3" width="23.88671875" style="71" customWidth="1"/>
    <col min="4" max="4" width="7.21875" style="71" customWidth="1"/>
    <col min="5" max="5" width="5.88671875" style="72" customWidth="1"/>
    <col min="6" max="6" width="8.5546875" style="71" customWidth="1"/>
    <col min="7" max="7" width="9.88671875" style="71" customWidth="1"/>
    <col min="8" max="8" width="8.5546875" style="71" customWidth="1"/>
    <col min="9" max="9" width="9.88671875" style="71" customWidth="1"/>
    <col min="10" max="10" width="8.5546875" style="71" customWidth="1"/>
    <col min="11" max="11" width="9.88671875" style="71" customWidth="1"/>
    <col min="12" max="12" width="8.5546875" style="71" customWidth="1"/>
    <col min="13" max="13" width="9.88671875" style="71" customWidth="1"/>
    <col min="14" max="14" width="10.5546875" style="72" customWidth="1"/>
    <col min="15" max="16384" width="8.88671875" style="71"/>
  </cols>
  <sheetData>
    <row r="1" spans="1:14" ht="15" customHeight="1" x14ac:dyDescent="0.15">
      <c r="A1" s="42" t="s">
        <v>80</v>
      </c>
    </row>
    <row r="2" spans="1:14" ht="15" customHeight="1" x14ac:dyDescent="0.15">
      <c r="A2" s="212" t="s">
        <v>81</v>
      </c>
      <c r="B2" s="213"/>
      <c r="C2" s="214" t="s">
        <v>82</v>
      </c>
      <c r="D2" s="214" t="s">
        <v>83</v>
      </c>
      <c r="E2" s="214" t="s">
        <v>19</v>
      </c>
      <c r="F2" s="214" t="s">
        <v>84</v>
      </c>
      <c r="G2" s="214" t="s">
        <v>85</v>
      </c>
      <c r="H2" s="214" t="s">
        <v>86</v>
      </c>
      <c r="I2" s="214" t="s">
        <v>85</v>
      </c>
      <c r="J2" s="214" t="s">
        <v>87</v>
      </c>
      <c r="K2" s="214" t="s">
        <v>85</v>
      </c>
      <c r="L2" s="214" t="s">
        <v>88</v>
      </c>
      <c r="M2" s="214" t="s">
        <v>85</v>
      </c>
      <c r="N2" s="215" t="s">
        <v>89</v>
      </c>
    </row>
    <row r="3" spans="1:14" ht="15" customHeight="1" x14ac:dyDescent="0.15">
      <c r="A3" s="212"/>
      <c r="B3" s="213"/>
      <c r="C3" s="214" t="s">
        <v>85</v>
      </c>
      <c r="D3" s="214" t="s">
        <v>85</v>
      </c>
      <c r="E3" s="214" t="s">
        <v>85</v>
      </c>
      <c r="F3" s="73" t="s">
        <v>90</v>
      </c>
      <c r="G3" s="73" t="s">
        <v>29</v>
      </c>
      <c r="H3" s="73" t="s">
        <v>90</v>
      </c>
      <c r="I3" s="73" t="s">
        <v>29</v>
      </c>
      <c r="J3" s="73" t="s">
        <v>90</v>
      </c>
      <c r="K3" s="73" t="s">
        <v>29</v>
      </c>
      <c r="L3" s="73" t="s">
        <v>90</v>
      </c>
      <c r="M3" s="73" t="s">
        <v>29</v>
      </c>
      <c r="N3" s="215" t="s">
        <v>85</v>
      </c>
    </row>
    <row r="4" spans="1:14" ht="15" customHeight="1" x14ac:dyDescent="0.15">
      <c r="A4" s="74"/>
      <c r="B4" s="75"/>
      <c r="C4" s="76"/>
      <c r="D4" s="76"/>
      <c r="E4" s="73"/>
      <c r="F4" s="77"/>
      <c r="G4" s="78"/>
      <c r="H4" s="77"/>
      <c r="I4" s="78"/>
      <c r="J4" s="77"/>
      <c r="K4" s="78"/>
      <c r="L4" s="77"/>
      <c r="M4" s="78"/>
      <c r="N4" s="79"/>
    </row>
    <row r="5" spans="1:14" ht="15" customHeight="1" x14ac:dyDescent="0.15">
      <c r="A5" s="102">
        <f>1</f>
        <v>1</v>
      </c>
      <c r="B5" s="103" t="s">
        <v>118</v>
      </c>
      <c r="C5" s="104" t="s">
        <v>119</v>
      </c>
      <c r="D5" s="104">
        <v>1</v>
      </c>
      <c r="E5" s="105" t="s">
        <v>120</v>
      </c>
      <c r="F5" s="106"/>
      <c r="G5" s="107">
        <f>I5+K5+M5</f>
        <v>363851.1</v>
      </c>
      <c r="H5" s="106"/>
      <c r="I5" s="107">
        <f>I9</f>
        <v>31070.2</v>
      </c>
      <c r="J5" s="106"/>
      <c r="K5" s="107">
        <f>K9</f>
        <v>292715.59999999998</v>
      </c>
      <c r="L5" s="106"/>
      <c r="M5" s="107">
        <f>M9</f>
        <v>40065.300000000003</v>
      </c>
      <c r="N5" s="108" t="s">
        <v>91</v>
      </c>
    </row>
    <row r="6" spans="1:14" ht="15" customHeight="1" x14ac:dyDescent="0.15">
      <c r="A6" s="109"/>
      <c r="B6" s="144" t="s">
        <v>121</v>
      </c>
      <c r="C6" s="145" t="s">
        <v>92</v>
      </c>
      <c r="D6" s="146">
        <v>3</v>
      </c>
      <c r="E6" s="147" t="s">
        <v>93</v>
      </c>
      <c r="F6" s="148">
        <f>H6+J6+L6</f>
        <v>250572</v>
      </c>
      <c r="G6" s="149">
        <f>I6+K6+M6</f>
        <v>751716</v>
      </c>
      <c r="H6" s="148">
        <v>0</v>
      </c>
      <c r="I6" s="149"/>
      <c r="J6" s="148">
        <f>[108]노임!$D$10</f>
        <v>250572</v>
      </c>
      <c r="K6" s="149">
        <f>TRUNC(J6*D6,1)</f>
        <v>751716</v>
      </c>
      <c r="L6" s="148">
        <v>0</v>
      </c>
      <c r="M6" s="149"/>
      <c r="N6" s="150" t="s">
        <v>85</v>
      </c>
    </row>
    <row r="7" spans="1:14" ht="15" customHeight="1" x14ac:dyDescent="0.15">
      <c r="A7" s="109"/>
      <c r="B7" s="144" t="s">
        <v>122</v>
      </c>
      <c r="C7" s="145" t="s">
        <v>85</v>
      </c>
      <c r="D7" s="146">
        <v>1</v>
      </c>
      <c r="E7" s="147" t="s">
        <v>93</v>
      </c>
      <c r="F7" s="148">
        <f>H7+J7+L7</f>
        <v>169804</v>
      </c>
      <c r="G7" s="149">
        <f>I7+K7+M7</f>
        <v>169804</v>
      </c>
      <c r="H7" s="148">
        <v>0</v>
      </c>
      <c r="I7" s="149"/>
      <c r="J7" s="148">
        <f>[108]노임!$D$3</f>
        <v>169804</v>
      </c>
      <c r="K7" s="149">
        <f>TRUNC(J7*D7,1)</f>
        <v>169804</v>
      </c>
      <c r="L7" s="148">
        <v>0</v>
      </c>
      <c r="M7" s="149"/>
      <c r="N7" s="150" t="s">
        <v>85</v>
      </c>
    </row>
    <row r="8" spans="1:14" ht="15" customHeight="1" x14ac:dyDescent="0.15">
      <c r="A8" s="109"/>
      <c r="B8" s="144" t="s">
        <v>123</v>
      </c>
      <c r="C8" s="145" t="s">
        <v>124</v>
      </c>
      <c r="D8" s="146">
        <v>8</v>
      </c>
      <c r="E8" s="147" t="s">
        <v>94</v>
      </c>
      <c r="F8" s="148">
        <f>H8+J8+L8</f>
        <v>89496.76</v>
      </c>
      <c r="G8" s="149">
        <f>I8+K8+M8</f>
        <v>715974</v>
      </c>
      <c r="H8" s="148">
        <f>[108]중기사용료목록!$E$9</f>
        <v>17478.759999999998</v>
      </c>
      <c r="I8" s="149">
        <f>TRUNC(H8*D8,1)</f>
        <v>139830</v>
      </c>
      <c r="J8" s="148">
        <f>[108]중기사용료목록!$F$9</f>
        <v>49479</v>
      </c>
      <c r="K8" s="149">
        <f>TRUNC(J8*D8,1)</f>
        <v>395832</v>
      </c>
      <c r="L8" s="148">
        <f>[108]중기사용료목록!$G$9</f>
        <v>22539</v>
      </c>
      <c r="M8" s="149">
        <f>TRUNC(L8*D8,1)</f>
        <v>180312</v>
      </c>
      <c r="N8" s="150" t="s">
        <v>85</v>
      </c>
    </row>
    <row r="9" spans="1:14" ht="15" customHeight="1" x14ac:dyDescent="0.15">
      <c r="A9" s="109"/>
      <c r="B9" s="144" t="s">
        <v>125</v>
      </c>
      <c r="C9" s="151">
        <v>4.5</v>
      </c>
      <c r="D9" s="146">
        <f>ROUND(1/C9,4)</f>
        <v>0.22220000000000001</v>
      </c>
      <c r="E9" s="147" t="s">
        <v>126</v>
      </c>
      <c r="F9" s="148"/>
      <c r="G9" s="149">
        <f>I9+K9+M9</f>
        <v>363851.1</v>
      </c>
      <c r="H9" s="148"/>
      <c r="I9" s="149">
        <f>TRUNC(SUM(I6:I8)*$D9,1)</f>
        <v>31070.2</v>
      </c>
      <c r="J9" s="148"/>
      <c r="K9" s="149">
        <f>TRUNC(SUM(K6:K8)*$D9,1)</f>
        <v>292715.59999999998</v>
      </c>
      <c r="L9" s="148"/>
      <c r="M9" s="149">
        <f>TRUNC(SUM(M6:M8)*$D9,1)</f>
        <v>40065.300000000003</v>
      </c>
      <c r="N9" s="150"/>
    </row>
    <row r="10" spans="1:14" ht="15" customHeight="1" x14ac:dyDescent="0.15">
      <c r="A10" s="110"/>
      <c r="B10" s="111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3"/>
    </row>
    <row r="11" spans="1:14" ht="15" customHeight="1" x14ac:dyDescent="0.15">
      <c r="A11" s="102">
        <f>A5+1</f>
        <v>2</v>
      </c>
      <c r="B11" s="114" t="s">
        <v>127</v>
      </c>
      <c r="C11" s="115" t="s">
        <v>128</v>
      </c>
      <c r="D11" s="115">
        <v>1</v>
      </c>
      <c r="E11" s="116" t="s">
        <v>95</v>
      </c>
      <c r="F11" s="117"/>
      <c r="G11" s="118">
        <f>I11+K11+M11</f>
        <v>305594.59999999998</v>
      </c>
      <c r="H11" s="117"/>
      <c r="I11" s="118">
        <f>I14+I15</f>
        <v>10598.7</v>
      </c>
      <c r="J11" s="117"/>
      <c r="K11" s="118">
        <f>K14+K15</f>
        <v>278298.09999999998</v>
      </c>
      <c r="L11" s="117"/>
      <c r="M11" s="118">
        <f>M14+M15</f>
        <v>16697.8</v>
      </c>
      <c r="N11" s="119" t="s">
        <v>96</v>
      </c>
    </row>
    <row r="12" spans="1:14" ht="15" customHeight="1" x14ac:dyDescent="0.15">
      <c r="A12" s="109"/>
      <c r="B12" s="120" t="s">
        <v>129</v>
      </c>
      <c r="C12" s="152" t="s">
        <v>85</v>
      </c>
      <c r="D12" s="121">
        <v>3</v>
      </c>
      <c r="E12" s="122" t="s">
        <v>93</v>
      </c>
      <c r="F12" s="123">
        <f>H12+J12+L12</f>
        <v>278326</v>
      </c>
      <c r="G12" s="124">
        <f>I12+K12+M12</f>
        <v>834978</v>
      </c>
      <c r="H12" s="123">
        <v>0</v>
      </c>
      <c r="I12" s="124"/>
      <c r="J12" s="123">
        <f>[108]노임!$D$7</f>
        <v>278326</v>
      </c>
      <c r="K12" s="124">
        <f>TRUNC(J12*D12,1)</f>
        <v>834978</v>
      </c>
      <c r="L12" s="123">
        <v>0</v>
      </c>
      <c r="M12" s="124"/>
      <c r="N12" s="113" t="s">
        <v>85</v>
      </c>
    </row>
    <row r="13" spans="1:14" ht="15" customHeight="1" x14ac:dyDescent="0.15">
      <c r="A13" s="109"/>
      <c r="B13" s="120" t="s">
        <v>130</v>
      </c>
      <c r="C13" s="152" t="s">
        <v>131</v>
      </c>
      <c r="D13" s="121">
        <v>6</v>
      </c>
      <c r="E13" s="122" t="s">
        <v>98</v>
      </c>
      <c r="F13" s="123">
        <f>H13+J13+L13</f>
        <v>834978</v>
      </c>
      <c r="G13" s="124">
        <f>I13+K13+M13</f>
        <v>50098.6</v>
      </c>
      <c r="H13" s="123"/>
      <c r="I13" s="124">
        <f>TRUNC(H13*D13,1)</f>
        <v>0</v>
      </c>
      <c r="J13" s="123"/>
      <c r="K13" s="124">
        <f>TRUNC(J13*D13,1)</f>
        <v>0</v>
      </c>
      <c r="L13" s="123">
        <f>K12</f>
        <v>834978</v>
      </c>
      <c r="M13" s="124">
        <f>TRUNC(L13*D13/100,1)</f>
        <v>50098.6</v>
      </c>
      <c r="N13" s="113" t="s">
        <v>85</v>
      </c>
    </row>
    <row r="14" spans="1:14" ht="15" customHeight="1" x14ac:dyDescent="0.15">
      <c r="A14" s="109"/>
      <c r="B14" s="125" t="s">
        <v>132</v>
      </c>
      <c r="C14" s="126">
        <v>3</v>
      </c>
      <c r="D14" s="127">
        <f>ROUND(1/C14,4)</f>
        <v>0.33329999999999999</v>
      </c>
      <c r="E14" s="128" t="s">
        <v>133</v>
      </c>
      <c r="F14" s="129"/>
      <c r="G14" s="130">
        <f>I14+K14+M14</f>
        <v>294995.89999999997</v>
      </c>
      <c r="H14" s="129"/>
      <c r="I14" s="130">
        <f>TRUNC(SUM(I12:I13)*$D14,1)</f>
        <v>0</v>
      </c>
      <c r="J14" s="129"/>
      <c r="K14" s="130">
        <f>TRUNC(SUM(K12:K13)*$D14,1)</f>
        <v>278298.09999999998</v>
      </c>
      <c r="L14" s="129"/>
      <c r="M14" s="130">
        <f>TRUNC(SUM(M12:M13)*$D14,1)</f>
        <v>16697.8</v>
      </c>
      <c r="N14" s="113"/>
    </row>
    <row r="15" spans="1:14" ht="15" customHeight="1" x14ac:dyDescent="0.15">
      <c r="A15" s="109"/>
      <c r="B15" s="125" t="s">
        <v>134</v>
      </c>
      <c r="C15" s="153" t="s">
        <v>99</v>
      </c>
      <c r="D15" s="127">
        <v>2.1</v>
      </c>
      <c r="E15" s="128" t="s">
        <v>100</v>
      </c>
      <c r="F15" s="129">
        <f>H15+J15+L15</f>
        <v>5047</v>
      </c>
      <c r="G15" s="130">
        <f>I15+K15+M15</f>
        <v>10598.7</v>
      </c>
      <c r="H15" s="129">
        <f>[108]자재조서!$D$4</f>
        <v>5047</v>
      </c>
      <c r="I15" s="130">
        <f>TRUNC(H15*D15,1)</f>
        <v>10598.7</v>
      </c>
      <c r="J15" s="129">
        <v>0</v>
      </c>
      <c r="K15" s="130"/>
      <c r="L15" s="129">
        <v>0</v>
      </c>
      <c r="M15" s="130"/>
      <c r="N15" s="113" t="s">
        <v>85</v>
      </c>
    </row>
    <row r="16" spans="1:14" ht="15" customHeight="1" x14ac:dyDescent="0.15">
      <c r="A16" s="110"/>
      <c r="B16" s="111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3"/>
    </row>
    <row r="17" spans="1:14" ht="15" customHeight="1" x14ac:dyDescent="0.15">
      <c r="A17" s="102">
        <f>A11+1</f>
        <v>3</v>
      </c>
      <c r="B17" s="114" t="s">
        <v>135</v>
      </c>
      <c r="C17" s="115" t="s">
        <v>136</v>
      </c>
      <c r="D17" s="115">
        <v>1</v>
      </c>
      <c r="E17" s="116" t="s">
        <v>95</v>
      </c>
      <c r="F17" s="131"/>
      <c r="G17" s="132">
        <f t="shared" ref="G17:G22" si="0">I17+K17+M17</f>
        <v>218197</v>
      </c>
      <c r="H17" s="131"/>
      <c r="I17" s="132">
        <f>TRUNC(I18+I19+I20+I21+I22,0)</f>
        <v>23369</v>
      </c>
      <c r="J17" s="131"/>
      <c r="K17" s="132">
        <f>TRUNC(K18+K19+K20+K21+K22,0)</f>
        <v>194828</v>
      </c>
      <c r="L17" s="131"/>
      <c r="M17" s="132">
        <f>TRUNC(M18+M19+M20+M21+M22,0)</f>
        <v>0</v>
      </c>
      <c r="N17" s="133" t="s">
        <v>103</v>
      </c>
    </row>
    <row r="18" spans="1:14" ht="15" customHeight="1" x14ac:dyDescent="0.15">
      <c r="A18" s="109"/>
      <c r="B18" s="120" t="s">
        <v>137</v>
      </c>
      <c r="C18" s="152" t="s">
        <v>85</v>
      </c>
      <c r="D18" s="152">
        <v>0.7</v>
      </c>
      <c r="E18" s="122" t="s">
        <v>93</v>
      </c>
      <c r="F18" s="123">
        <f>H18+J18+L18</f>
        <v>278326</v>
      </c>
      <c r="G18" s="124">
        <f t="shared" si="0"/>
        <v>194828.2</v>
      </c>
      <c r="H18" s="123"/>
      <c r="I18" s="124"/>
      <c r="J18" s="123">
        <f>[108]노임!$D$7</f>
        <v>278326</v>
      </c>
      <c r="K18" s="124">
        <f>TRUNC(J18*D18,1)</f>
        <v>194828.2</v>
      </c>
      <c r="L18" s="123">
        <v>0</v>
      </c>
      <c r="M18" s="124"/>
      <c r="N18" s="154" t="s">
        <v>85</v>
      </c>
    </row>
    <row r="19" spans="1:14" ht="15" customHeight="1" x14ac:dyDescent="0.15">
      <c r="A19" s="109"/>
      <c r="B19" s="120" t="s">
        <v>138</v>
      </c>
      <c r="C19" s="152" t="s">
        <v>104</v>
      </c>
      <c r="D19" s="152">
        <v>1100</v>
      </c>
      <c r="E19" s="122" t="s">
        <v>105</v>
      </c>
      <c r="F19" s="123">
        <f>H19+J19+L19</f>
        <v>3.0329999999999999</v>
      </c>
      <c r="G19" s="124">
        <f t="shared" si="0"/>
        <v>3336.3</v>
      </c>
      <c r="H19" s="123">
        <f>[108]자재조서!$D$12</f>
        <v>3.0329999999999999</v>
      </c>
      <c r="I19" s="124">
        <f>TRUNC(H19*D19,1)</f>
        <v>3336.3</v>
      </c>
      <c r="J19" s="123">
        <v>0</v>
      </c>
      <c r="K19" s="124"/>
      <c r="L19" s="123">
        <v>0</v>
      </c>
      <c r="M19" s="124"/>
      <c r="N19" s="154" t="s">
        <v>85</v>
      </c>
    </row>
    <row r="20" spans="1:14" ht="15" customHeight="1" x14ac:dyDescent="0.15">
      <c r="A20" s="109"/>
      <c r="B20" s="120" t="s">
        <v>139</v>
      </c>
      <c r="C20" s="152" t="s">
        <v>106</v>
      </c>
      <c r="D20" s="152">
        <v>0.56000000000000005</v>
      </c>
      <c r="E20" s="122" t="s">
        <v>107</v>
      </c>
      <c r="F20" s="123">
        <f>H20+J20+L20</f>
        <v>22200</v>
      </c>
      <c r="G20" s="124">
        <f t="shared" si="0"/>
        <v>12432</v>
      </c>
      <c r="H20" s="123">
        <f>[108]자재조서!$D$15</f>
        <v>22200</v>
      </c>
      <c r="I20" s="124">
        <f>TRUNC(H20*D20,1)</f>
        <v>12432</v>
      </c>
      <c r="J20" s="123">
        <v>0</v>
      </c>
      <c r="K20" s="124"/>
      <c r="L20" s="123">
        <v>0</v>
      </c>
      <c r="M20" s="124"/>
      <c r="N20" s="154" t="s">
        <v>85</v>
      </c>
    </row>
    <row r="21" spans="1:14" ht="15" customHeight="1" x14ac:dyDescent="0.15">
      <c r="A21" s="109"/>
      <c r="B21" s="120" t="s">
        <v>140</v>
      </c>
      <c r="C21" s="152" t="s">
        <v>108</v>
      </c>
      <c r="D21" s="152">
        <v>2.2200000000000002</v>
      </c>
      <c r="E21" s="122" t="s">
        <v>109</v>
      </c>
      <c r="F21" s="123">
        <f>H21+J21+L21</f>
        <v>1669</v>
      </c>
      <c r="G21" s="124">
        <f t="shared" si="0"/>
        <v>3705.1</v>
      </c>
      <c r="H21" s="123">
        <f>[108]자재조서!$D$16</f>
        <v>1669</v>
      </c>
      <c r="I21" s="124">
        <f>TRUNC(H21*D21,1)</f>
        <v>3705.1</v>
      </c>
      <c r="J21" s="123">
        <v>0</v>
      </c>
      <c r="K21" s="124"/>
      <c r="L21" s="123">
        <v>0</v>
      </c>
      <c r="M21" s="124"/>
      <c r="N21" s="154" t="s">
        <v>85</v>
      </c>
    </row>
    <row r="22" spans="1:14" ht="15" customHeight="1" x14ac:dyDescent="0.15">
      <c r="A22" s="110"/>
      <c r="B22" s="120" t="s">
        <v>141</v>
      </c>
      <c r="C22" s="152" t="s">
        <v>97</v>
      </c>
      <c r="D22" s="152">
        <v>2</v>
      </c>
      <c r="E22" s="122" t="s">
        <v>98</v>
      </c>
      <c r="F22" s="123">
        <f>H22+J22+L22</f>
        <v>0</v>
      </c>
      <c r="G22" s="124">
        <f t="shared" si="0"/>
        <v>3896.5</v>
      </c>
      <c r="H22" s="122"/>
      <c r="I22" s="124">
        <f>TRUNC((K18*0.02),1)</f>
        <v>3896.5</v>
      </c>
      <c r="J22" s="122"/>
      <c r="K22" s="124">
        <v>0</v>
      </c>
      <c r="L22" s="122"/>
      <c r="M22" s="124">
        <v>0</v>
      </c>
      <c r="N22" s="154" t="s">
        <v>85</v>
      </c>
    </row>
    <row r="23" spans="1:14" ht="15" customHeight="1" x14ac:dyDescent="0.15">
      <c r="A23" s="110"/>
      <c r="B23" s="111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3"/>
    </row>
    <row r="24" spans="1:14" ht="15" customHeight="1" x14ac:dyDescent="0.15">
      <c r="A24" s="102">
        <f>A17+1</f>
        <v>4</v>
      </c>
      <c r="B24" s="114" t="s">
        <v>142</v>
      </c>
      <c r="C24" s="115" t="s">
        <v>136</v>
      </c>
      <c r="D24" s="115">
        <v>1</v>
      </c>
      <c r="E24" s="115" t="s">
        <v>95</v>
      </c>
      <c r="F24" s="131"/>
      <c r="G24" s="132">
        <f>I24+K24+M24</f>
        <v>105209</v>
      </c>
      <c r="H24" s="131"/>
      <c r="I24" s="132">
        <f>TRUNC(I25+I26+I27,0)</f>
        <v>0</v>
      </c>
      <c r="J24" s="131"/>
      <c r="K24" s="132">
        <f t="shared" ref="K24:M24" si="1">TRUNC(K25+K26+K27,0)</f>
        <v>103147</v>
      </c>
      <c r="L24" s="132">
        <f t="shared" si="1"/>
        <v>0</v>
      </c>
      <c r="M24" s="132">
        <f t="shared" si="1"/>
        <v>2062</v>
      </c>
      <c r="N24" s="133" t="s">
        <v>143</v>
      </c>
    </row>
    <row r="25" spans="1:14" ht="15" customHeight="1" x14ac:dyDescent="0.15">
      <c r="A25" s="109"/>
      <c r="B25" s="120" t="s">
        <v>144</v>
      </c>
      <c r="C25" s="152" t="s">
        <v>92</v>
      </c>
      <c r="D25" s="121">
        <v>0.31</v>
      </c>
      <c r="E25" s="152" t="s">
        <v>93</v>
      </c>
      <c r="F25" s="123">
        <f>H25+J25+L25</f>
        <v>250572</v>
      </c>
      <c r="G25" s="124">
        <f>I25+K25+M25</f>
        <v>77677.3</v>
      </c>
      <c r="H25" s="123">
        <v>0</v>
      </c>
      <c r="I25" s="124"/>
      <c r="J25" s="123">
        <f>[108]노임!$D$10</f>
        <v>250572</v>
      </c>
      <c r="K25" s="124">
        <f>TRUNC(J25*D25,1)</f>
        <v>77677.3</v>
      </c>
      <c r="L25" s="123">
        <v>0</v>
      </c>
      <c r="M25" s="124"/>
      <c r="N25" s="154" t="s">
        <v>85</v>
      </c>
    </row>
    <row r="26" spans="1:14" ht="15" customHeight="1" x14ac:dyDescent="0.15">
      <c r="A26" s="109"/>
      <c r="B26" s="120" t="s">
        <v>145</v>
      </c>
      <c r="C26" s="152" t="s">
        <v>85</v>
      </c>
      <c r="D26" s="121">
        <v>0.15</v>
      </c>
      <c r="E26" s="152" t="s">
        <v>93</v>
      </c>
      <c r="F26" s="123">
        <f>H26+J26+L26</f>
        <v>169804</v>
      </c>
      <c r="G26" s="124">
        <f>I26+K26+M26</f>
        <v>25470.6</v>
      </c>
      <c r="H26" s="123">
        <v>0</v>
      </c>
      <c r="I26" s="124"/>
      <c r="J26" s="123">
        <f>[108]노임!$D$3</f>
        <v>169804</v>
      </c>
      <c r="K26" s="124">
        <f>TRUNC(J26*D26,1)</f>
        <v>25470.6</v>
      </c>
      <c r="L26" s="123">
        <v>0</v>
      </c>
      <c r="M26" s="124"/>
      <c r="N26" s="154" t="s">
        <v>85</v>
      </c>
    </row>
    <row r="27" spans="1:14" ht="15" customHeight="1" x14ac:dyDescent="0.15">
      <c r="A27" s="109"/>
      <c r="B27" s="120" t="s">
        <v>146</v>
      </c>
      <c r="C27" s="152" t="s">
        <v>147</v>
      </c>
      <c r="D27" s="121">
        <v>2</v>
      </c>
      <c r="E27" s="152" t="s">
        <v>148</v>
      </c>
      <c r="F27" s="123">
        <f>H27+J27+L27</f>
        <v>0</v>
      </c>
      <c r="G27" s="124">
        <f>I27+K27+M27</f>
        <v>2062.9</v>
      </c>
      <c r="H27" s="123"/>
      <c r="I27" s="124"/>
      <c r="J27" s="123"/>
      <c r="K27" s="124"/>
      <c r="L27" s="123"/>
      <c r="M27" s="124">
        <f>TRUNC((K25+K26)*D27%,1)</f>
        <v>2062.9</v>
      </c>
      <c r="N27" s="154"/>
    </row>
    <row r="28" spans="1:14" ht="15" customHeight="1" x14ac:dyDescent="0.15">
      <c r="A28" s="110"/>
      <c r="B28" s="111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3"/>
    </row>
    <row r="29" spans="1:14" ht="15" customHeight="1" x14ac:dyDescent="0.15">
      <c r="A29" s="102">
        <f>A24+1</f>
        <v>5</v>
      </c>
      <c r="B29" s="134" t="s">
        <v>110</v>
      </c>
      <c r="C29" s="135" t="s">
        <v>102</v>
      </c>
      <c r="D29" s="135">
        <v>1</v>
      </c>
      <c r="E29" s="136" t="s">
        <v>95</v>
      </c>
      <c r="F29" s="137"/>
      <c r="G29" s="138">
        <f>I29+K29+M29</f>
        <v>340504.49999999994</v>
      </c>
      <c r="H29" s="137"/>
      <c r="I29" s="100">
        <f>SUM(I30:I31)</f>
        <v>37735.1</v>
      </c>
      <c r="J29" s="137"/>
      <c r="K29" s="100">
        <f>SUM(K30:K31)</f>
        <v>282736.8</v>
      </c>
      <c r="L29" s="137"/>
      <c r="M29" s="100">
        <f>SUM(M30:M31)</f>
        <v>20032.599999999999</v>
      </c>
      <c r="N29" s="119" t="str">
        <f>N24</f>
        <v>토목6-8-7</v>
      </c>
    </row>
    <row r="30" spans="1:14" ht="15" customHeight="1" x14ac:dyDescent="0.15">
      <c r="A30" s="109"/>
      <c r="B30" s="139" t="s">
        <v>111</v>
      </c>
      <c r="C30" s="140" t="s">
        <v>92</v>
      </c>
      <c r="D30" s="141">
        <v>0.5</v>
      </c>
      <c r="E30" s="112" t="s">
        <v>117</v>
      </c>
      <c r="F30" s="142">
        <f>H30+J30+L30</f>
        <v>363851.1</v>
      </c>
      <c r="G30" s="143">
        <f>I30+K30+M30</f>
        <v>181925.5</v>
      </c>
      <c r="H30" s="142">
        <f>I5</f>
        <v>31070.2</v>
      </c>
      <c r="I30" s="124">
        <f t="shared" ref="I30:I31" si="2">TRUNC(H30*D30,1)</f>
        <v>15535.1</v>
      </c>
      <c r="J30" s="142">
        <f>K5</f>
        <v>292715.59999999998</v>
      </c>
      <c r="K30" s="124">
        <f t="shared" ref="K30:K31" si="3">TRUNC(J30*D30,1)</f>
        <v>146357.79999999999</v>
      </c>
      <c r="L30" s="142">
        <f>M5</f>
        <v>40065.300000000003</v>
      </c>
      <c r="M30" s="124">
        <f>TRUNC(L30*D30,1)</f>
        <v>20032.599999999999</v>
      </c>
      <c r="N30" s="113" t="s">
        <v>85</v>
      </c>
    </row>
    <row r="31" spans="1:14" ht="15" customHeight="1" x14ac:dyDescent="0.15">
      <c r="A31" s="109"/>
      <c r="B31" s="139" t="s">
        <v>112</v>
      </c>
      <c r="C31" s="140" t="s">
        <v>85</v>
      </c>
      <c r="D31" s="141">
        <v>1</v>
      </c>
      <c r="E31" s="112" t="s">
        <v>93</v>
      </c>
      <c r="F31" s="142">
        <f>H31+J31+L31</f>
        <v>158579</v>
      </c>
      <c r="G31" s="143">
        <f>I31+K31+M31</f>
        <v>158579</v>
      </c>
      <c r="H31" s="142">
        <f>I33</f>
        <v>22200</v>
      </c>
      <c r="I31" s="124">
        <f t="shared" si="2"/>
        <v>22200</v>
      </c>
      <c r="J31" s="142">
        <f>K33</f>
        <v>136379</v>
      </c>
      <c r="K31" s="124">
        <f t="shared" si="3"/>
        <v>136379</v>
      </c>
      <c r="L31" s="142">
        <f>M33</f>
        <v>0</v>
      </c>
      <c r="M31" s="124">
        <f>TRUNC(L31*D31,1)</f>
        <v>0</v>
      </c>
      <c r="N31" s="113" t="s">
        <v>85</v>
      </c>
    </row>
    <row r="32" spans="1:14" ht="15" customHeight="1" x14ac:dyDescent="0.15">
      <c r="A32" s="110"/>
      <c r="B32" s="111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3"/>
    </row>
    <row r="33" spans="1:14" ht="15" customHeight="1" x14ac:dyDescent="0.15">
      <c r="A33" s="102">
        <f>A29+1</f>
        <v>6</v>
      </c>
      <c r="B33" s="134" t="s">
        <v>101</v>
      </c>
      <c r="C33" s="135" t="s">
        <v>102</v>
      </c>
      <c r="D33" s="135">
        <v>1</v>
      </c>
      <c r="E33" s="136" t="s">
        <v>95</v>
      </c>
      <c r="F33" s="137"/>
      <c r="G33" s="138">
        <f t="shared" ref="G33:G38" si="4">I33+K33+M33</f>
        <v>158579</v>
      </c>
      <c r="H33" s="137"/>
      <c r="I33" s="132">
        <f>TRUNC(I34+I35+I36+I37+I38,0)</f>
        <v>22200</v>
      </c>
      <c r="J33" s="137"/>
      <c r="K33" s="132">
        <f>TRUNC(K34+K35+K36+K37+K38,0)</f>
        <v>136379</v>
      </c>
      <c r="L33" s="137"/>
      <c r="M33" s="132">
        <f>TRUNC(M34+M35+M36+M37+M38,0)</f>
        <v>0</v>
      </c>
      <c r="N33" s="119" t="s">
        <v>103</v>
      </c>
    </row>
    <row r="34" spans="1:14" ht="15" customHeight="1" x14ac:dyDescent="0.15">
      <c r="A34" s="109"/>
      <c r="B34" s="120" t="s">
        <v>137</v>
      </c>
      <c r="C34" s="101" t="s">
        <v>149</v>
      </c>
      <c r="D34" s="155" t="s">
        <v>150</v>
      </c>
      <c r="E34" s="122" t="s">
        <v>93</v>
      </c>
      <c r="F34" s="123">
        <f>H34+J34+L34</f>
        <v>278326</v>
      </c>
      <c r="G34" s="124">
        <f t="shared" si="4"/>
        <v>136379.70000000001</v>
      </c>
      <c r="H34" s="123"/>
      <c r="I34" s="124"/>
      <c r="J34" s="123">
        <f>[108]노임!$D$7</f>
        <v>278326</v>
      </c>
      <c r="K34" s="124">
        <f>TRUNC(J34*D34,1)</f>
        <v>136379.70000000001</v>
      </c>
      <c r="L34" s="123">
        <v>0</v>
      </c>
      <c r="M34" s="124"/>
      <c r="N34" s="154" t="s">
        <v>85</v>
      </c>
    </row>
    <row r="35" spans="1:14" ht="15" customHeight="1" x14ac:dyDescent="0.15">
      <c r="A35" s="109"/>
      <c r="B35" s="120" t="s">
        <v>138</v>
      </c>
      <c r="C35" s="152" t="s">
        <v>104</v>
      </c>
      <c r="D35" s="152">
        <v>1100</v>
      </c>
      <c r="E35" s="122" t="s">
        <v>105</v>
      </c>
      <c r="F35" s="123">
        <f>H35+J35+L35</f>
        <v>3.0329999999999999</v>
      </c>
      <c r="G35" s="124">
        <f t="shared" si="4"/>
        <v>3336.3</v>
      </c>
      <c r="H35" s="123">
        <f>[108]자재조서!$D$12</f>
        <v>3.0329999999999999</v>
      </c>
      <c r="I35" s="124">
        <f>TRUNC(H35*D35,1)</f>
        <v>3336.3</v>
      </c>
      <c r="J35" s="123">
        <v>0</v>
      </c>
      <c r="K35" s="124"/>
      <c r="L35" s="123">
        <v>0</v>
      </c>
      <c r="M35" s="124"/>
      <c r="N35" s="154" t="s">
        <v>85</v>
      </c>
    </row>
    <row r="36" spans="1:14" ht="15" customHeight="1" x14ac:dyDescent="0.15">
      <c r="A36" s="109"/>
      <c r="B36" s="120" t="s">
        <v>139</v>
      </c>
      <c r="C36" s="152" t="s">
        <v>106</v>
      </c>
      <c r="D36" s="152">
        <v>0.56000000000000005</v>
      </c>
      <c r="E36" s="122" t="s">
        <v>107</v>
      </c>
      <c r="F36" s="123">
        <f>H36+J36+L36</f>
        <v>22200</v>
      </c>
      <c r="G36" s="124">
        <f t="shared" si="4"/>
        <v>12432</v>
      </c>
      <c r="H36" s="123">
        <f>[108]자재조서!$D$15</f>
        <v>22200</v>
      </c>
      <c r="I36" s="124">
        <f>TRUNC(H36*D36,1)</f>
        <v>12432</v>
      </c>
      <c r="J36" s="123">
        <v>0</v>
      </c>
      <c r="K36" s="124"/>
      <c r="L36" s="123">
        <v>0</v>
      </c>
      <c r="M36" s="124"/>
      <c r="N36" s="154" t="s">
        <v>85</v>
      </c>
    </row>
    <row r="37" spans="1:14" ht="15" customHeight="1" x14ac:dyDescent="0.15">
      <c r="A37" s="109"/>
      <c r="B37" s="120" t="s">
        <v>140</v>
      </c>
      <c r="C37" s="152" t="s">
        <v>108</v>
      </c>
      <c r="D37" s="152">
        <v>2.2200000000000002</v>
      </c>
      <c r="E37" s="122" t="s">
        <v>109</v>
      </c>
      <c r="F37" s="123">
        <f>H37+J37+L37</f>
        <v>1669</v>
      </c>
      <c r="G37" s="124">
        <f t="shared" si="4"/>
        <v>3705.1</v>
      </c>
      <c r="H37" s="123">
        <f>[108]자재조서!$D$16</f>
        <v>1669</v>
      </c>
      <c r="I37" s="124">
        <f>TRUNC(H37*D37,1)</f>
        <v>3705.1</v>
      </c>
      <c r="J37" s="123">
        <v>0</v>
      </c>
      <c r="K37" s="124"/>
      <c r="L37" s="123">
        <v>0</v>
      </c>
      <c r="M37" s="124"/>
      <c r="N37" s="154" t="s">
        <v>85</v>
      </c>
    </row>
    <row r="38" spans="1:14" ht="15" customHeight="1" x14ac:dyDescent="0.15">
      <c r="A38" s="110"/>
      <c r="B38" s="120" t="s">
        <v>141</v>
      </c>
      <c r="C38" s="152" t="s">
        <v>97</v>
      </c>
      <c r="D38" s="152">
        <v>2</v>
      </c>
      <c r="E38" s="122" t="s">
        <v>98</v>
      </c>
      <c r="F38" s="123">
        <f>H38+J38+L38</f>
        <v>0</v>
      </c>
      <c r="G38" s="124">
        <f t="shared" si="4"/>
        <v>2727.5</v>
      </c>
      <c r="H38" s="122"/>
      <c r="I38" s="124">
        <f>TRUNC((K34*0.02),1)</f>
        <v>2727.5</v>
      </c>
      <c r="J38" s="122"/>
      <c r="K38" s="124">
        <v>0</v>
      </c>
      <c r="L38" s="122"/>
      <c r="M38" s="124">
        <v>0</v>
      </c>
      <c r="N38" s="154" t="s">
        <v>85</v>
      </c>
    </row>
  </sheetData>
  <mergeCells count="9">
    <mergeCell ref="J2:K2"/>
    <mergeCell ref="L2:M2"/>
    <mergeCell ref="N2:N3"/>
    <mergeCell ref="A2:B3"/>
    <mergeCell ref="C2:C3"/>
    <mergeCell ref="D2:D3"/>
    <mergeCell ref="E2:E3"/>
    <mergeCell ref="F2:G2"/>
    <mergeCell ref="H2:I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갑지</vt:lpstr>
      <vt:lpstr>집계표</vt:lpstr>
      <vt:lpstr>내역서</vt:lpstr>
      <vt:lpstr>Sheet1</vt:lpstr>
      <vt:lpstr>가배관내역서</vt:lpstr>
      <vt:lpstr>목록</vt:lpstr>
      <vt:lpstr>강관부설</vt:lpstr>
      <vt:lpstr>갑지!Print_Area</vt:lpstr>
      <vt:lpstr>내역서!Print_Area</vt:lpstr>
      <vt:lpstr>목록!Print_Area</vt:lpstr>
      <vt:lpstr>집계표!Print_Area</vt:lpstr>
      <vt:lpstr>내역서!Print_Titles</vt:lpstr>
      <vt:lpstr>목록!Print_Titles</vt:lpstr>
      <vt:lpstr>집계표!Print_Titles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승리 백</cp:lastModifiedBy>
  <cp:lastPrinted>2025-10-17T08:27:50Z</cp:lastPrinted>
  <dcterms:created xsi:type="dcterms:W3CDTF">2017-12-21T04:42:52Z</dcterms:created>
  <dcterms:modified xsi:type="dcterms:W3CDTF">2026-06-04T08:21:48Z</dcterms:modified>
</cp:coreProperties>
</file>