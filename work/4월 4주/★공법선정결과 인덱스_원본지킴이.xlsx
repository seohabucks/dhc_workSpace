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★특허공법 설명자료\★ K-Water 선정 이력\"/>
    </mc:Choice>
  </mc:AlternateContent>
  <xr:revisionPtr revIDLastSave="0" documentId="8_{37E9D601-9E9B-4320-B76D-23346A5EB0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심사예정" sheetId="6" r:id="rId1"/>
    <sheet name="심사일자별리스트" sheetId="2" r:id="rId2"/>
    <sheet name="공법기준" sheetId="4" state="hidden" r:id="rId3"/>
    <sheet name="선정업체기준" sheetId="3" state="hidden" r:id="rId4"/>
    <sheet name="5억이상 이준" sheetId="5" r:id="rId5"/>
    <sheet name="23년~ 부단수 기준" sheetId="7" state="hidden" r:id="rId6"/>
    <sheet name="23년~ 부단수 기준 (사장님 요청-240521)" sheetId="8" state="hidden" r:id="rId7"/>
    <sheet name="2024Kwater공법선정결과" sheetId="9" state="hidden" r:id="rId8"/>
    <sheet name="2024 총 부단수 " sheetId="11" state="hidden" r:id="rId9"/>
  </sheets>
  <definedNames>
    <definedName name="_xlnm._FilterDatabase" localSheetId="8" hidden="1">'2024 총 부단수 '!$A$2:$M$13</definedName>
    <definedName name="_xlnm._FilterDatabase" localSheetId="7" hidden="1">'2024Kwater공법선정결과'!$A$2:$K$14</definedName>
    <definedName name="_xlnm._FilterDatabase" localSheetId="5" hidden="1">'23년~ 부단수 기준'!$A$1:$K$1</definedName>
    <definedName name="_xlnm._FilterDatabase" localSheetId="6" hidden="1">'23년~ 부단수 기준 (사장님 요청-240521)'!$A$1:$K$1</definedName>
    <definedName name="_xlnm._FilterDatabase" localSheetId="4" hidden="1">'5억이상 이준'!$A$1:$J$1</definedName>
    <definedName name="_xlnm._FilterDatabase" localSheetId="2" hidden="1">공법기준!$A$1:$D$178</definedName>
    <definedName name="_xlnm._FilterDatabase" localSheetId="3" hidden="1">선정업체기준!$A$1:$H$346</definedName>
    <definedName name="_xlnm._FilterDatabase" localSheetId="0" hidden="1">심사예정!$A$2:$K$2</definedName>
    <definedName name="_xlnm._FilterDatabase" localSheetId="1" hidden="1">심사일자별리스트!$A$2:$P$197</definedName>
    <definedName name="_xlnm.Print_Area" localSheetId="8">'2024 총 부단수 '!$A$1:$R$22</definedName>
    <definedName name="_xlnm.Print_Area" localSheetId="7">'2024Kwater공법선정결과'!$A$1:$Z$40</definedName>
    <definedName name="_xlnm.Print_Area" localSheetId="5">'23년~ 부단수 기준'!$A$1:$K$34</definedName>
    <definedName name="_xlnm.Print_Area" localSheetId="6">'23년~ 부단수 기준 (사장님 요청-240521)'!$A$1:$K$24</definedName>
    <definedName name="_xlnm.Print_Area" localSheetId="4">'5억이상 이준'!$A$1:$J$88</definedName>
    <definedName name="_xlnm.Print_Area" localSheetId="2">공법기준!$A$1:$D$178</definedName>
    <definedName name="_xlnm.Print_Area" localSheetId="3">선정업체기준!$A$1:$H$240</definedName>
    <definedName name="_xlnm.Print_Area" localSheetId="0">심사예정!$A$1:$J$9</definedName>
    <definedName name="_xlnm.Print_Area" localSheetId="1">심사일자별리스트!$A$1:$N$235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/>
  <c r="A8" i="2"/>
  <c r="A9" i="2"/>
  <c r="A10" i="2"/>
  <c r="A12" i="2"/>
  <c r="A14" i="2"/>
  <c r="A20" i="2"/>
  <c r="A21" i="2" s="1"/>
  <c r="A22" i="2" s="1"/>
  <c r="A23" i="2" s="1"/>
  <c r="A24" i="2" s="1"/>
  <c r="A25" i="2" s="1"/>
  <c r="A26" i="2" s="1"/>
  <c r="A27" i="2" s="1"/>
  <c r="A32" i="2"/>
  <c r="A33" i="2"/>
  <c r="A37" i="2"/>
  <c r="A38" i="2"/>
  <c r="A39" i="2"/>
  <c r="A40" i="2"/>
  <c r="A41" i="2"/>
  <c r="A42" i="2"/>
  <c r="A43" i="2"/>
  <c r="A44" i="2" s="1"/>
  <c r="A45" i="2" s="1"/>
  <c r="A46" i="2" s="1"/>
  <c r="A47" i="2" s="1"/>
  <c r="A48" i="2" s="1"/>
  <c r="A52" i="2"/>
  <c r="A53" i="2"/>
  <c r="A54" i="2"/>
  <c r="A55" i="2"/>
  <c r="A56" i="2"/>
  <c r="A57" i="2"/>
  <c r="A58" i="2"/>
  <c r="A59" i="2" s="1"/>
  <c r="A60" i="2" s="1"/>
  <c r="A61" i="2" s="1"/>
  <c r="A62" i="2" s="1"/>
  <c r="A63" i="2" s="1"/>
  <c r="A68" i="2"/>
  <c r="A69" i="2"/>
  <c r="A70" i="2"/>
  <c r="A77" i="2"/>
  <c r="A78" i="2"/>
  <c r="A80" i="2"/>
  <c r="A82" i="2"/>
  <c r="A84" i="2"/>
  <c r="A85" i="2" s="1"/>
  <c r="A86" i="2" s="1"/>
  <c r="A87" i="2" s="1"/>
  <c r="A90" i="2"/>
  <c r="A91" i="2"/>
  <c r="A92" i="2"/>
  <c r="A93" i="2"/>
  <c r="A94" i="2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2" i="2"/>
  <c r="A113" i="2" s="1"/>
  <c r="A114" i="2" s="1"/>
  <c r="A117" i="2"/>
  <c r="A118" i="2"/>
  <c r="A119" i="2"/>
  <c r="A120" i="2"/>
  <c r="A121" i="2"/>
  <c r="A122" i="2"/>
  <c r="A123" i="2"/>
  <c r="A124" i="2"/>
  <c r="A125" i="2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3" i="2"/>
  <c r="A144" i="2"/>
  <c r="A145" i="2"/>
  <c r="A146" i="2"/>
  <c r="A147" i="2"/>
  <c r="A148" i="2"/>
  <c r="A149" i="2"/>
  <c r="A150" i="2"/>
  <c r="A151" i="2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8" i="2"/>
  <c r="A189" i="2"/>
  <c r="A193" i="2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8" i="2"/>
  <c r="A209" i="2" s="1"/>
  <c r="A212" i="2"/>
  <c r="A213" i="2"/>
  <c r="A214" i="2"/>
  <c r="A215" i="2"/>
  <c r="A216" i="2"/>
  <c r="A217" i="2"/>
  <c r="A218" i="2"/>
  <c r="A219" i="2"/>
  <c r="A220" i="2"/>
  <c r="A221" i="2"/>
  <c r="A222" i="2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E3" i="2" l="1"/>
  <c r="G82" i="5"/>
  <c r="G69" i="5"/>
  <c r="H33" i="5"/>
  <c r="G33" i="5"/>
  <c r="H17" i="5"/>
  <c r="G17" i="5"/>
  <c r="H26" i="5"/>
  <c r="G26" i="5"/>
  <c r="H77" i="5"/>
  <c r="G77" i="5"/>
  <c r="G55" i="5"/>
  <c r="H16" i="7"/>
  <c r="G16" i="7"/>
  <c r="H26" i="7"/>
  <c r="G26" i="7"/>
  <c r="M16" i="11"/>
  <c r="Q8" i="9"/>
  <c r="O19" i="11"/>
  <c r="T11" i="11"/>
  <c r="Q16" i="11"/>
  <c r="Q8" i="11"/>
  <c r="AA6" i="9" l="1"/>
  <c r="Q4" i="11"/>
  <c r="P16" i="11" s="1"/>
  <c r="Q12" i="11"/>
  <c r="Q10" i="11"/>
  <c r="Q14" i="11"/>
  <c r="M14" i="11"/>
  <c r="M12" i="11"/>
  <c r="M10" i="11"/>
  <c r="M8" i="11"/>
  <c r="O18" i="11"/>
  <c r="P14" i="11" l="1"/>
  <c r="P8" i="11"/>
  <c r="P12" i="11"/>
  <c r="P10" i="11"/>
  <c r="X14" i="9" l="1"/>
  <c r="X12" i="9"/>
  <c r="X10" i="9"/>
  <c r="X8" i="9"/>
  <c r="Q4" i="9"/>
  <c r="Q16" i="9"/>
  <c r="X4" i="9" s="1"/>
  <c r="M16" i="9"/>
  <c r="Q14" i="9"/>
  <c r="M14" i="9"/>
  <c r="Q12" i="9"/>
  <c r="M12" i="9"/>
  <c r="Q10" i="9"/>
  <c r="H31" i="7"/>
  <c r="G31" i="7"/>
  <c r="F19" i="8"/>
  <c r="E19" i="8"/>
  <c r="G18" i="8"/>
  <c r="G10" i="8"/>
  <c r="F11" i="8"/>
  <c r="E11" i="8"/>
  <c r="N21" i="8"/>
  <c r="F21" i="8"/>
  <c r="E21" i="8"/>
  <c r="G20" i="8"/>
  <c r="G21" i="8" s="1"/>
  <c r="G17" i="8"/>
  <c r="H17" i="8" s="1"/>
  <c r="G29" i="7"/>
  <c r="G22" i="8"/>
  <c r="H22" i="8" s="1"/>
  <c r="H23" i="8" s="1"/>
  <c r="G16" i="8"/>
  <c r="H16" i="8" s="1"/>
  <c r="G15" i="8"/>
  <c r="H15" i="8" s="1"/>
  <c r="G14" i="8"/>
  <c r="H14" i="8" s="1"/>
  <c r="G13" i="8"/>
  <c r="H13" i="8" s="1"/>
  <c r="G12" i="8"/>
  <c r="H12" i="8" s="1"/>
  <c r="G3" i="8"/>
  <c r="G4" i="8"/>
  <c r="H4" i="8" s="1"/>
  <c r="G5" i="8"/>
  <c r="H5" i="8" s="1"/>
  <c r="G6" i="8"/>
  <c r="H6" i="8" s="1"/>
  <c r="G7" i="8"/>
  <c r="H7" i="8" s="1"/>
  <c r="G8" i="8"/>
  <c r="H8" i="8" s="1"/>
  <c r="G9" i="8"/>
  <c r="H9" i="8" s="1"/>
  <c r="G2" i="8"/>
  <c r="H2" i="8" s="1"/>
  <c r="F23" i="8"/>
  <c r="E23" i="8"/>
  <c r="N19" i="8"/>
  <c r="O15" i="8"/>
  <c r="O4" i="8"/>
  <c r="O14" i="8" s="1"/>
  <c r="O2" i="8"/>
  <c r="O12" i="8" s="1"/>
  <c r="O19" i="8" s="1"/>
  <c r="O23" i="8" s="1"/>
  <c r="G19" i="8" l="1"/>
  <c r="N23" i="8"/>
  <c r="O21" i="8"/>
  <c r="W12" i="9"/>
  <c r="P12" i="9"/>
  <c r="P14" i="9"/>
  <c r="P10" i="9"/>
  <c r="P8" i="9"/>
  <c r="W8" i="9"/>
  <c r="W14" i="9"/>
  <c r="P16" i="9"/>
  <c r="W10" i="9"/>
  <c r="H20" i="8"/>
  <c r="H21" i="8" s="1"/>
  <c r="G23" i="8"/>
  <c r="H19" i="8"/>
  <c r="H3" i="8"/>
  <c r="H11" i="8" s="1"/>
  <c r="F24" i="8"/>
  <c r="O11" i="8"/>
  <c r="G11" i="8" l="1"/>
  <c r="I23" i="8"/>
  <c r="I21" i="8"/>
  <c r="I19" i="8"/>
  <c r="I11" i="8"/>
  <c r="H88" i="5"/>
  <c r="G88" i="5"/>
  <c r="H29" i="7"/>
  <c r="H73" i="5"/>
  <c r="G73" i="5"/>
  <c r="G36" i="5" l="1"/>
  <c r="G29" i="5"/>
  <c r="H86" i="5" l="1"/>
  <c r="H84" i="5"/>
  <c r="H82" i="5"/>
  <c r="H79" i="5"/>
  <c r="H75" i="5"/>
  <c r="H71" i="5"/>
  <c r="H69" i="5"/>
  <c r="H64" i="5"/>
  <c r="H59" i="5"/>
  <c r="H57" i="5"/>
  <c r="H55" i="5"/>
  <c r="H44" i="5"/>
  <c r="H42" i="5"/>
  <c r="H40" i="5"/>
  <c r="H38" i="5"/>
  <c r="H36" i="5"/>
  <c r="H29" i="5"/>
  <c r="G86" i="5"/>
  <c r="G84" i="5"/>
  <c r="G79" i="5"/>
  <c r="G75" i="5"/>
  <c r="G71" i="5"/>
  <c r="G64" i="5"/>
  <c r="G59" i="5"/>
  <c r="G57" i="5"/>
  <c r="G44" i="5"/>
  <c r="G42" i="5"/>
  <c r="G40" i="5"/>
  <c r="G38" i="5"/>
  <c r="H33" i="7"/>
  <c r="H34" i="7" s="1"/>
  <c r="I31" i="7" s="1"/>
  <c r="G33" i="7"/>
  <c r="N26" i="7"/>
  <c r="O20" i="7"/>
  <c r="O29" i="7" s="1"/>
  <c r="O4" i="7"/>
  <c r="O19" i="7" s="1"/>
  <c r="O2" i="7"/>
  <c r="O17" i="7" s="1"/>
  <c r="O26" i="7" s="1"/>
  <c r="O33" i="7" l="1"/>
  <c r="O31" i="7"/>
  <c r="I29" i="7"/>
  <c r="N29" i="7"/>
  <c r="O16" i="7"/>
  <c r="N31" i="7" l="1"/>
  <c r="N33" i="7" s="1"/>
  <c r="I26" i="7"/>
  <c r="I16" i="7"/>
  <c r="I33" i="7"/>
  <c r="E212" i="3"/>
  <c r="E219" i="3"/>
  <c r="E207" i="3"/>
  <c r="E198" i="3"/>
  <c r="E200" i="3"/>
  <c r="E202" i="3"/>
  <c r="E210" i="3"/>
  <c r="E214" i="3"/>
  <c r="E226" i="3"/>
  <c r="E228" i="3"/>
  <c r="E231" i="3"/>
  <c r="E233" i="3"/>
  <c r="E240" i="3"/>
  <c r="E196" i="3"/>
  <c r="E194" i="3"/>
  <c r="E192" i="3"/>
  <c r="E189" i="3"/>
  <c r="E186" i="3"/>
  <c r="E184" i="3"/>
  <c r="E176" i="3"/>
  <c r="E174" i="3"/>
  <c r="E172" i="3"/>
  <c r="E170" i="3"/>
  <c r="E156" i="3"/>
  <c r="E151" i="3"/>
  <c r="E149" i="3"/>
  <c r="E147" i="3"/>
  <c r="E145" i="3"/>
  <c r="E143" i="3"/>
  <c r="E140" i="3"/>
  <c r="E135" i="3"/>
  <c r="E130" i="3"/>
  <c r="E125" i="3"/>
  <c r="E123" i="3"/>
  <c r="E121" i="3"/>
  <c r="E117" i="3"/>
  <c r="E115" i="3"/>
  <c r="E112" i="3"/>
  <c r="E110" i="3"/>
  <c r="E107" i="3"/>
  <c r="E105" i="3"/>
  <c r="E103" i="3"/>
  <c r="E101" i="3"/>
  <c r="E99" i="3"/>
  <c r="E97" i="3"/>
  <c r="E95" i="3"/>
  <c r="E93" i="3"/>
  <c r="E81" i="3"/>
  <c r="E56" i="3"/>
  <c r="E50" i="3"/>
  <c r="E48" i="3"/>
  <c r="E45" i="3"/>
  <c r="E33" i="3"/>
  <c r="E27" i="3"/>
  <c r="E25" i="3"/>
  <c r="E18" i="3"/>
  <c r="E15" i="3"/>
  <c r="E13" i="3"/>
  <c r="E11" i="3"/>
  <c r="E8" i="3"/>
  <c r="E5" i="3"/>
  <c r="E3" i="3"/>
  <c r="A188" i="3"/>
</calcChain>
</file>

<file path=xl/sharedStrings.xml><?xml version="1.0" encoding="utf-8"?>
<sst xmlns="http://schemas.openxmlformats.org/spreadsheetml/2006/main" count="2753" uniqueCount="779">
  <si>
    <t>선정업체</t>
    <phoneticPr fontId="1" type="noConversion"/>
  </si>
  <si>
    <t>사업명</t>
    <phoneticPr fontId="1" type="noConversion"/>
  </si>
  <si>
    <t>심사일자</t>
    <phoneticPr fontId="1" type="noConversion"/>
  </si>
  <si>
    <t>순번</t>
    <phoneticPr fontId="1" type="noConversion"/>
  </si>
  <si>
    <t>송산그린시티 남측지구 조성공사(3공구) 제2토취장 복구공</t>
    <phoneticPr fontId="1" type="noConversion"/>
  </si>
  <si>
    <t>제 1차</t>
    <phoneticPr fontId="1" type="noConversion"/>
  </si>
  <si>
    <t>제 2차</t>
    <phoneticPr fontId="1" type="noConversion"/>
  </si>
  <si>
    <t>한국유지보수㈜</t>
    <phoneticPr fontId="1" type="noConversion"/>
  </si>
  <si>
    <t>화성정수장 잔여설비 도입사업</t>
    <phoneticPr fontId="1" type="noConversion"/>
  </si>
  <si>
    <t>제 3차</t>
    <phoneticPr fontId="1" type="noConversion"/>
  </si>
  <si>
    <t>상주 스마트 그린도시 조성사업</t>
    <phoneticPr fontId="1" type="noConversion"/>
  </si>
  <si>
    <t>㈜디아이앤바이로</t>
    <phoneticPr fontId="1" type="noConversion"/>
  </si>
  <si>
    <t>제 4차</t>
    <phoneticPr fontId="1" type="noConversion"/>
  </si>
  <si>
    <t>고양(정) 시설용량 증설공사</t>
    <phoneticPr fontId="1" type="noConversion"/>
  </si>
  <si>
    <t>제 5차</t>
    <phoneticPr fontId="1" type="noConversion"/>
  </si>
  <si>
    <t>성남(정) 하부집수장치 교체공사</t>
    <phoneticPr fontId="1" type="noConversion"/>
  </si>
  <si>
    <t>효림산업㈜</t>
    <phoneticPr fontId="1" type="noConversion"/>
  </si>
  <si>
    <t>제 6차</t>
    <phoneticPr fontId="1" type="noConversion"/>
  </si>
  <si>
    <t>공법 명</t>
    <phoneticPr fontId="1" type="noConversion"/>
  </si>
  <si>
    <t>울산공업용수도 노후관 개량사업(3차) 및 추가사업</t>
    <phoneticPr fontId="1" type="noConversion"/>
  </si>
  <si>
    <t>동도기공㈜</t>
    <phoneticPr fontId="1" type="noConversion"/>
  </si>
  <si>
    <t>환경신기술 제519호</t>
    <phoneticPr fontId="1" type="noConversion"/>
  </si>
  <si>
    <t>방재신기술 2021-32호</t>
    <phoneticPr fontId="1" type="noConversion"/>
  </si>
  <si>
    <t>부단수 차단</t>
    <phoneticPr fontId="1" type="noConversion"/>
  </si>
  <si>
    <t>공모기술</t>
    <phoneticPr fontId="1" type="noConversion"/>
  </si>
  <si>
    <t>㈜대호스토퍼</t>
    <phoneticPr fontId="1" type="noConversion"/>
  </si>
  <si>
    <t>㈜장수티엔시</t>
    <phoneticPr fontId="1" type="noConversion"/>
  </si>
  <si>
    <t>특허 제10-1262049호</t>
    <phoneticPr fontId="1" type="noConversion"/>
  </si>
  <si>
    <t>제 8차</t>
    <phoneticPr fontId="1" type="noConversion"/>
  </si>
  <si>
    <t>창원시 지방상수도 현대화사업 사업대상지 블록 유량계실 개선공사</t>
    <phoneticPr fontId="1" type="noConversion"/>
  </si>
  <si>
    <t>동진산업</t>
    <phoneticPr fontId="1" type="noConversion"/>
  </si>
  <si>
    <t>제 9차</t>
    <phoneticPr fontId="1" type="noConversion"/>
  </si>
  <si>
    <t>수지(정) 응집침전지 방수방식 공사</t>
    <phoneticPr fontId="1" type="noConversion"/>
  </si>
  <si>
    <t>시에스티이앤시㈜</t>
    <phoneticPr fontId="1" type="noConversion"/>
  </si>
  <si>
    <t>특허 제10-1557636호</t>
    <phoneticPr fontId="1" type="noConversion"/>
  </si>
  <si>
    <t>제 10차</t>
    <phoneticPr fontId="1" type="noConversion"/>
  </si>
  <si>
    <t>㈜플로웰</t>
    <phoneticPr fontId="1" type="noConversion"/>
  </si>
  <si>
    <t>㈜쎄니팡</t>
    <phoneticPr fontId="1" type="noConversion"/>
  </si>
  <si>
    <t>제 11차</t>
    <phoneticPr fontId="1" type="noConversion"/>
  </si>
  <si>
    <t>제 12차</t>
    <phoneticPr fontId="1" type="noConversion"/>
  </si>
  <si>
    <t>오산세교 2지구 3공구 지장관로 관로이설공사</t>
    <phoneticPr fontId="1" type="noConversion"/>
  </si>
  <si>
    <t>제 13차</t>
    <phoneticPr fontId="1" type="noConversion"/>
  </si>
  <si>
    <t>광주시 스마트 관망관리 인프라구축(정밀여과장치) 시설공사</t>
    <phoneticPr fontId="1" type="noConversion"/>
  </si>
  <si>
    <t>㈜미드니</t>
    <phoneticPr fontId="1" type="noConversion"/>
  </si>
  <si>
    <t>제 14차</t>
    <phoneticPr fontId="1" type="noConversion"/>
  </si>
  <si>
    <t>건설신기술 제811호</t>
    <phoneticPr fontId="1" type="noConversion"/>
  </si>
  <si>
    <t>제 15차</t>
    <phoneticPr fontId="1" type="noConversion"/>
  </si>
  <si>
    <t>선암댐 안정성강화사업 건설공사(홍수방어벽)</t>
    <phoneticPr fontId="1" type="noConversion"/>
  </si>
  <si>
    <t>㈜대도엔텍</t>
    <phoneticPr fontId="1" type="noConversion"/>
  </si>
  <si>
    <t>특허 제10-1289694호</t>
    <phoneticPr fontId="1" type="noConversion"/>
  </si>
  <si>
    <t>1. 특허 제10-2147040호
2. 특허 제10-1164802호</t>
    <phoneticPr fontId="1" type="noConversion"/>
  </si>
  <si>
    <t>특허 제10-0773510호</t>
    <phoneticPr fontId="1" type="noConversion"/>
  </si>
  <si>
    <t>특허 제10-1817292호</t>
    <phoneticPr fontId="1" type="noConversion"/>
  </si>
  <si>
    <t>특허 제10-1326573호</t>
    <phoneticPr fontId="1" type="noConversion"/>
  </si>
  <si>
    <t>방재신기술 제2020-18호</t>
    <phoneticPr fontId="1" type="noConversion"/>
  </si>
  <si>
    <t xml:space="preserve">특허 제2021-0071507호 </t>
    <phoneticPr fontId="1" type="noConversion"/>
  </si>
  <si>
    <t>특허 제10-2132897호</t>
    <phoneticPr fontId="1" type="noConversion"/>
  </si>
  <si>
    <t>특허 제10-1753728호</t>
    <phoneticPr fontId="1" type="noConversion"/>
  </si>
  <si>
    <t>특허 제10-2225166호</t>
    <phoneticPr fontId="1" type="noConversion"/>
  </si>
  <si>
    <t>제 16차</t>
    <phoneticPr fontId="1" type="noConversion"/>
  </si>
  <si>
    <t>선암댐 안정성강화사업 건설공사(가설교량)</t>
    <phoneticPr fontId="1" type="noConversion"/>
  </si>
  <si>
    <t>㈜네오브릿지</t>
    <phoneticPr fontId="1" type="noConversion"/>
  </si>
  <si>
    <t>건설신기술 제 679호,
방재신기술 제2021-17호</t>
    <phoneticPr fontId="1" type="noConversion"/>
  </si>
  <si>
    <t>제 17차</t>
    <phoneticPr fontId="1" type="noConversion"/>
  </si>
  <si>
    <t>창원공업용수도 관로시설 개량공사(2차)</t>
    <phoneticPr fontId="1" type="noConversion"/>
  </si>
  <si>
    <t>덕산건설㈜</t>
    <phoneticPr fontId="1" type="noConversion"/>
  </si>
  <si>
    <t>환경신기술 제593호</t>
    <phoneticPr fontId="1" type="noConversion"/>
  </si>
  <si>
    <t>제 18차</t>
    <phoneticPr fontId="1" type="noConversion"/>
  </si>
  <si>
    <t>문산(정) 활성탄여과지 하부집수장치 교체공사</t>
    <phoneticPr fontId="1" type="noConversion"/>
  </si>
  <si>
    <t>제 19차</t>
    <phoneticPr fontId="1" type="noConversion"/>
  </si>
  <si>
    <t>송산그린시티 남측지구 조성공사(3공구)</t>
    <phoneticPr fontId="1" type="noConversion"/>
  </si>
  <si>
    <t>㈜세기엔지니어링</t>
    <phoneticPr fontId="1" type="noConversion"/>
  </si>
  <si>
    <t>건설신기술 제875호</t>
    <phoneticPr fontId="1" type="noConversion"/>
  </si>
  <si>
    <t>제 20차</t>
    <phoneticPr fontId="1" type="noConversion"/>
  </si>
  <si>
    <t>예천군 스마트 관망관리 인프라 구축사업 시설공사</t>
    <phoneticPr fontId="1" type="noConversion"/>
  </si>
  <si>
    <t>㈜썬텍엔지니어링</t>
    <phoneticPr fontId="1" type="noConversion"/>
  </si>
  <si>
    <t>특허 제10-1638098호</t>
    <phoneticPr fontId="1" type="noConversion"/>
  </si>
  <si>
    <t>제 21차</t>
    <phoneticPr fontId="1" type="noConversion"/>
  </si>
  <si>
    <t>포항-안동2(2공구) 국도건설공사 지장관로 이설공사</t>
    <phoneticPr fontId="1" type="noConversion"/>
  </si>
  <si>
    <t>제 22차</t>
    <phoneticPr fontId="1" type="noConversion"/>
  </si>
  <si>
    <t>황지정수장 여과지 개량공사</t>
    <phoneticPr fontId="1" type="noConversion"/>
  </si>
  <si>
    <t>특허 제10-1838692호 외 3건</t>
    <phoneticPr fontId="1" type="noConversion"/>
  </si>
  <si>
    <t>제 23차</t>
    <phoneticPr fontId="1" type="noConversion"/>
  </si>
  <si>
    <t>황지정수장 (구)정수장 방수방식공사</t>
    <phoneticPr fontId="1" type="noConversion"/>
  </si>
  <si>
    <t>㈜문창</t>
    <phoneticPr fontId="1" type="noConversion"/>
  </si>
  <si>
    <t>특허 제10-2061842호</t>
    <phoneticPr fontId="1" type="noConversion"/>
  </si>
  <si>
    <t>제 24차</t>
    <phoneticPr fontId="1" type="noConversion"/>
  </si>
  <si>
    <t>포항광역상수도 송수관로 복선화사업</t>
    <phoneticPr fontId="1" type="noConversion"/>
  </si>
  <si>
    <t>제 25차</t>
    <phoneticPr fontId="1" type="noConversion"/>
  </si>
  <si>
    <t>경기서북권지사 대자계통 일부 구간 복선화공사</t>
    <phoneticPr fontId="1" type="noConversion"/>
  </si>
  <si>
    <t>제 26차</t>
    <phoneticPr fontId="1" type="noConversion"/>
  </si>
  <si>
    <t>제 27차</t>
    <phoneticPr fontId="1" type="noConversion"/>
  </si>
  <si>
    <t>시흥정수장 배출수처리시설 덮개 제조구매설치</t>
    <phoneticPr fontId="1" type="noConversion"/>
  </si>
  <si>
    <t>㈜지온</t>
    <phoneticPr fontId="1" type="noConversion"/>
  </si>
  <si>
    <t>특허 제10-1336722호</t>
    <phoneticPr fontId="1" type="noConversion"/>
  </si>
  <si>
    <t>제 28차</t>
    <phoneticPr fontId="1" type="noConversion"/>
  </si>
  <si>
    <t>상수원 상류유역 거점형 오염저감 시범사업</t>
    <phoneticPr fontId="1" type="noConversion"/>
  </si>
  <si>
    <t>㈜유일기연</t>
    <phoneticPr fontId="1" type="noConversion"/>
  </si>
  <si>
    <t>건설신기술 제668호</t>
    <phoneticPr fontId="1" type="noConversion"/>
  </si>
  <si>
    <t>제 29차</t>
    <phoneticPr fontId="1" type="noConversion"/>
  </si>
  <si>
    <t>보성군 스마트 관망관리 인프라 구축사업 시설공사</t>
    <phoneticPr fontId="1" type="noConversion"/>
  </si>
  <si>
    <t>제 30차</t>
    <phoneticPr fontId="1" type="noConversion"/>
  </si>
  <si>
    <t>논산시 스마트 관망관리 인프라 구축사업 시설공사</t>
    <phoneticPr fontId="1" type="noConversion"/>
  </si>
  <si>
    <t>제 31차</t>
    <phoneticPr fontId="1" type="noConversion"/>
  </si>
  <si>
    <t>(SWM) 예천군 수질연속자동측정장치 제조구매설치</t>
    <phoneticPr fontId="1" type="noConversion"/>
  </si>
  <si>
    <t>특허 제10-1819416호 외2건</t>
    <phoneticPr fontId="1" type="noConversion"/>
  </si>
  <si>
    <t>제 32차</t>
    <phoneticPr fontId="1" type="noConversion"/>
  </si>
  <si>
    <t>부단수차단</t>
    <phoneticPr fontId="1" type="noConversion"/>
  </si>
  <si>
    <t>태백권광역상수도 취약시설개선 시설공사(부단수차단)</t>
    <phoneticPr fontId="1" type="noConversion"/>
  </si>
  <si>
    <t>특허 제10-12624049호</t>
    <phoneticPr fontId="1" type="noConversion"/>
  </si>
  <si>
    <t>제 33차</t>
    <phoneticPr fontId="1" type="noConversion"/>
  </si>
  <si>
    <t>태백권광역상수도 취약시설개선 시설공사(방수방식)</t>
    <phoneticPr fontId="1" type="noConversion"/>
  </si>
  <si>
    <t>㈜케이닉스공사</t>
    <phoneticPr fontId="1" type="noConversion"/>
  </si>
  <si>
    <t>특허 제10-1048752호</t>
    <phoneticPr fontId="1" type="noConversion"/>
  </si>
  <si>
    <t>제 34차</t>
    <phoneticPr fontId="1" type="noConversion"/>
  </si>
  <si>
    <t>천안정수장 활성탄흡착지 도입사업 시설공사(방수방식)</t>
    <phoneticPr fontId="1" type="noConversion"/>
  </si>
  <si>
    <t>제 35차</t>
    <phoneticPr fontId="1" type="noConversion"/>
  </si>
  <si>
    <t>충주조정지댐 소수력발전소 시설 차수공사</t>
    <phoneticPr fontId="1" type="noConversion"/>
  </si>
  <si>
    <t>㈜캐어콘</t>
    <phoneticPr fontId="1" type="noConversion"/>
  </si>
  <si>
    <t>건설신기술 제 877호</t>
    <phoneticPr fontId="1" type="noConversion"/>
  </si>
  <si>
    <t>제 36차</t>
    <phoneticPr fontId="1" type="noConversion"/>
  </si>
  <si>
    <t>광양(Ⅰ)공업용수도 광양신구계통 노후관 개량사업(B공구)</t>
    <phoneticPr fontId="1" type="noConversion"/>
  </si>
  <si>
    <t>웰텍㈜</t>
    <phoneticPr fontId="1" type="noConversion"/>
  </si>
  <si>
    <t>RIR 공법</t>
    <phoneticPr fontId="1" type="noConversion"/>
  </si>
  <si>
    <t>제 37차</t>
    <phoneticPr fontId="1" type="noConversion"/>
  </si>
  <si>
    <t>광양(Ⅰ)공업용수도 광양신구계통 노후관 개량사업(A공구)</t>
    <phoneticPr fontId="1" type="noConversion"/>
  </si>
  <si>
    <t>제 38차</t>
    <phoneticPr fontId="1" type="noConversion"/>
  </si>
  <si>
    <t>광양(Ⅰ)공업용수도 광양신구계통 노후관 개량사업(C공구)</t>
    <phoneticPr fontId="1" type="noConversion"/>
  </si>
  <si>
    <t>중앙산업㈜</t>
    <phoneticPr fontId="1" type="noConversion"/>
  </si>
  <si>
    <t>SCSL 공법</t>
    <phoneticPr fontId="1" type="noConversion"/>
  </si>
  <si>
    <t>제 39차</t>
    <phoneticPr fontId="1" type="noConversion"/>
  </si>
  <si>
    <t>시화MTV 소음저감시설 설치공사</t>
    <phoneticPr fontId="1" type="noConversion"/>
  </si>
  <si>
    <t>다스코㈜</t>
    <phoneticPr fontId="1" type="noConversion"/>
  </si>
  <si>
    <t>㈜태창닛케이</t>
    <phoneticPr fontId="1" type="noConversion"/>
  </si>
  <si>
    <t>특허 제10-1946607호</t>
    <phoneticPr fontId="1" type="noConversion"/>
  </si>
  <si>
    <t>특허 제10-1745993호</t>
    <phoneticPr fontId="1" type="noConversion"/>
  </si>
  <si>
    <t>제 40차</t>
    <phoneticPr fontId="1" type="noConversion"/>
  </si>
  <si>
    <t>㈜한수나택</t>
    <phoneticPr fontId="1" type="noConversion"/>
  </si>
  <si>
    <t>특허 제10-1627553호</t>
    <phoneticPr fontId="1" type="noConversion"/>
  </si>
  <si>
    <t>제 41차</t>
    <phoneticPr fontId="1" type="noConversion"/>
  </si>
  <si>
    <t>㈜한수도로산업</t>
    <phoneticPr fontId="1" type="noConversion"/>
  </si>
  <si>
    <t>특허 제10-0417294호</t>
    <phoneticPr fontId="1" type="noConversion"/>
  </si>
  <si>
    <t>제 42차</t>
    <phoneticPr fontId="1" type="noConversion"/>
  </si>
  <si>
    <t>천안정수장 2단계 여과지 방수방식 및 여재교체공사</t>
    <phoneticPr fontId="1" type="noConversion"/>
  </si>
  <si>
    <t>㈜대명에스이에스</t>
    <phoneticPr fontId="1" type="noConversion"/>
  </si>
  <si>
    <t>특허 제10-1849257호 외1건</t>
    <phoneticPr fontId="1" type="noConversion"/>
  </si>
  <si>
    <t>제 43차</t>
    <phoneticPr fontId="1" type="noConversion"/>
  </si>
  <si>
    <t>주안댐(율어천) 물환경관리 선도사업</t>
    <phoneticPr fontId="1" type="noConversion"/>
  </si>
  <si>
    <t>블루그린링크㈜</t>
    <phoneticPr fontId="1" type="noConversion"/>
  </si>
  <si>
    <t>환경신기술 제500호</t>
    <phoneticPr fontId="1" type="noConversion"/>
  </si>
  <si>
    <t>제 44차</t>
    <phoneticPr fontId="1" type="noConversion"/>
  </si>
  <si>
    <t>시화MTV 지하주차장 건립사업(복합방수(슬래브))</t>
    <phoneticPr fontId="1" type="noConversion"/>
  </si>
  <si>
    <t>㈜명진케미칼</t>
    <phoneticPr fontId="1" type="noConversion"/>
  </si>
  <si>
    <t>특허 제10-0952689호</t>
    <phoneticPr fontId="1" type="noConversion"/>
  </si>
  <si>
    <t>제 45차</t>
    <phoneticPr fontId="1" type="noConversion"/>
  </si>
  <si>
    <t>시화MTV 지하주차장 건립사업(장스팬거더)</t>
    <phoneticPr fontId="1" type="noConversion"/>
  </si>
  <si>
    <t>한우물중공업㈜</t>
    <phoneticPr fontId="1" type="noConversion"/>
  </si>
  <si>
    <t>특허 제10-2217153호</t>
    <phoneticPr fontId="1" type="noConversion"/>
  </si>
  <si>
    <t>제 46차</t>
    <phoneticPr fontId="1" type="noConversion"/>
  </si>
  <si>
    <t>전남남부권 광역상수도 관로복선화사업(1차)</t>
    <phoneticPr fontId="1" type="noConversion"/>
  </si>
  <si>
    <t>특허 제10-1262049호 외 1건</t>
    <phoneticPr fontId="1" type="noConversion"/>
  </si>
  <si>
    <t>제 47차</t>
    <phoneticPr fontId="1" type="noConversion"/>
  </si>
  <si>
    <t>청주(정) 위생관리 강화사업(방부방식)</t>
    <phoneticPr fontId="1" type="noConversion"/>
  </si>
  <si>
    <t>제 48차</t>
    <phoneticPr fontId="1" type="noConversion"/>
  </si>
  <si>
    <t>청주(정) 위생관리 강화사업(하부집수장치)</t>
    <phoneticPr fontId="1" type="noConversion"/>
  </si>
  <si>
    <t>특허 제10-1435017호 외5건</t>
    <phoneticPr fontId="1" type="noConversion"/>
  </si>
  <si>
    <t>제 49차</t>
    <phoneticPr fontId="1" type="noConversion"/>
  </si>
  <si>
    <t>고산정수장 정수지(구#3) STS라이닝 방수공사</t>
    <phoneticPr fontId="1" type="noConversion"/>
  </si>
  <si>
    <t>제 50차</t>
    <phoneticPr fontId="1" type="noConversion"/>
  </si>
  <si>
    <t>(SWM) 예천군 용문블럭 관세척 공사</t>
    <phoneticPr fontId="1" type="noConversion"/>
  </si>
  <si>
    <t>㈜케이엠에스</t>
    <phoneticPr fontId="1" type="noConversion"/>
  </si>
  <si>
    <t>특허 제10-1690588호</t>
    <phoneticPr fontId="1" type="noConversion"/>
  </si>
  <si>
    <t>특허 제10-2076094호 외</t>
    <phoneticPr fontId="1" type="noConversion"/>
  </si>
  <si>
    <t>(SWM) 예천군 YC5블럭 관세척 공사</t>
    <phoneticPr fontId="1" type="noConversion"/>
  </si>
  <si>
    <t>㈜하이크린</t>
    <phoneticPr fontId="1" type="noConversion"/>
  </si>
  <si>
    <t>특허 제10-2082669호</t>
    <phoneticPr fontId="1" type="noConversion"/>
  </si>
  <si>
    <t>화성정수장 소수력 개발사업</t>
    <phoneticPr fontId="1" type="noConversion"/>
  </si>
  <si>
    <t>제 52차</t>
    <phoneticPr fontId="1" type="noConversion"/>
  </si>
  <si>
    <t>제 1차
(글로벌기획)</t>
    <phoneticPr fontId="1" type="noConversion"/>
  </si>
  <si>
    <t>제 3차
(금강수도지원)</t>
    <phoneticPr fontId="1" type="noConversion"/>
  </si>
  <si>
    <t>동두천 지방상수도 현대화(노후정수장 정비) 사업(하부집수장치)</t>
    <phoneticPr fontId="1" type="noConversion"/>
  </si>
  <si>
    <t>효림이엔아이㈜</t>
    <phoneticPr fontId="1" type="noConversion"/>
  </si>
  <si>
    <t>특허 제10-1838692호</t>
    <phoneticPr fontId="1" type="noConversion"/>
  </si>
  <si>
    <t>제 4차
(동두천)</t>
    <phoneticPr fontId="1" type="noConversion"/>
  </si>
  <si>
    <t>시화MTV 소음저감시설 설치공사(흡음기능을 보유한 투명방음판)</t>
    <phoneticPr fontId="1" type="noConversion"/>
  </si>
  <si>
    <t>2022년 제1차
(시화사업처)</t>
    <phoneticPr fontId="1" type="noConversion"/>
  </si>
  <si>
    <t>시화MTV 지하주차장 건립사업(외벽 복합방수)</t>
    <phoneticPr fontId="1" type="noConversion"/>
  </si>
  <si>
    <t>㈜삼성건업</t>
    <phoneticPr fontId="1" type="noConversion"/>
  </si>
  <si>
    <t>건설신기술 제917호</t>
    <phoneticPr fontId="1" type="noConversion"/>
  </si>
  <si>
    <t>2022년 제2차
(시화사업처)</t>
    <phoneticPr fontId="1" type="noConversion"/>
  </si>
  <si>
    <t>평림정수장 고도정수처리시설 설치사업</t>
    <phoneticPr fontId="1" type="noConversion"/>
  </si>
  <si>
    <t>젠트로그룹</t>
    <phoneticPr fontId="1" type="noConversion"/>
  </si>
  <si>
    <t>특허 제10-0927316호</t>
    <phoneticPr fontId="1" type="noConversion"/>
  </si>
  <si>
    <t>티오켐㈜</t>
    <phoneticPr fontId="1" type="noConversion"/>
  </si>
  <si>
    <t>건설신기술 제715호</t>
    <phoneticPr fontId="1" type="noConversion"/>
  </si>
  <si>
    <t>수지정수장 2차 고도정수처리 도입사업 시설공사(방수방식)</t>
    <phoneticPr fontId="1" type="noConversion"/>
  </si>
  <si>
    <t>㈜세진에스엠씨</t>
    <phoneticPr fontId="1" type="noConversion"/>
  </si>
  <si>
    <t>건설신기술 제707호</t>
    <phoneticPr fontId="1" type="noConversion"/>
  </si>
  <si>
    <t>한강사업
계획처-01</t>
    <phoneticPr fontId="1" type="noConversion"/>
  </si>
  <si>
    <t>한강유역 스마트 관망관리 TM/TC 제조구매 설치(다항목 수질자동측정장치)</t>
    <phoneticPr fontId="1" type="noConversion"/>
  </si>
  <si>
    <t>대윤계기산업㈜</t>
    <phoneticPr fontId="1" type="noConversion"/>
  </si>
  <si>
    <t>특허 제10-2113196호</t>
    <phoneticPr fontId="1" type="noConversion"/>
  </si>
  <si>
    <t>제 3차
(한강수도지원)</t>
    <phoneticPr fontId="1" type="noConversion"/>
  </si>
  <si>
    <t>성남정수장 활성탄여과지 하부집수장치 제조구매설치(하부집수장치)</t>
    <phoneticPr fontId="1" type="noConversion"/>
  </si>
  <si>
    <t>특허 제10-1435017호</t>
    <phoneticPr fontId="1" type="noConversion"/>
  </si>
  <si>
    <t>제 5차
(한강수도지원)</t>
    <phoneticPr fontId="1" type="noConversion"/>
  </si>
  <si>
    <t>선정
표기번호</t>
    <phoneticPr fontId="1" type="noConversion"/>
  </si>
  <si>
    <t>수처리구조물 방수방식</t>
    <phoneticPr fontId="1" type="noConversion"/>
  </si>
  <si>
    <t>유공블럭형 하부집수장치</t>
    <phoneticPr fontId="1" type="noConversion"/>
  </si>
  <si>
    <t>관로 갱생공법(강관)</t>
    <phoneticPr fontId="1" type="noConversion"/>
  </si>
  <si>
    <t>절토사면 식생녹화</t>
    <phoneticPr fontId="1" type="noConversion"/>
  </si>
  <si>
    <t>수처리구조물방수방식</t>
    <phoneticPr fontId="1" type="noConversion"/>
  </si>
  <si>
    <t>관로상 정밀여과장치
(자동역세형)</t>
    <phoneticPr fontId="1" type="noConversion"/>
  </si>
  <si>
    <t>홍수방어벽</t>
    <phoneticPr fontId="1" type="noConversion"/>
  </si>
  <si>
    <t>가설교량</t>
    <phoneticPr fontId="1" type="noConversion"/>
  </si>
  <si>
    <t>흙막이 가시설</t>
    <phoneticPr fontId="1" type="noConversion"/>
  </si>
  <si>
    <t>자동드레인(패키지형)</t>
    <phoneticPr fontId="1" type="noConversion"/>
  </si>
  <si>
    <t>차수형 흙막이 가시설</t>
    <phoneticPr fontId="1" type="noConversion"/>
  </si>
  <si>
    <t>수처리시설물 밀폐형 덮개</t>
    <phoneticPr fontId="1" type="noConversion"/>
  </si>
  <si>
    <t>가동보(공압식)</t>
    <phoneticPr fontId="1" type="noConversion"/>
  </si>
  <si>
    <t>자동(원격)드레인(패키지형)</t>
    <phoneticPr fontId="1" type="noConversion"/>
  </si>
  <si>
    <t>다항목 수질연속자동측정장치
(패키지형)</t>
    <phoneticPr fontId="1" type="noConversion"/>
  </si>
  <si>
    <t>지중구조물 차수방식</t>
    <phoneticPr fontId="1" type="noConversion"/>
  </si>
  <si>
    <t>탈부착 가능한 투명방음판</t>
    <phoneticPr fontId="1" type="noConversion"/>
  </si>
  <si>
    <t>3dB 이상 비배수성
 저소음포장재</t>
    <phoneticPr fontId="1" type="noConversion"/>
  </si>
  <si>
    <t>7dB 이상 저소음포장</t>
    <phoneticPr fontId="1" type="noConversion"/>
  </si>
  <si>
    <t xml:space="preserve"> 탈부착 가능한 흡음형 
투명방음판 </t>
    <phoneticPr fontId="1" type="noConversion"/>
  </si>
  <si>
    <t>여과형 비점오염저감시설</t>
    <phoneticPr fontId="1" type="noConversion"/>
  </si>
  <si>
    <t>복합방수 공법(슬래브)</t>
    <phoneticPr fontId="1" type="noConversion"/>
  </si>
  <si>
    <t>장스팬(PC계열) 거더 및 빔</t>
    <phoneticPr fontId="1" type="noConversion"/>
  </si>
  <si>
    <t>청주정수장 공업용수 정수지 증설사업</t>
    <phoneticPr fontId="1" type="noConversion"/>
  </si>
  <si>
    <t>복합방수 공법(외벽)</t>
    <phoneticPr fontId="1" type="noConversion"/>
  </si>
  <si>
    <t xml:space="preserve">수처리구조물 방수방식
(내오존) </t>
    <phoneticPr fontId="1" type="noConversion"/>
  </si>
  <si>
    <t>수처리구조물 방수방식
(비오존+도막계)</t>
    <phoneticPr fontId="1" type="noConversion"/>
  </si>
  <si>
    <t xml:space="preserve">수처리구조물 방수방식
(비오존+패널계) </t>
    <phoneticPr fontId="1" type="noConversion"/>
  </si>
  <si>
    <t xml:space="preserve">유공블럭형 하부집수장치 </t>
    <phoneticPr fontId="1" type="noConversion"/>
  </si>
  <si>
    <t>다항목 수질자동측정장치</t>
    <phoneticPr fontId="1" type="noConversion"/>
  </si>
  <si>
    <t>남강댐계통 광역상수도 하동계통 관세척 시범적용공사</t>
    <phoneticPr fontId="1" type="noConversion"/>
  </si>
  <si>
    <t>부단수 차단</t>
  </si>
  <si>
    <t>상수관로 관세척공법
(Blowout)</t>
    <phoneticPr fontId="1" type="noConversion"/>
  </si>
  <si>
    <t>특허 제10-2132897호</t>
    <phoneticPr fontId="1" type="noConversion"/>
  </si>
  <si>
    <t>상수관로 관세척공법
(맥동류공법)</t>
    <phoneticPr fontId="1" type="noConversion"/>
  </si>
  <si>
    <t>상수관로 관세척공법</t>
    <phoneticPr fontId="1" type="noConversion"/>
  </si>
  <si>
    <t>㈜세움특수건설</t>
    <phoneticPr fontId="1" type="noConversion"/>
  </si>
  <si>
    <t>충주정수장 여과지 옥상방수공사</t>
    <phoneticPr fontId="1" type="noConversion"/>
  </si>
  <si>
    <t>방재신기술 제2020-18호 외2건</t>
    <phoneticPr fontId="1" type="noConversion"/>
  </si>
  <si>
    <t>태백권광역 관로상 정밀여과장치 설치공사</t>
    <phoneticPr fontId="1" type="noConversion"/>
  </si>
  <si>
    <t>㈜승원</t>
    <phoneticPr fontId="1" type="noConversion"/>
  </si>
  <si>
    <t>㈜보선워터텍</t>
    <phoneticPr fontId="1" type="noConversion"/>
  </si>
  <si>
    <t>특허 제10-2285468호</t>
    <phoneticPr fontId="1" type="noConversion"/>
  </si>
  <si>
    <t>특허 제10-2249692호</t>
    <phoneticPr fontId="1" type="noConversion"/>
  </si>
  <si>
    <t>제 6차
(한강수도지원)</t>
    <phoneticPr fontId="1" type="noConversion"/>
  </si>
  <si>
    <t>진천군 스마트 관망관리 인프라 구축 사업</t>
    <phoneticPr fontId="1" type="noConversion"/>
  </si>
  <si>
    <t>정밀여과장치</t>
    <phoneticPr fontId="1" type="noConversion"/>
  </si>
  <si>
    <t>특허 제10-2324743호</t>
    <phoneticPr fontId="1" type="noConversion"/>
  </si>
  <si>
    <t>제 1차
(지방상수도)</t>
    <phoneticPr fontId="1" type="noConversion"/>
  </si>
  <si>
    <t>댐 상류 부유물 차단시설 설치사업</t>
    <phoneticPr fontId="1" type="noConversion"/>
  </si>
  <si>
    <t>해상부유구조물</t>
    <phoneticPr fontId="1" type="noConversion"/>
  </si>
  <si>
    <t>㈜씨앰디</t>
    <phoneticPr fontId="1" type="noConversion"/>
  </si>
  <si>
    <t>㈜지주</t>
    <phoneticPr fontId="1" type="noConversion"/>
  </si>
  <si>
    <t>특허 제10-1471014호</t>
    <phoneticPr fontId="1" type="noConversion"/>
  </si>
  <si>
    <t>특허 제10-1785886호 외2건</t>
    <phoneticPr fontId="1" type="noConversion"/>
  </si>
  <si>
    <t>제 1차
(물환경처)</t>
    <phoneticPr fontId="1" type="noConversion"/>
  </si>
  <si>
    <t>태백권 광역상수도 광동댐계통 노후관 개량사업(B공구)</t>
    <phoneticPr fontId="1" type="noConversion"/>
  </si>
  <si>
    <t>비구조적 갱생공법</t>
    <phoneticPr fontId="1" type="noConversion"/>
  </si>
  <si>
    <t>환경신기술 제447호 외1건</t>
    <phoneticPr fontId="1" type="noConversion"/>
  </si>
  <si>
    <t>제 2차
(수도개발)</t>
    <phoneticPr fontId="1" type="noConversion"/>
  </si>
  <si>
    <t>태백권 광역상수도 광동댐계통 노후관 개량사업(C공구)</t>
    <phoneticPr fontId="1" type="noConversion"/>
  </si>
  <si>
    <t>구조적 갱생공법</t>
    <phoneticPr fontId="1" type="noConversion"/>
  </si>
  <si>
    <t>제 3차
(수도개발)</t>
    <phoneticPr fontId="1" type="noConversion"/>
  </si>
  <si>
    <t>태백권 광역상수도 광동댐계통 노후관 개량사업(A공구)</t>
    <phoneticPr fontId="1" type="noConversion"/>
  </si>
  <si>
    <t>제 4차
(수도개발)</t>
    <phoneticPr fontId="1" type="noConversion"/>
  </si>
  <si>
    <t>건설신기술 제936호</t>
    <phoneticPr fontId="1" type="noConversion"/>
  </si>
  <si>
    <t>제 1차
(울산권지사)</t>
    <phoneticPr fontId="1" type="noConversion"/>
  </si>
  <si>
    <t>제 5차
(수도개발)</t>
    <phoneticPr fontId="1" type="noConversion"/>
  </si>
  <si>
    <t>청주(정) 고도정수처리시설 설치사업</t>
    <phoneticPr fontId="1" type="noConversion"/>
  </si>
  <si>
    <t>재난안전신기술 제2020-18-1호</t>
    <phoneticPr fontId="1" type="noConversion"/>
  </si>
  <si>
    <t>아산(정) 고도정수처리시설 설치사업</t>
    <phoneticPr fontId="1" type="noConversion"/>
  </si>
  <si>
    <t>제 7차
(금강사업계획처)</t>
    <phoneticPr fontId="1" type="noConversion"/>
  </si>
  <si>
    <r>
      <t>광양(</t>
    </r>
    <r>
      <rPr>
        <sz val="10"/>
        <color theme="1"/>
        <rFont val="맑은 고딕"/>
        <family val="3"/>
        <charset val="129"/>
      </rPr>
      <t>Ⅰ)공업용수도 노후관 개량사업</t>
    </r>
    <phoneticPr fontId="1" type="noConversion"/>
  </si>
  <si>
    <r>
      <t xml:space="preserve">충주정수장 응집 </t>
    </r>
    <r>
      <rPr>
        <sz val="10"/>
        <color theme="1"/>
        <rFont val="맑은 고딕"/>
        <family val="3"/>
        <charset val="129"/>
      </rPr>
      <t>• 침전지 방수방식공사</t>
    </r>
    <phoneticPr fontId="1" type="noConversion"/>
  </si>
  <si>
    <r>
      <t xml:space="preserve"> 수처리구조물 방수방식
</t>
    </r>
    <r>
      <rPr>
        <sz val="10"/>
        <color rgb="FFFF0000"/>
        <rFont val="맑은 고딕"/>
        <family val="3"/>
        <charset val="129"/>
        <scheme val="minor"/>
      </rPr>
      <t xml:space="preserve">(STS라이닝) </t>
    </r>
    <phoneticPr fontId="1" type="noConversion"/>
  </si>
  <si>
    <r>
      <t xml:space="preserve">수처리구조물 방수방식
</t>
    </r>
    <r>
      <rPr>
        <b/>
        <sz val="10"/>
        <color rgb="FF00B0F0"/>
        <rFont val="맑은 고딕"/>
        <family val="3"/>
        <charset val="129"/>
        <scheme val="minor"/>
      </rPr>
      <t>(부착계 및 시트계)</t>
    </r>
    <phoneticPr fontId="1" type="noConversion"/>
  </si>
  <si>
    <r>
      <t>영</t>
    </r>
    <r>
      <rPr>
        <sz val="10"/>
        <color theme="1"/>
        <rFont val="맑은 고딕"/>
        <family val="3"/>
        <charset val="129"/>
      </rPr>
      <t>•섬사업
계획처-01</t>
    </r>
    <phoneticPr fontId="1" type="noConversion"/>
  </si>
  <si>
    <r>
      <t>영</t>
    </r>
    <r>
      <rPr>
        <sz val="10"/>
        <color theme="1"/>
        <rFont val="맑은 고딕"/>
        <family val="3"/>
        <charset val="129"/>
      </rPr>
      <t>•섬사업
계획처-02</t>
    </r>
    <phoneticPr fontId="1" type="noConversion"/>
  </si>
  <si>
    <r>
      <t xml:space="preserve"> 수처리구조물 방수방식
</t>
    </r>
    <r>
      <rPr>
        <b/>
        <sz val="10"/>
        <color rgb="FFFF0000"/>
        <rFont val="맑은 고딕"/>
        <family val="3"/>
        <charset val="129"/>
        <scheme val="minor"/>
      </rPr>
      <t xml:space="preserve">(STS라이닝) </t>
    </r>
    <phoneticPr fontId="1" type="noConversion"/>
  </si>
  <si>
    <r>
      <t xml:space="preserve">수처리구조물 방수방식
</t>
    </r>
    <r>
      <rPr>
        <b/>
        <sz val="10"/>
        <color rgb="FF0070C0"/>
        <rFont val="맑은 고딕"/>
        <family val="3"/>
        <charset val="129"/>
        <scheme val="minor"/>
      </rPr>
      <t>(도막계)</t>
    </r>
    <phoneticPr fontId="1" type="noConversion"/>
  </si>
  <si>
    <t>석성(정) 고도정수처리시설 설치사업</t>
    <phoneticPr fontId="1" type="noConversion"/>
  </si>
  <si>
    <t>하부집수장치</t>
    <phoneticPr fontId="1" type="noConversion"/>
  </si>
  <si>
    <t>특허 제10-2256977호 외 5건</t>
    <phoneticPr fontId="1" type="noConversion"/>
  </si>
  <si>
    <t>제 8차
(금강사업계획처)</t>
    <phoneticPr fontId="1" type="noConversion"/>
  </si>
  <si>
    <t>특허 제10-143517호 외 6건</t>
    <phoneticPr fontId="1" type="noConversion"/>
  </si>
  <si>
    <t>제 9차
(금강사업계획처)</t>
    <phoneticPr fontId="1" type="noConversion"/>
  </si>
  <si>
    <t>제 7차</t>
    <phoneticPr fontId="1" type="noConversion"/>
  </si>
  <si>
    <t>포항-안동2(2공구) 국도건설공사 지장관로 이설공사</t>
  </si>
  <si>
    <t>충주정수장 응집 • 침전지 방수방식공사</t>
    <phoneticPr fontId="1" type="noConversion"/>
  </si>
  <si>
    <t>광양(Ⅰ)공업용수도 노후관 개량사업</t>
    <phoneticPr fontId="1" type="noConversion"/>
  </si>
  <si>
    <t>태백권광역 관로상 정밀여과장치 설치공사</t>
  </si>
  <si>
    <t>제 51차</t>
  </si>
  <si>
    <t>3dB 이상 비배수성 저소음포장재</t>
    <phoneticPr fontId="1" type="noConversion"/>
  </si>
  <si>
    <t>대분류</t>
    <phoneticPr fontId="1" type="noConversion"/>
  </si>
  <si>
    <t>소분류</t>
    <phoneticPr fontId="1" type="noConversion"/>
  </si>
  <si>
    <t>자동역세형</t>
    <phoneticPr fontId="1" type="noConversion"/>
  </si>
  <si>
    <t>관로상 정밀여과장치</t>
    <phoneticPr fontId="1" type="noConversion"/>
  </si>
  <si>
    <t>강관</t>
    <phoneticPr fontId="1" type="noConversion"/>
  </si>
  <si>
    <t>관로 갱생공법</t>
    <phoneticPr fontId="1" type="noConversion"/>
  </si>
  <si>
    <t>공압식</t>
    <phoneticPr fontId="1" type="noConversion"/>
  </si>
  <si>
    <t>가동보</t>
    <phoneticPr fontId="1" type="noConversion"/>
  </si>
  <si>
    <t>비구조적 갱생공법(A공구)</t>
    <phoneticPr fontId="1" type="noConversion"/>
  </si>
  <si>
    <t>비구조적 갱생공법(B공구)</t>
    <phoneticPr fontId="1" type="noConversion"/>
  </si>
  <si>
    <t>비구조적 갱생공법(C공구)</t>
    <phoneticPr fontId="1" type="noConversion"/>
  </si>
  <si>
    <t>A공구</t>
    <phoneticPr fontId="1" type="noConversion"/>
  </si>
  <si>
    <t>B공구</t>
    <phoneticPr fontId="1" type="noConversion"/>
  </si>
  <si>
    <t>C공구</t>
    <phoneticPr fontId="1" type="noConversion"/>
  </si>
  <si>
    <t>구조적갱생공법</t>
    <phoneticPr fontId="1" type="noConversion"/>
  </si>
  <si>
    <t>다항목 수질연속자동측정장치</t>
    <phoneticPr fontId="1" type="noConversion"/>
  </si>
  <si>
    <t>패키지형</t>
    <phoneticPr fontId="1" type="noConversion"/>
  </si>
  <si>
    <t>복합방수공법</t>
    <phoneticPr fontId="1" type="noConversion"/>
  </si>
  <si>
    <t>슬래브</t>
    <phoneticPr fontId="1" type="noConversion"/>
  </si>
  <si>
    <t>외벽</t>
    <phoneticPr fontId="1" type="noConversion"/>
  </si>
  <si>
    <t>Blowout</t>
    <phoneticPr fontId="1" type="noConversion"/>
  </si>
  <si>
    <t>맥동류공법</t>
    <phoneticPr fontId="1" type="noConversion"/>
  </si>
  <si>
    <t>STS라이닝</t>
    <phoneticPr fontId="1" type="noConversion"/>
  </si>
  <si>
    <t>내오존</t>
    <phoneticPr fontId="1" type="noConversion"/>
  </si>
  <si>
    <t>도막계</t>
    <phoneticPr fontId="1" type="noConversion"/>
  </si>
  <si>
    <t>부착계 및 시트계</t>
    <phoneticPr fontId="1" type="noConversion"/>
  </si>
  <si>
    <t>비오존+도막계</t>
    <phoneticPr fontId="1" type="noConversion"/>
  </si>
  <si>
    <t>비오존+페널계</t>
    <phoneticPr fontId="1" type="noConversion"/>
  </si>
  <si>
    <t>자동(원격)드레인</t>
    <phoneticPr fontId="1" type="noConversion"/>
  </si>
  <si>
    <t>탈부착 가능한 흡음형 투명방음판</t>
    <phoneticPr fontId="1" type="noConversion"/>
  </si>
  <si>
    <t>㈜한수나택</t>
  </si>
  <si>
    <t>㈜한수도로산업</t>
  </si>
  <si>
    <t>㈜유일기연</t>
  </si>
  <si>
    <t>알수없음</t>
    <phoneticPr fontId="1" type="noConversion"/>
  </si>
  <si>
    <t>2023년 고산정수장 응집침전지 방수방식 공사</t>
    <phoneticPr fontId="1" type="noConversion"/>
  </si>
  <si>
    <t>한일콘㈜</t>
    <phoneticPr fontId="1" type="noConversion"/>
  </si>
  <si>
    <t>특허 제10-1355034호</t>
  </si>
  <si>
    <t>특허 제10-1355034호</t>
    <phoneticPr fontId="1" type="noConversion"/>
  </si>
  <si>
    <t>제 1차
(전주권지사)</t>
    <phoneticPr fontId="1" type="noConversion"/>
  </si>
  <si>
    <t>수처리구조물 방수방식(도막계)</t>
    <phoneticPr fontId="1" type="noConversion"/>
  </si>
  <si>
    <t>제 6차
(수도개발)</t>
    <phoneticPr fontId="1" type="noConversion"/>
  </si>
  <si>
    <t>청주정수장 고도정수처리시설 설치사업</t>
    <phoneticPr fontId="1" type="noConversion"/>
  </si>
  <si>
    <t>경인항 서해갑문 스톱로그 제조구매설치</t>
    <phoneticPr fontId="1" type="noConversion"/>
  </si>
  <si>
    <t>오목형 블록식 스톱로그</t>
    <phoneticPr fontId="1" type="noConversion"/>
  </si>
  <si>
    <t>㈜덕성산업기계</t>
    <phoneticPr fontId="1" type="noConversion"/>
  </si>
  <si>
    <t>특허 제10-2442599호</t>
    <phoneticPr fontId="1" type="noConversion"/>
  </si>
  <si>
    <t>제 10차
(아라뱃길지사)</t>
    <phoneticPr fontId="1" type="noConversion"/>
  </si>
  <si>
    <t>제 6차
(아라뱃길지사)</t>
    <phoneticPr fontId="1" type="noConversion"/>
  </si>
  <si>
    <t>충남서부(정) 고도정수처리시설 설치사업</t>
    <phoneticPr fontId="1" type="noConversion"/>
  </si>
  <si>
    <t>㈜디아이엔바이로</t>
    <phoneticPr fontId="1" type="noConversion"/>
  </si>
  <si>
    <t>제 10차
(금강사업계획처)</t>
    <phoneticPr fontId="1" type="noConversion"/>
  </si>
  <si>
    <t>하이드로 유공블럭</t>
    <phoneticPr fontId="1" type="noConversion"/>
  </si>
  <si>
    <r>
      <t>구미광역(</t>
    </r>
    <r>
      <rPr>
        <sz val="10"/>
        <color theme="1"/>
        <rFont val="맑은 고딕"/>
        <family val="3"/>
        <charset val="129"/>
      </rPr>
      <t>Ⅱ단계) 원호계통 송수관로 이설공사</t>
    </r>
    <phoneticPr fontId="1" type="noConversion"/>
  </si>
  <si>
    <t>구미권지사</t>
    <phoneticPr fontId="1" type="noConversion"/>
  </si>
  <si>
    <t>구미광역(Ⅱ단계) 원호계통 송수관로 이설공사</t>
    <phoneticPr fontId="1" type="noConversion"/>
  </si>
  <si>
    <t>클린로드 시스템
클리로드시스템 및 작동방법</t>
    <phoneticPr fontId="1" type="noConversion"/>
  </si>
  <si>
    <t>제 12회
(금강사업계획처)</t>
    <phoneticPr fontId="1" type="noConversion"/>
  </si>
  <si>
    <t>2023년 광주 제1정수장 응집침전지 및 진우배수지 방수방식공사</t>
    <phoneticPr fontId="1" type="noConversion"/>
  </si>
  <si>
    <t>방수방식</t>
    <phoneticPr fontId="1" type="noConversion"/>
  </si>
  <si>
    <t>특허 제 10-1557636호</t>
    <phoneticPr fontId="1" type="noConversion"/>
  </si>
  <si>
    <t>제 1차
(광주수도지사)</t>
    <phoneticPr fontId="1" type="noConversion"/>
  </si>
  <si>
    <t>제1차
(광주수도지사)</t>
    <phoneticPr fontId="1" type="noConversion"/>
  </si>
  <si>
    <t>한강하류권(4차) 급수체계조정사업 시설공사(제1공구)</t>
    <phoneticPr fontId="1" type="noConversion"/>
  </si>
  <si>
    <t>제 13차
(수도권수도사업단)</t>
    <phoneticPr fontId="1" type="noConversion"/>
  </si>
  <si>
    <r>
      <t xml:space="preserve">제 13차
</t>
    </r>
    <r>
      <rPr>
        <sz val="9"/>
        <color theme="1"/>
        <rFont val="맑은 고딕"/>
        <family val="3"/>
        <charset val="129"/>
        <scheme val="minor"/>
      </rPr>
      <t>(수도권수도사업단)</t>
    </r>
    <phoneticPr fontId="1" type="noConversion"/>
  </si>
  <si>
    <t>통영시 스마트 관망관리 인프라 구축 사업</t>
    <phoneticPr fontId="1" type="noConversion"/>
  </si>
  <si>
    <t>블루센 주식회사</t>
    <phoneticPr fontId="1" type="noConversion"/>
  </si>
  <si>
    <t>제 2차
(지방상수도)</t>
    <phoneticPr fontId="1" type="noConversion"/>
  </si>
  <si>
    <t>특허 제10-2113196호 외</t>
    <phoneticPr fontId="1" type="noConversion"/>
  </si>
  <si>
    <t>정밀여과장치
(카트리지형)</t>
    <phoneticPr fontId="1" type="noConversion"/>
  </si>
  <si>
    <t>㈜ 승원</t>
    <phoneticPr fontId="1" type="noConversion"/>
  </si>
  <si>
    <t>카트리지형</t>
    <phoneticPr fontId="1" type="noConversion"/>
  </si>
  <si>
    <t>세종시 스마트 관망관리 인프라 구축 사업</t>
    <phoneticPr fontId="1" type="noConversion"/>
  </si>
  <si>
    <t>제 3차
(지방상수도)</t>
    <phoneticPr fontId="1" type="noConversion"/>
  </si>
  <si>
    <t>장흥군 스마트 관망관리 인프라 구축 사업</t>
    <phoneticPr fontId="1" type="noConversion"/>
  </si>
  <si>
    <t>삼영기술㈜</t>
    <phoneticPr fontId="1" type="noConversion"/>
  </si>
  <si>
    <t>특허 제10-2062035호 외</t>
    <phoneticPr fontId="1" type="noConversion"/>
  </si>
  <si>
    <t>제 4차
(지방상수도)</t>
    <phoneticPr fontId="1" type="noConversion"/>
  </si>
  <si>
    <t>삼영기술(주)</t>
    <phoneticPr fontId="1" type="noConversion"/>
  </si>
  <si>
    <t>울릉군 스마트 관망관리 인프라 구축 사업</t>
    <phoneticPr fontId="1" type="noConversion"/>
  </si>
  <si>
    <t>제 5차
(지방상수도)</t>
    <phoneticPr fontId="1" type="noConversion"/>
  </si>
  <si>
    <t>고령군 스마트 관망관리 인프라 구축 사업</t>
    <phoneticPr fontId="1" type="noConversion"/>
  </si>
  <si>
    <t>사천정수장 고도정수처리시설 설치사업</t>
    <phoneticPr fontId="1" type="noConversion"/>
  </si>
  <si>
    <t>제 14차
(수도개발처)</t>
    <phoneticPr fontId="1" type="noConversion"/>
  </si>
  <si>
    <t>23년 동두천(정) 응집침전지 방수방식공사</t>
    <phoneticPr fontId="1" type="noConversion"/>
  </si>
  <si>
    <t>제 2차
(동두천수도지사)</t>
    <phoneticPr fontId="1" type="noConversion"/>
  </si>
  <si>
    <t>석성(정) 응집침전지 보수 및 방수공사</t>
    <phoneticPr fontId="1" type="noConversion"/>
  </si>
  <si>
    <t>지엘콘㈜</t>
    <phoneticPr fontId="1" type="noConversion"/>
  </si>
  <si>
    <t>특허 제 10-1355034호</t>
    <phoneticPr fontId="1" type="noConversion"/>
  </si>
  <si>
    <t>제 2차
(충남중부권지사)</t>
    <phoneticPr fontId="1" type="noConversion"/>
  </si>
  <si>
    <t>제 15차
(수도개발처)</t>
    <phoneticPr fontId="1" type="noConversion"/>
  </si>
  <si>
    <t>광양(Ⅰ) 공업용수도 광양신구계통 노후관 개량사업</t>
    <phoneticPr fontId="1" type="noConversion"/>
  </si>
  <si>
    <t>부단수차단</t>
    <phoneticPr fontId="1" type="noConversion"/>
  </si>
  <si>
    <t>㈜우신이엔지</t>
    <phoneticPr fontId="1" type="noConversion"/>
  </si>
  <si>
    <t>건설신기술 제936호 외 5건</t>
    <phoneticPr fontId="1" type="noConversion"/>
  </si>
  <si>
    <t>특허 제10-2068053호</t>
    <phoneticPr fontId="1" type="noConversion"/>
  </si>
  <si>
    <t>제 16차
(수도개발처)</t>
    <phoneticPr fontId="1" type="noConversion"/>
  </si>
  <si>
    <t>2023년 화순정수장 응집침전지 보수공사</t>
    <phoneticPr fontId="1" type="noConversion"/>
  </si>
  <si>
    <t>제 1차
(전남중부권지사)</t>
    <phoneticPr fontId="1" type="noConversion"/>
  </si>
  <si>
    <t>고령정수장 생활계통 시설개선사업</t>
    <phoneticPr fontId="1" type="noConversion"/>
  </si>
  <si>
    <t>㈜복주</t>
    <phoneticPr fontId="1" type="noConversion"/>
  </si>
  <si>
    <t>특허 제10-1820810호
특허 제10-1813861호</t>
    <phoneticPr fontId="1" type="noConversion"/>
  </si>
  <si>
    <t>제 2차
(고령권지사)</t>
    <phoneticPr fontId="1" type="noConversion"/>
  </si>
  <si>
    <t>2023년 아산(정) 공업용 응집침전지 방수방식공사</t>
    <phoneticPr fontId="1" type="noConversion"/>
  </si>
  <si>
    <t>제 3차
(아산권지사)</t>
    <phoneticPr fontId="1" type="noConversion"/>
  </si>
  <si>
    <t>스테인리스 라이닝</t>
    <phoneticPr fontId="1" type="noConversion"/>
  </si>
  <si>
    <t>제 1차
(수도권수도사업단)</t>
    <phoneticPr fontId="1" type="noConversion"/>
  </si>
  <si>
    <t>정밀여과장치</t>
    <phoneticPr fontId="1" type="noConversion"/>
  </si>
  <si>
    <t>㈜삼진정밀</t>
  </si>
  <si>
    <t>㈜삼진정밀</t>
    <phoneticPr fontId="1" type="noConversion"/>
  </si>
  <si>
    <t>특허 제10-2429726호</t>
    <phoneticPr fontId="1" type="noConversion"/>
  </si>
  <si>
    <t>제 6차
(지방상수도)</t>
    <phoneticPr fontId="1" type="noConversion"/>
  </si>
  <si>
    <t>청주정수장 고도정수처리시설 설치사업</t>
    <phoneticPr fontId="1" type="noConversion"/>
  </si>
  <si>
    <t>㈜젠트로그룹</t>
    <phoneticPr fontId="1" type="noConversion"/>
  </si>
  <si>
    <t>특허 제10-0757331호</t>
    <phoneticPr fontId="1" type="noConversion"/>
  </si>
  <si>
    <t>제 17차
(수도개발처)</t>
    <phoneticPr fontId="1" type="noConversion"/>
  </si>
  <si>
    <t>서산시 배수지 방수방식공사</t>
    <phoneticPr fontId="1" type="noConversion"/>
  </si>
  <si>
    <t>제 4차
(서산권지사)</t>
    <phoneticPr fontId="1" type="noConversion"/>
  </si>
  <si>
    <t>구미광역(Ⅱ단계) 김천계통 송수관로 이설공사</t>
    <phoneticPr fontId="1" type="noConversion"/>
  </si>
  <si>
    <t>㈜이앤에스시스템</t>
    <phoneticPr fontId="1" type="noConversion"/>
  </si>
  <si>
    <t>특허 제10-2150486호</t>
    <phoneticPr fontId="1" type="noConversion"/>
  </si>
  <si>
    <t>제 4차
(특정공법자재심사위원회)</t>
    <phoneticPr fontId="1" type="noConversion"/>
  </si>
  <si>
    <t>제 18차
(수도개발처)</t>
    <phoneticPr fontId="1" type="noConversion"/>
  </si>
  <si>
    <t>수지(정) 6단계 2계열 응집침전지 방수방식공사</t>
    <phoneticPr fontId="1" type="noConversion"/>
  </si>
  <si>
    <t>제 21차
(수도개발처)</t>
    <phoneticPr fontId="1" type="noConversion"/>
  </si>
  <si>
    <t>제 22차
(한강수도지원)</t>
    <phoneticPr fontId="1" type="noConversion"/>
  </si>
  <si>
    <t>고양정수장 전오존 도입사업 시설공사</t>
    <phoneticPr fontId="1" type="noConversion"/>
  </si>
  <si>
    <t>㈜탱크마스타</t>
    <phoneticPr fontId="1" type="noConversion"/>
  </si>
  <si>
    <t>특허 제10-0927399호</t>
    <phoneticPr fontId="1" type="noConversion"/>
  </si>
  <si>
    <t>제 3차
(수도권수도사업단)</t>
    <phoneticPr fontId="1" type="noConversion"/>
  </si>
  <si>
    <t>수처리구조물 방수방식
(도막계)</t>
    <phoneticPr fontId="1" type="noConversion"/>
  </si>
  <si>
    <r>
      <t xml:space="preserve">수처리구조물 방수방식
</t>
    </r>
    <r>
      <rPr>
        <sz val="10"/>
        <rFont val="맑은 고딕"/>
        <family val="3"/>
        <charset val="129"/>
        <scheme val="minor"/>
      </rPr>
      <t>비오존(부착계 및 시트계)</t>
    </r>
    <phoneticPr fontId="1" type="noConversion"/>
  </si>
  <si>
    <t>수처리구조물 방수방식
비오존(부착계 및 시트계)</t>
    <phoneticPr fontId="1" type="noConversion"/>
  </si>
  <si>
    <t>수처리구조물 방수방식
(패널계, STS계)</t>
    <phoneticPr fontId="1" type="noConversion"/>
  </si>
  <si>
    <t>패널계, STS계</t>
    <phoneticPr fontId="1" type="noConversion"/>
  </si>
  <si>
    <t>제 16차
(수도개발처)</t>
    <phoneticPr fontId="1" type="noConversion"/>
  </si>
  <si>
    <t>수처리구조물 방수방식
(내오존)</t>
    <phoneticPr fontId="1" type="noConversion"/>
  </si>
  <si>
    <t>아산(정)배출수 처리시설 위생관리 시설 제조구매설치</t>
    <phoneticPr fontId="1" type="noConversion"/>
  </si>
  <si>
    <t>㈜유성엔지니어링</t>
    <phoneticPr fontId="1" type="noConversion"/>
  </si>
  <si>
    <t>특허 제10-2127434호</t>
    <phoneticPr fontId="1" type="noConversion"/>
  </si>
  <si>
    <t>제 23차
(금강수도지원센터)</t>
    <phoneticPr fontId="1" type="noConversion"/>
  </si>
  <si>
    <t>문산(정) 응집·침전지 방수방식 및 보수보강</t>
    <phoneticPr fontId="1" type="noConversion"/>
  </si>
  <si>
    <t>제 4차
(한강수도지원센터)</t>
    <phoneticPr fontId="1" type="noConversion"/>
  </si>
  <si>
    <t>특허 제10-2167716호</t>
    <phoneticPr fontId="1" type="noConversion"/>
  </si>
  <si>
    <t>㈜켐코텍</t>
    <phoneticPr fontId="1" type="noConversion"/>
  </si>
  <si>
    <t>전주권(광) 도수관로 대아댐 비상연계시설 개선공사</t>
    <phoneticPr fontId="1" type="noConversion"/>
  </si>
  <si>
    <t>부단수 차단</t>
    <phoneticPr fontId="1" type="noConversion"/>
  </si>
  <si>
    <t>(주)대호스토퍼</t>
    <phoneticPr fontId="1" type="noConversion"/>
  </si>
  <si>
    <t>건설신기술 제936호</t>
    <phoneticPr fontId="1" type="noConversion"/>
  </si>
  <si>
    <t>제 5차
(전주권지사)</t>
    <phoneticPr fontId="1" type="noConversion"/>
  </si>
  <si>
    <t>특허 제10-1971571호</t>
    <phoneticPr fontId="1" type="noConversion"/>
  </si>
  <si>
    <t>㈜강산엔텍</t>
    <phoneticPr fontId="1" type="noConversion"/>
  </si>
  <si>
    <t>-
(금강수도지원센터)</t>
    <phoneticPr fontId="1" type="noConversion"/>
  </si>
  <si>
    <t>창원(공) 반송정수장 여과지 #2지 하부집수장치 교체공사</t>
    <phoneticPr fontId="1" type="noConversion"/>
  </si>
  <si>
    <t>특허 제10-0773510호 외 6건</t>
    <phoneticPr fontId="1" type="noConversion"/>
  </si>
  <si>
    <t>-
(낙동강수도지원센터)</t>
    <phoneticPr fontId="1" type="noConversion"/>
  </si>
  <si>
    <t>수처리 시설물 덮개(알루미늄)</t>
    <phoneticPr fontId="1" type="noConversion"/>
  </si>
  <si>
    <t>수처리구조물 방수방식(부착계)</t>
    <phoneticPr fontId="1" type="noConversion"/>
  </si>
  <si>
    <t xml:space="preserve"> 하부집수장치</t>
    <phoneticPr fontId="1" type="noConversion"/>
  </si>
  <si>
    <t>처리 시설물 덮개</t>
    <phoneticPr fontId="1" type="noConversion"/>
  </si>
  <si>
    <t>SMC</t>
    <phoneticPr fontId="1" type="noConversion"/>
  </si>
  <si>
    <t>㈜유성엔지니어링</t>
    <phoneticPr fontId="1" type="noConversion"/>
  </si>
  <si>
    <t>㈜켐코텍</t>
    <phoneticPr fontId="1" type="noConversion"/>
  </si>
  <si>
    <t>수처리 시설물 덮개</t>
    <phoneticPr fontId="1" type="noConversion"/>
  </si>
  <si>
    <t>알루미늄</t>
    <phoneticPr fontId="1" type="noConversion"/>
  </si>
  <si>
    <t>㈜강산엔텍</t>
    <phoneticPr fontId="1" type="noConversion"/>
  </si>
  <si>
    <t>아산(정)배출수 처리시설 위생관리 시설 제조구매설치</t>
    <phoneticPr fontId="1" type="noConversion"/>
  </si>
  <si>
    <t>처리 시설물 덮개(SMC)</t>
    <phoneticPr fontId="1" type="noConversion"/>
  </si>
  <si>
    <t xml:space="preserve"> 차수형 흙막이 가시설</t>
    <phoneticPr fontId="1" type="noConversion"/>
  </si>
  <si>
    <t>-
(수도권수도사업단)</t>
    <phoneticPr fontId="1" type="noConversion"/>
  </si>
  <si>
    <t>-</t>
    <phoneticPr fontId="1" type="noConversion"/>
  </si>
  <si>
    <t>원주권광역 비상급수분기 제수밸브 교체</t>
    <phoneticPr fontId="1" type="noConversion"/>
  </si>
  <si>
    <t>부단수 차단</t>
    <phoneticPr fontId="1" type="noConversion"/>
  </si>
  <si>
    <t>특허 제10-2150486호</t>
    <phoneticPr fontId="1" type="noConversion"/>
  </si>
  <si>
    <t>제 5차
(횡성원주권지사)</t>
    <phoneticPr fontId="1" type="noConversion"/>
  </si>
  <si>
    <t>2023년 청주(정) 2단계 건축물 옥상방수</t>
    <phoneticPr fontId="1" type="noConversion"/>
  </si>
  <si>
    <t>특허 제10-0737619호</t>
    <phoneticPr fontId="1" type="noConversion"/>
  </si>
  <si>
    <t>지엘기술㈜</t>
    <phoneticPr fontId="1" type="noConversion"/>
  </si>
  <si>
    <t>제 1차
(청주권지사)</t>
    <phoneticPr fontId="1" type="noConversion"/>
  </si>
  <si>
    <t>수처리구조물 방수방식 (부착계)</t>
    <phoneticPr fontId="1" type="noConversion"/>
  </si>
  <si>
    <t>청주정수장 고도정수처리시설 설치사업</t>
    <phoneticPr fontId="1" type="noConversion"/>
  </si>
  <si>
    <t>건설신기술 제715호</t>
    <phoneticPr fontId="1" type="noConversion"/>
  </si>
  <si>
    <t>-</t>
    <phoneticPr fontId="1" type="noConversion"/>
  </si>
  <si>
    <t>태백권 광역상수도 광동댐계통 노후관 개량사업</t>
    <phoneticPr fontId="1" type="noConversion"/>
  </si>
  <si>
    <t>건설신기술 제936호</t>
    <phoneticPr fontId="1" type="noConversion"/>
  </si>
  <si>
    <t>부착계</t>
    <phoneticPr fontId="1" type="noConversion"/>
  </si>
  <si>
    <t>지엘기술㈜</t>
    <phoneticPr fontId="1" type="noConversion"/>
  </si>
  <si>
    <t>제 24차
(수도개발처)</t>
    <phoneticPr fontId="1" type="noConversion"/>
  </si>
  <si>
    <t>대청댐 광역상수도 노후관 개량사업</t>
    <phoneticPr fontId="1" type="noConversion"/>
  </si>
  <si>
    <t>제 25차
(수도개발처)</t>
    <phoneticPr fontId="1" type="noConversion"/>
  </si>
  <si>
    <t>대청댐 광역상수도 노후관 개량사업</t>
    <phoneticPr fontId="1" type="noConversion"/>
  </si>
  <si>
    <t>제 25차
(수도개발처)</t>
    <phoneticPr fontId="1" type="noConversion"/>
  </si>
  <si>
    <t>청주정수장 2단계 정수지(#2) 방부상식공사</t>
    <phoneticPr fontId="1" type="noConversion"/>
  </si>
  <si>
    <t>부착계 방수방식</t>
    <phoneticPr fontId="1" type="noConversion"/>
  </si>
  <si>
    <t>㈜케이닉스건설</t>
    <phoneticPr fontId="1" type="noConversion"/>
  </si>
  <si>
    <t>제 26차
(청주권지사)</t>
    <phoneticPr fontId="1" type="noConversion"/>
  </si>
  <si>
    <t>광양(Ⅰ)공업용수도 노후관 개량사업 시설공사(여수구간)</t>
    <phoneticPr fontId="1" type="noConversion"/>
  </si>
  <si>
    <t>제 1차
(영.섬사업)</t>
    <phoneticPr fontId="1" type="noConversion"/>
  </si>
  <si>
    <t>재난안전신기술 제90-9-1호</t>
    <phoneticPr fontId="1" type="noConversion"/>
  </si>
  <si>
    <t>포엠㈜</t>
    <phoneticPr fontId="1" type="noConversion"/>
  </si>
  <si>
    <t>제 1차
(낙동강유역)</t>
    <phoneticPr fontId="1" type="noConversion"/>
  </si>
  <si>
    <t>밀양강 차현지구 지장관로 이설공사</t>
    <phoneticPr fontId="1" type="noConversion"/>
  </si>
  <si>
    <t>제 5차
(밀양권지사)</t>
    <phoneticPr fontId="1" type="noConversion"/>
  </si>
  <si>
    <t>수지(정) 5단계 1계열 정수지 방수방식공사</t>
    <phoneticPr fontId="1" type="noConversion"/>
  </si>
  <si>
    <t>제 27차
(경기동남권)</t>
    <phoneticPr fontId="1" type="noConversion"/>
  </si>
  <si>
    <t>아산정수장 고도정수처리시설 설치사업</t>
    <phoneticPr fontId="1" type="noConversion"/>
  </si>
  <si>
    <t>제 28차
(금강사업)</t>
    <phoneticPr fontId="1" type="noConversion"/>
  </si>
  <si>
    <t>천안정수장 활성탄흡착지 도입사업 시설공사</t>
    <phoneticPr fontId="1" type="noConversion"/>
  </si>
  <si>
    <t>㈜장수티앤시</t>
    <phoneticPr fontId="1" type="noConversion"/>
  </si>
  <si>
    <t>고령정수장 공업 응집·침전지(1지) 보수공사</t>
    <phoneticPr fontId="1" type="noConversion"/>
  </si>
  <si>
    <t>제 6차
(고령권지사)</t>
    <phoneticPr fontId="1" type="noConversion"/>
  </si>
  <si>
    <t>동두천 현대화사업(노후정수장 정비) 시설공사</t>
    <phoneticPr fontId="1" type="noConversion"/>
  </si>
  <si>
    <t>㈜세명크리텍</t>
    <phoneticPr fontId="1" type="noConversion"/>
  </si>
  <si>
    <t>특허 제10-1371345호</t>
    <phoneticPr fontId="1" type="noConversion"/>
  </si>
  <si>
    <t>제 6차
(한강유역)</t>
    <phoneticPr fontId="1" type="noConversion"/>
  </si>
  <si>
    <t>옥회천 지방하천 정비공사 지장관로 이설공사</t>
    <phoneticPr fontId="1" type="noConversion"/>
  </si>
  <si>
    <t>제 6차
(전주권지사)</t>
    <phoneticPr fontId="1" type="noConversion"/>
  </si>
  <si>
    <t>금강남부권(2차) 급수체계조정사업</t>
    <phoneticPr fontId="1" type="noConversion"/>
  </si>
  <si>
    <t>제 1차
(금강권수도)</t>
    <phoneticPr fontId="1" type="noConversion"/>
  </si>
  <si>
    <t>제 2차
(금강권수도)</t>
    <phoneticPr fontId="1" type="noConversion"/>
  </si>
  <si>
    <t>교량 인상공법</t>
    <phoneticPr fontId="1" type="noConversion"/>
  </si>
  <si>
    <t>다목적댐(3개소) 공도교 교좌장치 교체공사</t>
    <phoneticPr fontId="1" type="noConversion"/>
  </si>
  <si>
    <t>충남서부권 광역상수도사업(제2공구-태안계통) 및 추가사업 시설공사</t>
    <phoneticPr fontId="1" type="noConversion"/>
  </si>
  <si>
    <t>제 29차
(금강권수도)</t>
    <phoneticPr fontId="1" type="noConversion"/>
  </si>
  <si>
    <t>진도군 소형생물 대응체계 구축사업 시설공사</t>
    <phoneticPr fontId="1" type="noConversion"/>
  </si>
  <si>
    <t>충남서부정수장 고도정수처리시설 설치사업</t>
    <phoneticPr fontId="1" type="noConversion"/>
  </si>
  <si>
    <t>보령댐도수로 고탁도 유입개선 공사</t>
    <phoneticPr fontId="1" type="noConversion"/>
  </si>
  <si>
    <t>제 2차
(진도수도지사)</t>
    <phoneticPr fontId="1" type="noConversion"/>
  </si>
  <si>
    <t>탁도저감
(고속여과)</t>
    <phoneticPr fontId="1" type="noConversion"/>
  </si>
  <si>
    <t>㈜피앤아이휴먼코리아</t>
    <phoneticPr fontId="1" type="noConversion"/>
  </si>
  <si>
    <t>건설신기술 제831호 외 2건</t>
    <phoneticPr fontId="1" type="noConversion"/>
  </si>
  <si>
    <t>금강유역관리처</t>
    <phoneticPr fontId="1" type="noConversion"/>
  </si>
  <si>
    <t>금강사업계획처</t>
    <phoneticPr fontId="1" type="noConversion"/>
  </si>
  <si>
    <t>제 7차
(수도권수도)</t>
    <phoneticPr fontId="1" type="noConversion"/>
  </si>
  <si>
    <t>탁도저감</t>
    <phoneticPr fontId="1" type="noConversion"/>
  </si>
  <si>
    <t>고속여과</t>
    <phoneticPr fontId="1" type="noConversion"/>
  </si>
  <si>
    <t>제 2차
(수도권수도)</t>
    <phoneticPr fontId="1" type="noConversion"/>
  </si>
  <si>
    <t>김포~파주간 고속도로 지장관로 이설공사</t>
    <phoneticPr fontId="1" type="noConversion"/>
  </si>
  <si>
    <t>제 30차
(경기서북권지사)</t>
    <phoneticPr fontId="1" type="noConversion"/>
  </si>
  <si>
    <t>-
(금강사업계획처)</t>
    <phoneticPr fontId="1" type="noConversion"/>
  </si>
  <si>
    <t>수처리구조물 방수방식
(비오존 도막계)</t>
    <phoneticPr fontId="1" type="noConversion"/>
  </si>
  <si>
    <t>하이브리드프리폴리머 방수방식공법</t>
    <phoneticPr fontId="1" type="noConversion"/>
  </si>
  <si>
    <t>대청댐 광역상수도 노후관 개량사업(C공구)</t>
    <phoneticPr fontId="1" type="noConversion"/>
  </si>
  <si>
    <t>환경신기술 제447호 외 1건</t>
    <phoneticPr fontId="1" type="noConversion"/>
  </si>
  <si>
    <t>제 31차
(수도개발처)</t>
    <phoneticPr fontId="1" type="noConversion"/>
  </si>
  <si>
    <t>수지(정) F/A여과지 하부집수장치 교체공사</t>
    <phoneticPr fontId="1" type="noConversion"/>
  </si>
  <si>
    <t>특허 제10-1435017호 외 5건</t>
    <phoneticPr fontId="1" type="noConversion"/>
  </si>
  <si>
    <t>-
(경기동남권지사)</t>
    <phoneticPr fontId="1" type="noConversion"/>
  </si>
  <si>
    <t>대청댐 광역상수도 노후관 개량사업(A공구)</t>
    <phoneticPr fontId="1" type="noConversion"/>
  </si>
  <si>
    <t>제 32차
(수도개발처)</t>
  </si>
  <si>
    <t>제 32차
(수도개발처)</t>
    <phoneticPr fontId="1" type="noConversion"/>
  </si>
  <si>
    <t>나노 세라믹수지도료 침투성 방수방식 공법</t>
    <phoneticPr fontId="1" type="noConversion"/>
  </si>
  <si>
    <t>대청댐 광역상수도 노후관개량사업(B공구)</t>
    <phoneticPr fontId="1" type="noConversion"/>
  </si>
  <si>
    <t>제 33차
(수도개발처)</t>
  </si>
  <si>
    <t>제 33차
(수도개발처)</t>
    <phoneticPr fontId="1" type="noConversion"/>
  </si>
  <si>
    <t>석성정수장 고도정수처리시설 설치사업</t>
    <phoneticPr fontId="1" type="noConversion"/>
  </si>
  <si>
    <t>삼성에스지㈜</t>
    <phoneticPr fontId="1" type="noConversion"/>
  </si>
  <si>
    <t>특허 제10-1525290호</t>
    <phoneticPr fontId="1" type="noConversion"/>
  </si>
  <si>
    <t>제 12차
(충주권지사)</t>
    <phoneticPr fontId="1" type="noConversion"/>
  </si>
  <si>
    <t>제 15차
(충주권지사)</t>
    <phoneticPr fontId="1" type="noConversion"/>
  </si>
  <si>
    <t>제 16차
(낙동강사업계획)</t>
    <phoneticPr fontId="1" type="noConversion"/>
  </si>
  <si>
    <t>제 17차
(낙동강사업계획)</t>
    <phoneticPr fontId="1" type="noConversion"/>
  </si>
  <si>
    <t>제 18차
(창원권지사)</t>
    <phoneticPr fontId="1" type="noConversion"/>
  </si>
  <si>
    <t>제 19차
(파주수도지사)</t>
    <phoneticPr fontId="1" type="noConversion"/>
  </si>
  <si>
    <t>제 20차
(송산사업단)</t>
    <phoneticPr fontId="1" type="noConversion"/>
  </si>
  <si>
    <t>제 21차
(지방상수도)</t>
    <phoneticPr fontId="1" type="noConversion"/>
  </si>
  <si>
    <t>제 22차
(낙동강사업계획)</t>
    <phoneticPr fontId="1" type="noConversion"/>
  </si>
  <si>
    <t>제 23차
(태백권지사)</t>
    <phoneticPr fontId="1" type="noConversion"/>
  </si>
  <si>
    <t>제 24차
(태백권지사)</t>
    <phoneticPr fontId="1" type="noConversion"/>
  </si>
  <si>
    <t>제 25차
(낙동강사업계획)</t>
    <phoneticPr fontId="1" type="noConversion"/>
  </si>
  <si>
    <t>제 26차
(경기서북권지사)</t>
    <phoneticPr fontId="1" type="noConversion"/>
  </si>
  <si>
    <t>제 27차
(낙동강사업계획)</t>
    <phoneticPr fontId="1" type="noConversion"/>
  </si>
  <si>
    <t>제 28차
(경기서남권지사)</t>
    <phoneticPr fontId="1" type="noConversion"/>
  </si>
  <si>
    <t>제 29차
(물환경개선)</t>
    <phoneticPr fontId="1" type="noConversion"/>
  </si>
  <si>
    <t>제 30차
(지방상수도)</t>
    <phoneticPr fontId="1" type="noConversion"/>
  </si>
  <si>
    <t>제 31차
(지방상수도)</t>
    <phoneticPr fontId="1" type="noConversion"/>
  </si>
  <si>
    <t>제 32차
(지방상수도)</t>
    <phoneticPr fontId="1" type="noConversion"/>
  </si>
  <si>
    <t>남강댐 광역상수도 노후관개량사업(2공구 B구간)</t>
    <phoneticPr fontId="1" type="noConversion"/>
  </si>
  <si>
    <t>㈜선진에코</t>
    <phoneticPr fontId="1" type="noConversion"/>
  </si>
  <si>
    <t>특허 제10-1953847호 외 2건</t>
    <phoneticPr fontId="1" type="noConversion"/>
  </si>
  <si>
    <t>제34차
(수도개발처)</t>
    <phoneticPr fontId="1" type="noConversion"/>
  </si>
  <si>
    <t>남강댐 광역상수도 노후관개량사업(1공구 A구간)</t>
    <phoneticPr fontId="1" type="noConversion"/>
  </si>
  <si>
    <t>남강댐 광역상수도 노후관개량사업(1공구 B구간)</t>
    <phoneticPr fontId="1" type="noConversion"/>
  </si>
  <si>
    <t>남강댐 광역상수도 노후관개량사업(2공구 A구간)</t>
    <phoneticPr fontId="1" type="noConversion"/>
  </si>
  <si>
    <t>군산 공업용수도 노후관 개량사업(1차, A공구)</t>
    <phoneticPr fontId="1" type="noConversion"/>
  </si>
  <si>
    <t>제35차
(수도개발처)</t>
    <phoneticPr fontId="1" type="noConversion"/>
  </si>
  <si>
    <t>제36차
(수도개발처)</t>
    <phoneticPr fontId="1" type="noConversion"/>
  </si>
  <si>
    <t>특허 제10-1051562호 외 1건</t>
    <phoneticPr fontId="1" type="noConversion"/>
  </si>
  <si>
    <t>제37차
(수도개발처)</t>
    <phoneticPr fontId="1" type="noConversion"/>
  </si>
  <si>
    <t>제38차
(수도개발처)</t>
    <phoneticPr fontId="1" type="noConversion"/>
  </si>
  <si>
    <t>대청댐 광역상수도 노후관 개량사업(B공구)</t>
    <phoneticPr fontId="1" type="noConversion"/>
  </si>
  <si>
    <t>남강댐 광역상수도ㅗ 노후관개량사업(1공구 A구간)</t>
    <phoneticPr fontId="1" type="noConversion"/>
  </si>
  <si>
    <t>남강댐 광역상수도ㅗ 노후관개량사업(1공구 B구간)</t>
    <phoneticPr fontId="1" type="noConversion"/>
  </si>
  <si>
    <t>군산 공업용수도 노후관 개량사업(1차,A공구)</t>
    <phoneticPr fontId="1" type="noConversion"/>
  </si>
  <si>
    <t>환경신기술 제447호 외1건</t>
  </si>
  <si>
    <t>제 35차
(수도개발처)</t>
    <phoneticPr fontId="1" type="noConversion"/>
  </si>
  <si>
    <t>제 36차
(수도개발처)</t>
  </si>
  <si>
    <t>제 38차
(수도개발처)</t>
    <phoneticPr fontId="1" type="noConversion"/>
  </si>
  <si>
    <t>제 7차
(울산권지사)</t>
    <phoneticPr fontId="1" type="noConversion"/>
  </si>
  <si>
    <t>제 8차
(여수권지사)</t>
    <phoneticPr fontId="1" type="noConversion"/>
  </si>
  <si>
    <t>제 9차
(경남지역협력본부)</t>
    <phoneticPr fontId="1" type="noConversion"/>
  </si>
  <si>
    <t>제 10차
(경기동남권지사)</t>
    <phoneticPr fontId="1" type="noConversion"/>
  </si>
  <si>
    <t>제 11차
(낙동강수도지원)</t>
    <phoneticPr fontId="1" type="noConversion"/>
  </si>
  <si>
    <t>제 13차
(경기동남권지사)</t>
    <phoneticPr fontId="1" type="noConversion"/>
  </si>
  <si>
    <t>제 14차
(광주수도지사)</t>
    <phoneticPr fontId="1" type="noConversion"/>
  </si>
  <si>
    <t>제 33차
(태백권지사)</t>
    <phoneticPr fontId="1" type="noConversion"/>
  </si>
  <si>
    <t>제 34차
(태백권지사)</t>
    <phoneticPr fontId="1" type="noConversion"/>
  </si>
  <si>
    <t>제 35차
(금강권수도사업단)</t>
    <phoneticPr fontId="1" type="noConversion"/>
  </si>
  <si>
    <t>제 36차
(충주권사업단)</t>
    <phoneticPr fontId="1" type="noConversion"/>
  </si>
  <si>
    <t>제 37차
(수도개발처)</t>
    <phoneticPr fontId="1" type="noConversion"/>
  </si>
  <si>
    <t>제 39차
(수도개발처)</t>
    <phoneticPr fontId="1" type="noConversion"/>
  </si>
  <si>
    <t>제 40차
(사화사업처)</t>
    <phoneticPr fontId="1" type="noConversion"/>
  </si>
  <si>
    <t>제 41차
(시화사업처)</t>
    <phoneticPr fontId="1" type="noConversion"/>
  </si>
  <si>
    <t>제 42차
(시화사업처)</t>
    <phoneticPr fontId="1" type="noConversion"/>
  </si>
  <si>
    <t>제 44차
(물환경계획처)</t>
    <phoneticPr fontId="1" type="noConversion"/>
  </si>
  <si>
    <t>제 43차
(천안권지사)</t>
    <phoneticPr fontId="1" type="noConversion"/>
  </si>
  <si>
    <t>제 45차
(시화사업처)</t>
    <phoneticPr fontId="1" type="noConversion"/>
  </si>
  <si>
    <t>제 47차
(수도개발처)</t>
    <phoneticPr fontId="1" type="noConversion"/>
  </si>
  <si>
    <t>제 46차
(시화사업처)</t>
    <phoneticPr fontId="1" type="noConversion"/>
  </si>
  <si>
    <t>제 48차
(금강수도지원센터)</t>
    <phoneticPr fontId="1" type="noConversion"/>
  </si>
  <si>
    <t>제 49차
(금강수도지원센터)</t>
    <phoneticPr fontId="1" type="noConversion"/>
  </si>
  <si>
    <t>제 50차
(전주권지사)</t>
    <phoneticPr fontId="1" type="noConversion"/>
  </si>
  <si>
    <t>제 51차
(예천수도지사)</t>
    <phoneticPr fontId="1" type="noConversion"/>
  </si>
  <si>
    <t>제 52차
(예천수도지사)</t>
    <phoneticPr fontId="1" type="noConversion"/>
  </si>
  <si>
    <t>승촌보 공도교 교량받침 교체공사</t>
    <phoneticPr fontId="1" type="noConversion"/>
  </si>
  <si>
    <t>㈜부흥시스템</t>
    <phoneticPr fontId="1" type="noConversion"/>
  </si>
  <si>
    <t>특허 제10-2230107호</t>
    <phoneticPr fontId="1" type="noConversion"/>
  </si>
  <si>
    <t>제 39차
(영.섬유역관리처)</t>
    <phoneticPr fontId="1" type="noConversion"/>
  </si>
  <si>
    <t>군산 공업용수도 노후관 개량사업(1차, B공구)</t>
    <phoneticPr fontId="1" type="noConversion"/>
  </si>
  <si>
    <t>제39차
(수도개발처)</t>
    <phoneticPr fontId="1" type="noConversion"/>
  </si>
  <si>
    <t>수도권(IV) 광역상수도(시화안산계통) 복선화사업 시설공사</t>
    <phoneticPr fontId="1" type="noConversion"/>
  </si>
  <si>
    <t>계 약 금  액
(백만원)</t>
    <phoneticPr fontId="1" type="noConversion"/>
  </si>
  <si>
    <t>제40차
(수도권수도사업단)</t>
    <phoneticPr fontId="1" type="noConversion"/>
  </si>
  <si>
    <t>㈜피앤아이
휴먼코리아</t>
    <phoneticPr fontId="1" type="noConversion"/>
  </si>
  <si>
    <t>고정부재를 이용한 콘크리트 수조의 방수시트 부착방법</t>
    <phoneticPr fontId="1" type="noConversion"/>
  </si>
  <si>
    <t xml:space="preserve">석성정수장 고도정수처리시설 설치사업 </t>
    <phoneticPr fontId="1" type="noConversion"/>
  </si>
  <si>
    <t>㈜창우텍</t>
    <phoneticPr fontId="1" type="noConversion"/>
  </si>
  <si>
    <t>콘크리트 저수조 라이닝용 투명폴리에틸렌 시트…</t>
    <phoneticPr fontId="1" type="noConversion"/>
  </si>
  <si>
    <t>없음1</t>
    <phoneticPr fontId="1" type="noConversion"/>
  </si>
  <si>
    <t>없음2</t>
    <phoneticPr fontId="1" type="noConversion"/>
  </si>
  <si>
    <t>없음3</t>
    <phoneticPr fontId="1" type="noConversion"/>
  </si>
  <si>
    <t>없음4</t>
    <phoneticPr fontId="1" type="noConversion"/>
  </si>
  <si>
    <t>없음5</t>
    <phoneticPr fontId="1" type="noConversion"/>
  </si>
  <si>
    <t>석성(정) 생활(#2) 및 공업(#3) 응집침전지 보수공사</t>
    <phoneticPr fontId="1" type="noConversion"/>
  </si>
  <si>
    <t>부산 에코델타시티 2단계 제5공구 조성공사</t>
    <phoneticPr fontId="1" type="noConversion"/>
  </si>
  <si>
    <t>7dB이상 저소음 포장공법</t>
    <phoneticPr fontId="1" type="noConversion"/>
  </si>
  <si>
    <t>수처리구조물 방수방식
내오존(도막 및 시트계)</t>
    <phoneticPr fontId="1" type="noConversion"/>
  </si>
  <si>
    <t>순공사금액
(백만원)</t>
    <phoneticPr fontId="1" type="noConversion"/>
  </si>
  <si>
    <t>선정금액
(백만원)</t>
    <phoneticPr fontId="1" type="noConversion"/>
  </si>
  <si>
    <t xml:space="preserve"> 수처리구조물 방수방식</t>
    <phoneticPr fontId="1" type="noConversion"/>
  </si>
  <si>
    <t>복합방수 공법</t>
    <phoneticPr fontId="1" type="noConversion"/>
  </si>
  <si>
    <t>비오존+패널계</t>
    <phoneticPr fontId="1" type="noConversion"/>
  </si>
  <si>
    <r>
      <t xml:space="preserve"> 수처리구조물 방수방식</t>
    </r>
    <r>
      <rPr>
        <b/>
        <sz val="10"/>
        <color rgb="FFFF0000"/>
        <rFont val="맑은 고딕"/>
        <family val="3"/>
        <charset val="129"/>
        <scheme val="minor"/>
      </rPr>
      <t xml:space="preserve"> </t>
    </r>
    <phoneticPr fontId="1" type="noConversion"/>
  </si>
  <si>
    <t>비오존(부착계 및 시트계)</t>
    <phoneticPr fontId="1" type="noConversion"/>
  </si>
  <si>
    <t xml:space="preserve"> 부착계</t>
    <phoneticPr fontId="1" type="noConversion"/>
  </si>
  <si>
    <t>비오존 도막계</t>
    <phoneticPr fontId="1" type="noConversion"/>
  </si>
  <si>
    <t>내오존(도막 및 시트계)</t>
    <phoneticPr fontId="1" type="noConversion"/>
  </si>
  <si>
    <t>총 공사비 /
선정금액 비중</t>
    <phoneticPr fontId="1" type="noConversion"/>
  </si>
  <si>
    <t>우신이엔지</t>
    <phoneticPr fontId="1" type="noConversion"/>
  </si>
  <si>
    <t>총 순공사비</t>
    <phoneticPr fontId="1" type="noConversion"/>
  </si>
  <si>
    <t>군산공업용수도 노후관 개량사업(1차)</t>
    <phoneticPr fontId="1" type="noConversion"/>
  </si>
  <si>
    <t>제1차
(수도개발처)</t>
    <phoneticPr fontId="1" type="noConversion"/>
  </si>
  <si>
    <t>㈜한수나텍</t>
    <phoneticPr fontId="1" type="noConversion"/>
  </si>
  <si>
    <t>제 2차
(부산에코델타시티)</t>
    <phoneticPr fontId="1" type="noConversion"/>
  </si>
  <si>
    <t>건설신기술 제 715호</t>
    <phoneticPr fontId="1" type="noConversion"/>
  </si>
  <si>
    <t>제1차
(충남중부권)</t>
    <phoneticPr fontId="1" type="noConversion"/>
  </si>
  <si>
    <t>한강하류1차 대자계통 일부구간 복선화공사</t>
    <phoneticPr fontId="1" type="noConversion"/>
  </si>
  <si>
    <t>제3차
(경기서북권지사)</t>
    <phoneticPr fontId="1" type="noConversion"/>
  </si>
  <si>
    <t>간접비 16.6%</t>
    <phoneticPr fontId="1" type="noConversion"/>
  </si>
  <si>
    <t>도급률(83*82%)</t>
    <phoneticPr fontId="1" type="noConversion"/>
  </si>
  <si>
    <t>동화댐계통 광역상수도 관로복선화사업 시설공사</t>
    <phoneticPr fontId="1" type="noConversion"/>
  </si>
  <si>
    <t>울산공업용수도 노후관 개량사업(3차) 및 추가사업 시설공사</t>
    <phoneticPr fontId="1" type="noConversion"/>
  </si>
  <si>
    <t>비구조적 갱생 공법</t>
    <phoneticPr fontId="1" type="noConversion"/>
  </si>
  <si>
    <t>고덕일반산단(2차) 용수공급시설 건설사업(1공구)</t>
    <phoneticPr fontId="1" type="noConversion"/>
  </si>
  <si>
    <t>고덕일반산단(2차) 용수공급시설 건설사업(1공구 광역분기점)</t>
    <phoneticPr fontId="1" type="noConversion"/>
  </si>
  <si>
    <t>재난안전기술 제2020-18-1호</t>
    <phoneticPr fontId="1" type="noConversion"/>
  </si>
  <si>
    <r>
      <t>제4차
(영</t>
    </r>
    <r>
      <rPr>
        <sz val="10"/>
        <color theme="1"/>
        <rFont val="맑은 고딕"/>
        <family val="3"/>
        <charset val="129"/>
      </rPr>
      <t>•섬권수도사업단)</t>
    </r>
    <phoneticPr fontId="1" type="noConversion"/>
  </si>
  <si>
    <r>
      <t>제5차
(울산권지사</t>
    </r>
    <r>
      <rPr>
        <sz val="10"/>
        <color theme="1"/>
        <rFont val="맑은 고딕"/>
        <family val="3"/>
        <charset val="129"/>
      </rPr>
      <t>)</t>
    </r>
    <phoneticPr fontId="1" type="noConversion"/>
  </si>
  <si>
    <t>해양수산신기술 제2022-0004호 외 2건</t>
    <phoneticPr fontId="1" type="noConversion"/>
  </si>
  <si>
    <t>태정인더스트리㈜</t>
    <phoneticPr fontId="1" type="noConversion"/>
  </si>
  <si>
    <t>송산그린시티 남측지구 2공구 조성공사</t>
    <phoneticPr fontId="1" type="noConversion"/>
  </si>
  <si>
    <t>고덕 일반산단(2차) 용수공급시설 건설사업(2공구)</t>
    <phoneticPr fontId="1" type="noConversion"/>
  </si>
  <si>
    <t>제7차
(수도개발처)</t>
    <phoneticPr fontId="1" type="noConversion"/>
  </si>
  <si>
    <t>고덕 일반산단(2차) 용수공급시설 건설사업(3공구)</t>
    <phoneticPr fontId="1" type="noConversion"/>
  </si>
  <si>
    <t>제8차
(수도개발처)</t>
    <phoneticPr fontId="1" type="noConversion"/>
  </si>
  <si>
    <t>해남-대흥사 지장관로 이설공사</t>
    <phoneticPr fontId="1" type="noConversion"/>
  </si>
  <si>
    <t>신장동 수도권광역상수도 3단계 관로이설공사</t>
    <phoneticPr fontId="1" type="noConversion"/>
  </si>
  <si>
    <t>교량 PC거더 제작 및 가설 공법</t>
    <phoneticPr fontId="1" type="noConversion"/>
  </si>
  <si>
    <t>제9차
(경기동남권지사)</t>
    <phoneticPr fontId="1" type="noConversion"/>
  </si>
  <si>
    <r>
      <t>제10차
(영</t>
    </r>
    <r>
      <rPr>
        <sz val="10"/>
        <color theme="1"/>
        <rFont val="맑은 고딕"/>
        <family val="3"/>
        <charset val="129"/>
      </rPr>
      <t>•섬권수도사업단)</t>
    </r>
    <phoneticPr fontId="1" type="noConversion"/>
  </si>
  <si>
    <r>
      <t>제10차
(영</t>
    </r>
    <r>
      <rPr>
        <sz val="9"/>
        <color theme="1"/>
        <rFont val="맑은 고딕"/>
        <family val="3"/>
        <charset val="129"/>
      </rPr>
      <t>•섬권수도사업단)</t>
    </r>
    <phoneticPr fontId="1" type="noConversion"/>
  </si>
  <si>
    <r>
      <t>제12차
(수도개발처</t>
    </r>
    <r>
      <rPr>
        <sz val="10"/>
        <color theme="1"/>
        <rFont val="맑은 고딕"/>
        <family val="3"/>
        <charset val="129"/>
      </rPr>
      <t>)</t>
    </r>
    <phoneticPr fontId="1" type="noConversion"/>
  </si>
  <si>
    <t>K-water 본사권 건축물 방수공사</t>
    <phoneticPr fontId="1" type="noConversion"/>
  </si>
  <si>
    <t>뉴-퍼펙트 삽입고정형 복합방수</t>
    <phoneticPr fontId="1" type="noConversion"/>
  </si>
  <si>
    <t>제6차
공간경관처</t>
    <phoneticPr fontId="1" type="noConversion"/>
  </si>
  <si>
    <t>건축물 노출 복합방수공법</t>
    <phoneticPr fontId="1" type="noConversion"/>
  </si>
  <si>
    <t>(단위:백만원)</t>
    <phoneticPr fontId="1" type="noConversion"/>
  </si>
  <si>
    <t>공법명</t>
    <phoneticPr fontId="1" type="noConversion"/>
  </si>
  <si>
    <t>비율</t>
    <phoneticPr fontId="1" type="noConversion"/>
  </si>
  <si>
    <t>2024년 K-water 
총 공법심의 금액
(2024.07.25기준)</t>
    <phoneticPr fontId="1" type="noConversion"/>
  </si>
  <si>
    <t>금액</t>
    <phoneticPr fontId="1" type="noConversion"/>
  </si>
  <si>
    <r>
      <t xml:space="preserve">2024년 K-water 
기준 </t>
    </r>
    <r>
      <rPr>
        <b/>
        <u/>
        <sz val="14"/>
        <rFont val="맑은 고딕"/>
        <family val="3"/>
        <charset val="129"/>
        <scheme val="minor"/>
      </rPr>
      <t>부단수차단</t>
    </r>
    <r>
      <rPr>
        <b/>
        <sz val="14"/>
        <color theme="1"/>
        <rFont val="맑은 고딕"/>
        <family val="3"/>
        <charset val="129"/>
        <scheme val="minor"/>
      </rPr>
      <t xml:space="preserve"> 선정
(2024.07.25기준)</t>
    </r>
    <phoneticPr fontId="1" type="noConversion"/>
  </si>
  <si>
    <t>업체명</t>
    <phoneticPr fontId="1" type="noConversion"/>
  </si>
  <si>
    <t>대호스토퍼</t>
    <phoneticPr fontId="1" type="noConversion"/>
  </si>
  <si>
    <t>장수티엔시</t>
    <phoneticPr fontId="1" type="noConversion"/>
  </si>
  <si>
    <t>이엔에스시스템</t>
    <phoneticPr fontId="1" type="noConversion"/>
  </si>
  <si>
    <t>사상~하단선 2공구 잔여구간 노후관개량공사 부단수 차단</t>
    <phoneticPr fontId="1" type="noConversion"/>
  </si>
  <si>
    <t>파주운정3 지구 택지개발사업 조성공사(광역상수관로 이설공사)</t>
    <phoneticPr fontId="1" type="noConversion"/>
  </si>
  <si>
    <t>충주댐계통 증평계통 지장관로 이설공사</t>
    <phoneticPr fontId="1" type="noConversion"/>
  </si>
  <si>
    <t>영화의전당 지하차도건설공사 구간 내 상수도관이설공사 부단수 차단</t>
    <phoneticPr fontId="1" type="noConversion"/>
  </si>
  <si>
    <t>LS밸브</t>
    <phoneticPr fontId="1" type="noConversion"/>
  </si>
  <si>
    <r>
      <t>영등포</t>
    </r>
    <r>
      <rPr>
        <sz val="10"/>
        <color theme="1"/>
        <rFont val="MS UI Gothic"/>
        <family val="3"/>
        <charset val="1"/>
      </rPr>
      <t>․</t>
    </r>
    <r>
      <rPr>
        <sz val="10"/>
        <color theme="1"/>
        <rFont val="맑은 고딕"/>
        <family val="3"/>
        <charset val="129"/>
        <scheme val="minor"/>
      </rPr>
      <t>신길 빗물펌프장 증설 및 배수개선사업 기본 및 실시설계</t>
    </r>
    <phoneticPr fontId="1" type="noConversion"/>
  </si>
  <si>
    <t>2024년
총 공법심의 금액
(2024.07.25기준)</t>
    <phoneticPr fontId="1" type="noConversion"/>
  </si>
  <si>
    <t>창원(공) 수출계통 제수밸브 교체공사</t>
    <phoneticPr fontId="1" type="noConversion"/>
  </si>
  <si>
    <t>k-water공법심의</t>
    <phoneticPr fontId="1" type="noConversion"/>
  </si>
  <si>
    <t>k-water공법심의 외</t>
    <phoneticPr fontId="1" type="noConversion"/>
  </si>
  <si>
    <t>금마~삼기 지방도 확포장공사 실시설계용역</t>
    <phoneticPr fontId="1" type="noConversion"/>
  </si>
  <si>
    <t>부단수 선정된것 모두 기입</t>
    <phoneticPr fontId="1" type="noConversion"/>
  </si>
  <si>
    <t>제13차
(전남서남권지사)</t>
    <phoneticPr fontId="1" type="noConversion"/>
  </si>
  <si>
    <t>이엔이건설㈜</t>
    <phoneticPr fontId="1" type="noConversion"/>
  </si>
  <si>
    <t>특허 제10-0645491 외 1건</t>
    <phoneticPr fontId="1" type="noConversion"/>
  </si>
  <si>
    <t>-
(송산사업단)</t>
    <phoneticPr fontId="1" type="noConversion"/>
  </si>
  <si>
    <t>청지천·석림천 하천정비사업 관로이설공사</t>
    <phoneticPr fontId="1" type="noConversion"/>
  </si>
  <si>
    <t>제14차
(보령권지사)</t>
    <phoneticPr fontId="1" type="noConversion"/>
  </si>
  <si>
    <t>경기북부1차 관로 복선화 사업</t>
    <phoneticPr fontId="1" type="noConversion"/>
  </si>
  <si>
    <t>제2차
(수도개발처)</t>
    <phoneticPr fontId="1" type="noConversion"/>
  </si>
  <si>
    <t>경기북부1차 관로 복선화 사업</t>
    <phoneticPr fontId="1" type="noConversion"/>
  </si>
  <si>
    <t>제2차
(수도개발처)</t>
    <phoneticPr fontId="1" type="noConversion"/>
  </si>
  <si>
    <t>남한강(3차) 급수체계조정사업</t>
    <phoneticPr fontId="1" type="noConversion"/>
  </si>
  <si>
    <t>제1차
(수도개발처)</t>
    <phoneticPr fontId="1" type="noConversion"/>
  </si>
  <si>
    <t>성남정수장 여과지 전면 시설개선 사업</t>
    <phoneticPr fontId="1" type="noConversion"/>
  </si>
  <si>
    <t>㈜케이닉스건설</t>
    <phoneticPr fontId="1" type="noConversion"/>
  </si>
  <si>
    <t>수처리구조물 방수방식</t>
    <phoneticPr fontId="1" type="noConversion"/>
  </si>
  <si>
    <t xml:space="preserve">패널계 </t>
    <phoneticPr fontId="1" type="noConversion"/>
  </si>
  <si>
    <t>제3차
(한강유역수도지원센터)</t>
    <phoneticPr fontId="1" type="noConversion"/>
  </si>
  <si>
    <t>특허 제10-2240975호</t>
    <phoneticPr fontId="1" type="noConversion"/>
  </si>
  <si>
    <t>제4차
(수도개발처)</t>
    <phoneticPr fontId="1" type="noConversion"/>
  </si>
  <si>
    <t>석탄 자연재해위험개선지구 정비사업 지장관로 이설공사</t>
    <phoneticPr fontId="1" type="noConversion"/>
  </si>
  <si>
    <t>부단수 차단</t>
    <phoneticPr fontId="1" type="noConversion"/>
  </si>
  <si>
    <t>제5차
(수도개발처)</t>
    <phoneticPr fontId="1" type="noConversion"/>
  </si>
  <si>
    <t>유공블럭형 하부집수장치</t>
    <phoneticPr fontId="1" type="noConversion"/>
  </si>
  <si>
    <t>국도23호 신공주대교 연결로 설치사업 지장관로 이설공사</t>
    <phoneticPr fontId="1" type="noConversion"/>
  </si>
  <si>
    <t>제6차
(충남중부권지사)</t>
    <phoneticPr fontId="1" type="noConversion"/>
  </si>
  <si>
    <t>㈜케이닉스건설</t>
    <phoneticPr fontId="1" type="noConversion"/>
  </si>
  <si>
    <t>수지(정) 6단계 1계열 정수지 방수방식공사</t>
    <phoneticPr fontId="1" type="noConversion"/>
  </si>
  <si>
    <t>제7차
(경기동남권지사)</t>
    <phoneticPr fontId="1" type="noConversion"/>
  </si>
  <si>
    <t>영원파이프솔루션㈜</t>
    <phoneticPr fontId="1" type="noConversion"/>
  </si>
  <si>
    <t>광양(Ⅰ) 공업용수도 광양신구계통 노후관 개량사업 시설공사(광양구간)</t>
    <phoneticPr fontId="1" type="noConversion"/>
  </si>
  <si>
    <t>비구조적 갱생공법</t>
    <phoneticPr fontId="1" type="noConversion"/>
  </si>
  <si>
    <t>제8차
(영섬권수도사업단)</t>
    <phoneticPr fontId="1" type="noConversion"/>
  </si>
  <si>
    <t>영원파이프솔루션㈜</t>
    <phoneticPr fontId="1" type="noConversion"/>
  </si>
  <si>
    <t>제8차
(영섬권수도사업단)</t>
    <phoneticPr fontId="1" type="noConversion"/>
  </si>
  <si>
    <t>시화MTV 소음저감시설 설치공사</t>
    <phoneticPr fontId="1" type="noConversion"/>
  </si>
  <si>
    <t>평림천 통합형 오염저감시설 설치사업</t>
    <phoneticPr fontId="1" type="noConversion"/>
  </si>
  <si>
    <t>2025년 수지(정)F/A여과지 하부집수장치 교체공사</t>
    <phoneticPr fontId="1" type="noConversion"/>
  </si>
  <si>
    <t>장항선 철도사업 보령광역 지장관로 이설공사</t>
    <phoneticPr fontId="1" type="noConversion"/>
  </si>
  <si>
    <t>와부정수장 3단계 정수지 방수방식공사</t>
    <phoneticPr fontId="1" type="noConversion"/>
  </si>
  <si>
    <t>다스코㈜</t>
    <phoneticPr fontId="1" type="noConversion"/>
  </si>
  <si>
    <t>㈜태창닛케이</t>
    <phoneticPr fontId="1" type="noConversion"/>
  </si>
  <si>
    <t>특허 제10-194667호</t>
    <phoneticPr fontId="1" type="noConversion"/>
  </si>
  <si>
    <t>제9차
(수변사업처)</t>
    <phoneticPr fontId="1" type="noConversion"/>
  </si>
  <si>
    <t>특허 제10-1745993호</t>
    <phoneticPr fontId="1" type="noConversion"/>
  </si>
  <si>
    <t xml:space="preserve"> 탈부착 가능한 반사형 투명방음판</t>
    <phoneticPr fontId="1" type="noConversion"/>
  </si>
  <si>
    <t>장치형 비점오염저감시설</t>
    <phoneticPr fontId="1" type="noConversion"/>
  </si>
  <si>
    <t>제10차
(영섬유역관리처)</t>
    <phoneticPr fontId="1" type="noConversion"/>
  </si>
  <si>
    <t>유공블럭형 하부집수장치</t>
    <phoneticPr fontId="1" type="noConversion"/>
  </si>
  <si>
    <t>제11차
(경기동남권지사)</t>
    <phoneticPr fontId="1" type="noConversion"/>
  </si>
  <si>
    <t>㈜장수티엔시</t>
    <phoneticPr fontId="1" type="noConversion"/>
  </si>
  <si>
    <t>부단수 차단</t>
    <phoneticPr fontId="1" type="noConversion"/>
  </si>
  <si>
    <t>건설신기술 제936호</t>
    <phoneticPr fontId="1" type="noConversion"/>
  </si>
  <si>
    <t>제12차
(금강유역수도지원센터)</t>
    <phoneticPr fontId="1" type="noConversion"/>
  </si>
  <si>
    <t>수처리 구조물 방수방식</t>
    <phoneticPr fontId="1" type="noConversion"/>
  </si>
  <si>
    <t>패널계</t>
    <phoneticPr fontId="1" type="noConversion"/>
  </si>
  <si>
    <t>제13차
(경기동북권지사)</t>
    <phoneticPr fontId="1" type="noConversion"/>
  </si>
  <si>
    <t>(최초)
공고일</t>
    <phoneticPr fontId="1" type="noConversion"/>
  </si>
  <si>
    <t>(최종)
마감일</t>
    <phoneticPr fontId="1" type="noConversion"/>
  </si>
  <si>
    <t>공고마감일로부터 심사일</t>
    <phoneticPr fontId="1" type="noConversion"/>
  </si>
  <si>
    <t>주식회사 세연</t>
    <phoneticPr fontId="1" type="noConversion"/>
  </si>
  <si>
    <t>①클린로드 시스템
②클린로드시스템 및 그 클린 로드 시스템 작동방법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</si>
</sst>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-&quot;m&quot;-&quot;d;@"/>
    <numFmt numFmtId="177" formatCode="_-* #,##0.00_-;\-* #,##0.00_-;_-* &quot;-&quot;_-;_-@_-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9C6500"/>
      <name val="맑은 고딕"/>
      <family val="3"/>
      <charset val="129"/>
      <scheme val="minor"/>
    </font>
    <font>
      <b/>
      <sz val="12"/>
      <color rgb="FF9C65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rgb="FF0000FF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MS UI Gothic"/>
      <family val="3"/>
      <charset val="1"/>
    </font>
    <font>
      <b/>
      <sz val="18"/>
      <color rgb="FF0000FF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rgb="FFB2B2B2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7" borderId="41" applyNumberFormat="0" applyFont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51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176" fontId="2" fillId="2" borderId="5" xfId="0" applyNumberFormat="1" applyFont="1" applyFill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>
      <alignment vertical="center"/>
    </xf>
    <xf numFmtId="0" fontId="3" fillId="0" borderId="1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76" fontId="3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4" fontId="3" fillId="4" borderId="16" xfId="0" applyNumberFormat="1" applyFont="1" applyFill="1" applyBorder="1" applyAlignment="1">
      <alignment horizontal="center" vertical="center" wrapText="1"/>
    </xf>
    <xf numFmtId="14" fontId="3" fillId="4" borderId="17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4" fontId="3" fillId="4" borderId="14" xfId="0" applyNumberFormat="1" applyFont="1" applyFill="1" applyBorder="1" applyAlignment="1">
      <alignment horizontal="center" vertical="center" wrapText="1"/>
    </xf>
    <xf numFmtId="41" fontId="2" fillId="2" borderId="5" xfId="1" applyFont="1" applyFill="1" applyBorder="1" applyAlignment="1">
      <alignment horizontal="center" vertical="center" wrapText="1"/>
    </xf>
    <xf numFmtId="41" fontId="3" fillId="0" borderId="3" xfId="1" applyFont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 wrapText="1"/>
    </xf>
    <xf numFmtId="41" fontId="3" fillId="0" borderId="0" xfId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41" fontId="3" fillId="0" borderId="32" xfId="1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14" fontId="3" fillId="0" borderId="32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41" fontId="2" fillId="6" borderId="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3" fillId="6" borderId="34" xfId="0" applyFont="1" applyFill="1" applyBorder="1" applyAlignment="1">
      <alignment horizontal="center" vertical="center"/>
    </xf>
    <xf numFmtId="176" fontId="3" fillId="6" borderId="35" xfId="0" applyNumberFormat="1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 wrapText="1"/>
    </xf>
    <xf numFmtId="41" fontId="2" fillId="6" borderId="35" xfId="1" applyFont="1" applyFill="1" applyBorder="1" applyAlignment="1">
      <alignment horizontal="center" vertical="center" wrapText="1"/>
    </xf>
    <xf numFmtId="0" fontId="3" fillId="6" borderId="35" xfId="0" applyFont="1" applyFill="1" applyBorder="1" applyAlignment="1">
      <alignment horizontal="left" vertical="center" wrapText="1"/>
    </xf>
    <xf numFmtId="14" fontId="3" fillId="6" borderId="35" xfId="0" applyNumberFormat="1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176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/>
    </xf>
    <xf numFmtId="49" fontId="3" fillId="6" borderId="37" xfId="0" applyNumberFormat="1" applyFont="1" applyFill="1" applyBorder="1" applyAlignment="1">
      <alignment horizontal="center" vertical="center" wrapText="1"/>
    </xf>
    <xf numFmtId="49" fontId="3" fillId="6" borderId="1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49" fontId="9" fillId="0" borderId="33" xfId="0" applyNumberFormat="1" applyFont="1" applyBorder="1" applyAlignment="1">
      <alignment horizontal="center" vertical="center" wrapText="1"/>
    </xf>
    <xf numFmtId="49" fontId="9" fillId="6" borderId="10" xfId="0" applyNumberFormat="1" applyFont="1" applyFill="1" applyBorder="1" applyAlignment="1">
      <alignment horizontal="center" vertical="center" wrapText="1"/>
    </xf>
    <xf numFmtId="0" fontId="9" fillId="6" borderId="37" xfId="0" applyFont="1" applyFill="1" applyBorder="1" applyAlignment="1">
      <alignment horizontal="center" vertical="center" wrapText="1"/>
    </xf>
    <xf numFmtId="49" fontId="12" fillId="6" borderId="2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41" fontId="3" fillId="0" borderId="1" xfId="1" applyFont="1" applyBorder="1" applyAlignment="1">
      <alignment horizontal="left" vertical="center" wrapText="1"/>
    </xf>
    <xf numFmtId="41" fontId="3" fillId="0" borderId="2" xfId="1" applyFont="1" applyBorder="1" applyAlignment="1">
      <alignment horizontal="left" vertical="center" wrapText="1"/>
    </xf>
    <xf numFmtId="41" fontId="2" fillId="4" borderId="14" xfId="1" applyFont="1" applyFill="1" applyBorder="1" applyAlignment="1">
      <alignment horizontal="center" vertical="center"/>
    </xf>
    <xf numFmtId="41" fontId="3" fillId="0" borderId="3" xfId="1" applyFont="1" applyBorder="1" applyAlignment="1">
      <alignment horizontal="left" vertical="center" wrapText="1"/>
    </xf>
    <xf numFmtId="41" fontId="3" fillId="0" borderId="1" xfId="1" applyFont="1" applyBorder="1" applyAlignment="1">
      <alignment vertical="center" wrapText="1"/>
    </xf>
    <xf numFmtId="41" fontId="3" fillId="0" borderId="15" xfId="1" applyFont="1" applyBorder="1" applyAlignment="1">
      <alignment horizontal="left" vertical="center" wrapText="1"/>
    </xf>
    <xf numFmtId="41" fontId="3" fillId="0" borderId="0" xfId="1" applyFont="1" applyAlignment="1">
      <alignment horizontal="left" vertical="center" wrapText="1"/>
    </xf>
    <xf numFmtId="0" fontId="2" fillId="4" borderId="14" xfId="0" applyFont="1" applyFill="1" applyBorder="1">
      <alignment vertical="center"/>
    </xf>
    <xf numFmtId="0" fontId="2" fillId="4" borderId="15" xfId="0" applyFont="1" applyFill="1" applyBorder="1">
      <alignment vertical="center"/>
    </xf>
    <xf numFmtId="41" fontId="2" fillId="4" borderId="14" xfId="0" applyNumberFormat="1" applyFont="1" applyFill="1" applyBorder="1">
      <alignment vertical="center"/>
    </xf>
    <xf numFmtId="0" fontId="2" fillId="4" borderId="13" xfId="0" applyFont="1" applyFill="1" applyBorder="1">
      <alignment vertical="center"/>
    </xf>
    <xf numFmtId="0" fontId="2" fillId="4" borderId="27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2" fillId="4" borderId="21" xfId="0" applyFont="1" applyFill="1" applyBorder="1">
      <alignment vertical="center"/>
    </xf>
    <xf numFmtId="0" fontId="2" fillId="4" borderId="28" xfId="0" applyFont="1" applyFill="1" applyBorder="1">
      <alignment vertical="center"/>
    </xf>
    <xf numFmtId="0" fontId="2" fillId="4" borderId="20" xfId="0" applyFont="1" applyFill="1" applyBorder="1">
      <alignment vertical="center"/>
    </xf>
    <xf numFmtId="0" fontId="2" fillId="4" borderId="24" xfId="0" applyFont="1" applyFill="1" applyBorder="1">
      <alignment vertical="center"/>
    </xf>
    <xf numFmtId="41" fontId="2" fillId="4" borderId="19" xfId="0" applyNumberFormat="1" applyFont="1" applyFill="1" applyBorder="1">
      <alignment vertical="center"/>
    </xf>
    <xf numFmtId="41" fontId="2" fillId="4" borderId="20" xfId="0" applyNumberFormat="1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 vertical="center"/>
    </xf>
    <xf numFmtId="176" fontId="3" fillId="8" borderId="32" xfId="0" applyNumberFormat="1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 wrapText="1"/>
    </xf>
    <xf numFmtId="0" fontId="3" fillId="8" borderId="32" xfId="0" applyFont="1" applyFill="1" applyBorder="1" applyAlignment="1">
      <alignment vertical="center" wrapText="1"/>
    </xf>
    <xf numFmtId="41" fontId="3" fillId="8" borderId="32" xfId="1" applyFont="1" applyFill="1" applyBorder="1" applyAlignment="1">
      <alignment horizontal="center" vertical="center" wrapText="1"/>
    </xf>
    <xf numFmtId="1" fontId="3" fillId="8" borderId="32" xfId="0" applyNumberFormat="1" applyFont="1" applyFill="1" applyBorder="1" applyAlignment="1">
      <alignment horizontal="right" vertical="center" wrapText="1"/>
    </xf>
    <xf numFmtId="1" fontId="3" fillId="8" borderId="32" xfId="0" applyNumberFormat="1" applyFont="1" applyFill="1" applyBorder="1" applyAlignment="1">
      <alignment vertical="center" wrapText="1"/>
    </xf>
    <xf numFmtId="14" fontId="3" fillId="8" borderId="32" xfId="0" applyNumberFormat="1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3" fillId="8" borderId="9" xfId="0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41" fontId="3" fillId="8" borderId="1" xfId="1" applyFont="1" applyFill="1" applyBorder="1" applyAlignment="1">
      <alignment horizontal="center" vertical="center" wrapText="1"/>
    </xf>
    <xf numFmtId="1" fontId="3" fillId="8" borderId="1" xfId="1" applyNumberFormat="1" applyFont="1" applyFill="1" applyBorder="1" applyAlignment="1">
      <alignment horizontal="right" vertical="center" wrapText="1"/>
    </xf>
    <xf numFmtId="1" fontId="3" fillId="8" borderId="1" xfId="1" applyNumberFormat="1" applyFont="1" applyFill="1" applyBorder="1" applyAlignment="1">
      <alignment vertical="center" wrapText="1"/>
    </xf>
    <xf numFmtId="14" fontId="3" fillId="8" borderId="1" xfId="0" applyNumberFormat="1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right" vertical="center" wrapText="1"/>
    </xf>
    <xf numFmtId="1" fontId="3" fillId="8" borderId="1" xfId="0" applyNumberFormat="1" applyFont="1" applyFill="1" applyBorder="1" applyAlignment="1">
      <alignment vertical="center" wrapText="1"/>
    </xf>
    <xf numFmtId="0" fontId="9" fillId="8" borderId="10" xfId="0" applyFont="1" applyFill="1" applyBorder="1" applyAlignment="1">
      <alignment horizontal="center" vertical="center" wrapText="1"/>
    </xf>
    <xf numFmtId="49" fontId="9" fillId="8" borderId="10" xfId="0" applyNumberFormat="1" applyFont="1" applyFill="1" applyBorder="1" applyAlignment="1">
      <alignment horizontal="center" vertical="center" wrapText="1"/>
    </xf>
    <xf numFmtId="41" fontId="2" fillId="6" borderId="35" xfId="0" applyNumberFormat="1" applyFont="1" applyFill="1" applyBorder="1" applyAlignment="1">
      <alignment horizontal="center" vertical="center" wrapText="1"/>
    </xf>
    <xf numFmtId="1" fontId="2" fillId="6" borderId="35" xfId="0" applyNumberFormat="1" applyFont="1" applyFill="1" applyBorder="1" applyAlignment="1">
      <alignment horizontal="right" vertical="center" wrapText="1"/>
    </xf>
    <xf numFmtId="10" fontId="2" fillId="6" borderId="35" xfId="0" applyNumberFormat="1" applyFont="1" applyFill="1" applyBorder="1" applyAlignment="1">
      <alignment vertical="center" wrapText="1"/>
    </xf>
    <xf numFmtId="41" fontId="0" fillId="6" borderId="0" xfId="0" applyNumberFormat="1" applyFill="1">
      <alignment vertical="center"/>
    </xf>
    <xf numFmtId="41" fontId="3" fillId="8" borderId="32" xfId="1" applyFont="1" applyFill="1" applyBorder="1" applyAlignment="1">
      <alignment horizontal="right" vertical="center" wrapText="1"/>
    </xf>
    <xf numFmtId="41" fontId="3" fillId="8" borderId="32" xfId="1" applyFont="1" applyFill="1" applyBorder="1" applyAlignment="1">
      <alignment vertical="center" wrapText="1"/>
    </xf>
    <xf numFmtId="41" fontId="0" fillId="0" borderId="0" xfId="0" applyNumberFormat="1">
      <alignment vertical="center"/>
    </xf>
    <xf numFmtId="41" fontId="3" fillId="8" borderId="1" xfId="1" applyFont="1" applyFill="1" applyBorder="1" applyAlignment="1">
      <alignment horizontal="right" vertical="center" wrapText="1"/>
    </xf>
    <xf numFmtId="41" fontId="3" fillId="8" borderId="1" xfId="1" applyFont="1" applyFill="1" applyBorder="1" applyAlignment="1">
      <alignment vertical="center" wrapText="1"/>
    </xf>
    <xf numFmtId="41" fontId="3" fillId="8" borderId="1" xfId="0" applyNumberFormat="1" applyFont="1" applyFill="1" applyBorder="1" applyAlignment="1">
      <alignment horizontal="right" vertical="center" wrapText="1"/>
    </xf>
    <xf numFmtId="41" fontId="3" fillId="8" borderId="1" xfId="0" applyNumberFormat="1" applyFont="1" applyFill="1" applyBorder="1" applyAlignment="1">
      <alignment vertical="center" wrapText="1"/>
    </xf>
    <xf numFmtId="41" fontId="2" fillId="6" borderId="2" xfId="0" applyNumberFormat="1" applyFont="1" applyFill="1" applyBorder="1" applyAlignment="1">
      <alignment horizontal="center" vertical="center" wrapText="1"/>
    </xf>
    <xf numFmtId="41" fontId="2" fillId="6" borderId="2" xfId="0" applyNumberFormat="1" applyFont="1" applyFill="1" applyBorder="1" applyAlignment="1">
      <alignment horizontal="right" vertical="center" wrapText="1"/>
    </xf>
    <xf numFmtId="10" fontId="2" fillId="6" borderId="2" xfId="0" applyNumberFormat="1" applyFont="1" applyFill="1" applyBorder="1" applyAlignment="1">
      <alignment vertical="center" wrapText="1"/>
    </xf>
    <xf numFmtId="14" fontId="3" fillId="6" borderId="2" xfId="0" applyNumberFormat="1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left" vertical="center" wrapText="1"/>
    </xf>
    <xf numFmtId="1" fontId="3" fillId="8" borderId="32" xfId="1" applyNumberFormat="1" applyFont="1" applyFill="1" applyBorder="1" applyAlignment="1">
      <alignment horizontal="right" vertical="center" wrapText="1"/>
    </xf>
    <xf numFmtId="1" fontId="3" fillId="8" borderId="32" xfId="1" applyNumberFormat="1" applyFont="1" applyFill="1" applyBorder="1" applyAlignment="1">
      <alignment vertical="center" wrapText="1"/>
    </xf>
    <xf numFmtId="41" fontId="2" fillId="6" borderId="35" xfId="0" applyNumberFormat="1" applyFont="1" applyFill="1" applyBorder="1" applyAlignment="1">
      <alignment horizontal="right" vertical="center" wrapText="1"/>
    </xf>
    <xf numFmtId="0" fontId="14" fillId="7" borderId="46" xfId="2" applyFont="1" applyBorder="1" applyAlignment="1">
      <alignment horizontal="left" vertical="center" wrapText="1"/>
    </xf>
    <xf numFmtId="41" fontId="14" fillId="7" borderId="46" xfId="2" applyNumberFormat="1" applyFont="1" applyBorder="1" applyAlignment="1">
      <alignment horizontal="center" vertical="center" wrapText="1"/>
    </xf>
    <xf numFmtId="41" fontId="15" fillId="7" borderId="46" xfId="2" applyNumberFormat="1" applyFont="1" applyBorder="1" applyAlignment="1">
      <alignment horizontal="right" vertical="center" wrapText="1"/>
    </xf>
    <xf numFmtId="0" fontId="14" fillId="7" borderId="46" xfId="2" applyFont="1" applyBorder="1" applyAlignment="1">
      <alignment vertical="center" wrapText="1"/>
    </xf>
    <xf numFmtId="14" fontId="14" fillId="7" borderId="46" xfId="2" applyNumberFormat="1" applyFont="1" applyBorder="1">
      <alignment vertical="center"/>
    </xf>
    <xf numFmtId="0" fontId="14" fillId="7" borderId="47" xfId="2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3" fillId="0" borderId="1" xfId="1" applyFont="1" applyFill="1" applyBorder="1" applyAlignment="1">
      <alignment horizontal="center" vertical="center" wrapText="1"/>
    </xf>
    <xf numFmtId="41" fontId="3" fillId="0" borderId="2" xfId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/>
    </xf>
    <xf numFmtId="176" fontId="3" fillId="8" borderId="2" xfId="0" applyNumberFormat="1" applyFont="1" applyFill="1" applyBorder="1" applyAlignment="1">
      <alignment horizontal="center" vertical="center"/>
    </xf>
    <xf numFmtId="1" fontId="3" fillId="8" borderId="2" xfId="1" applyNumberFormat="1" applyFont="1" applyFill="1" applyBorder="1" applyAlignment="1">
      <alignment horizontal="right" vertical="center" wrapText="1"/>
    </xf>
    <xf numFmtId="1" fontId="3" fillId="8" borderId="2" xfId="1" applyNumberFormat="1" applyFont="1" applyFill="1" applyBorder="1" applyAlignment="1">
      <alignment vertical="center" wrapText="1"/>
    </xf>
    <xf numFmtId="41" fontId="3" fillId="0" borderId="0" xfId="1" applyFont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right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right" vertical="center" wrapText="1"/>
    </xf>
    <xf numFmtId="41" fontId="3" fillId="0" borderId="0" xfId="1" applyFont="1" applyAlignment="1">
      <alignment horizontal="right" vertical="center"/>
    </xf>
    <xf numFmtId="41" fontId="2" fillId="6" borderId="35" xfId="1" applyFont="1" applyFill="1" applyBorder="1" applyAlignment="1">
      <alignment horizontal="right" vertical="center" wrapText="1"/>
    </xf>
    <xf numFmtId="0" fontId="3" fillId="8" borderId="48" xfId="0" applyFont="1" applyFill="1" applyBorder="1" applyAlignment="1">
      <alignment horizontal="center" vertical="center"/>
    </xf>
    <xf numFmtId="176" fontId="3" fillId="8" borderId="18" xfId="0" applyNumberFormat="1" applyFont="1" applyFill="1" applyBorder="1" applyAlignment="1">
      <alignment horizontal="center" vertical="center"/>
    </xf>
    <xf numFmtId="1" fontId="3" fillId="8" borderId="18" xfId="1" applyNumberFormat="1" applyFont="1" applyFill="1" applyBorder="1" applyAlignment="1">
      <alignment vertical="center" wrapText="1"/>
    </xf>
    <xf numFmtId="41" fontId="3" fillId="8" borderId="2" xfId="1" applyFont="1" applyFill="1" applyBorder="1" applyAlignment="1">
      <alignment horizontal="center" vertical="center" wrapText="1"/>
    </xf>
    <xf numFmtId="41" fontId="3" fillId="8" borderId="2" xfId="1" applyFont="1" applyFill="1" applyBorder="1" applyAlignment="1">
      <alignment horizontal="right" vertical="center" wrapText="1"/>
    </xf>
    <xf numFmtId="1" fontId="3" fillId="8" borderId="2" xfId="0" applyNumberFormat="1" applyFont="1" applyFill="1" applyBorder="1" applyAlignment="1">
      <alignment horizontal="right" vertical="center" wrapText="1"/>
    </xf>
    <xf numFmtId="41" fontId="3" fillId="8" borderId="2" xfId="1" applyFont="1" applyFill="1" applyBorder="1" applyAlignment="1">
      <alignment vertical="center" wrapText="1"/>
    </xf>
    <xf numFmtId="0" fontId="3" fillId="0" borderId="29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41" fontId="3" fillId="0" borderId="3" xfId="1" applyFont="1" applyBorder="1" applyAlignment="1">
      <alignment horizontal="right" vertical="center" wrapText="1"/>
    </xf>
    <xf numFmtId="1" fontId="3" fillId="8" borderId="3" xfId="1" applyNumberFormat="1" applyFont="1" applyFill="1" applyBorder="1" applyAlignment="1">
      <alignment horizontal="right" vertical="center" wrapText="1"/>
    </xf>
    <xf numFmtId="1" fontId="3" fillId="8" borderId="3" xfId="1" applyNumberFormat="1" applyFont="1" applyFill="1" applyBorder="1" applyAlignment="1">
      <alignment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76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41" fontId="3" fillId="9" borderId="1" xfId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 wrapText="1"/>
    </xf>
    <xf numFmtId="0" fontId="3" fillId="9" borderId="0" xfId="0" applyFont="1" applyFill="1">
      <alignment vertical="center"/>
    </xf>
    <xf numFmtId="177" fontId="3" fillId="0" borderId="0" xfId="0" applyNumberFormat="1" applyFont="1">
      <alignment vertical="center"/>
    </xf>
    <xf numFmtId="0" fontId="19" fillId="5" borderId="53" xfId="0" applyFont="1" applyFill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176" fontId="3" fillId="0" borderId="57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left" vertical="center" wrapText="1"/>
    </xf>
    <xf numFmtId="41" fontId="29" fillId="0" borderId="57" xfId="1" applyFont="1" applyBorder="1" applyAlignment="1">
      <alignment horizontal="center" vertical="center" wrapText="1"/>
    </xf>
    <xf numFmtId="41" fontId="3" fillId="0" borderId="57" xfId="1" applyFont="1" applyBorder="1" applyAlignment="1">
      <alignment horizontal="center" vertical="center" wrapText="1"/>
    </xf>
    <xf numFmtId="14" fontId="3" fillId="0" borderId="57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0" borderId="5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1" fontId="16" fillId="0" borderId="0" xfId="1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41" fontId="24" fillId="0" borderId="3" xfId="1" applyFont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41" fontId="3" fillId="0" borderId="15" xfId="1" applyFont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/>
    </xf>
    <xf numFmtId="41" fontId="3" fillId="0" borderId="21" xfId="1" applyFont="1" applyBorder="1" applyAlignment="1">
      <alignment horizontal="center" vertical="center" wrapText="1"/>
    </xf>
    <xf numFmtId="41" fontId="3" fillId="0" borderId="10" xfId="1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/>
    </xf>
    <xf numFmtId="176" fontId="3" fillId="0" borderId="61" xfId="0" applyNumberFormat="1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left" vertical="center" wrapText="1"/>
    </xf>
    <xf numFmtId="41" fontId="3" fillId="0" borderId="61" xfId="1" applyFont="1" applyBorder="1" applyAlignment="1">
      <alignment horizontal="right" vertical="center" wrapText="1"/>
    </xf>
    <xf numFmtId="41" fontId="3" fillId="0" borderId="66" xfId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99" xfId="0" applyNumberFormat="1" applyFont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41" fontId="22" fillId="0" borderId="1" xfId="1" applyFont="1" applyFill="1" applyBorder="1" applyAlignment="1">
      <alignment horizontal="center" vertical="center" wrapText="1"/>
    </xf>
    <xf numFmtId="14" fontId="22" fillId="0" borderId="10" xfId="0" applyNumberFormat="1" applyFont="1" applyBorder="1" applyAlignment="1">
      <alignment horizontal="center" vertical="center" wrapText="1"/>
    </xf>
    <xf numFmtId="41" fontId="22" fillId="0" borderId="1" xfId="1" applyFont="1" applyBorder="1" applyAlignment="1">
      <alignment horizontal="center" vertical="center" wrapText="1"/>
    </xf>
    <xf numFmtId="14" fontId="22" fillId="0" borderId="10" xfId="0" applyNumberFormat="1" applyFont="1" applyBorder="1" applyAlignment="1">
      <alignment horizontal="center" vertical="center"/>
    </xf>
    <xf numFmtId="41" fontId="22" fillId="0" borderId="1" xfId="0" applyNumberFormat="1" applyFont="1" applyBorder="1" applyAlignment="1">
      <alignment horizontal="center" vertical="center" wrapText="1"/>
    </xf>
    <xf numFmtId="41" fontId="22" fillId="0" borderId="1" xfId="1" applyFont="1" applyBorder="1" applyAlignment="1">
      <alignment horizontal="right" vertical="center" wrapText="1"/>
    </xf>
    <xf numFmtId="14" fontId="22" fillId="0" borderId="1" xfId="0" applyNumberFormat="1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176" fontId="22" fillId="0" borderId="35" xfId="0" applyNumberFormat="1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left" vertical="center" wrapText="1"/>
    </xf>
    <xf numFmtId="41" fontId="22" fillId="0" borderId="35" xfId="1" applyFont="1" applyBorder="1" applyAlignment="1">
      <alignment horizontal="right" vertical="center" wrapText="1"/>
    </xf>
    <xf numFmtId="41" fontId="22" fillId="0" borderId="35" xfId="1" applyFont="1" applyBorder="1" applyAlignment="1">
      <alignment horizontal="center" vertical="center" wrapText="1"/>
    </xf>
    <xf numFmtId="14" fontId="22" fillId="0" borderId="37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41" fontId="22" fillId="0" borderId="0" xfId="1" applyFont="1" applyAlignment="1">
      <alignment horizontal="center" vertical="center" wrapText="1"/>
    </xf>
    <xf numFmtId="14" fontId="22" fillId="0" borderId="0" xfId="0" applyNumberFormat="1" applyFont="1">
      <alignment vertical="center"/>
    </xf>
    <xf numFmtId="0" fontId="3" fillId="8" borderId="18" xfId="0" applyFont="1" applyFill="1" applyBorder="1" applyAlignment="1">
      <alignment horizontal="center" vertical="center" wrapText="1"/>
    </xf>
    <xf numFmtId="41" fontId="16" fillId="6" borderId="0" xfId="1" applyFont="1" applyFill="1" applyBorder="1" applyAlignment="1">
      <alignment horizontal="center" vertical="center" wrapText="1"/>
    </xf>
    <xf numFmtId="0" fontId="3" fillId="6" borderId="0" xfId="0" applyFont="1" applyFill="1">
      <alignment vertical="center"/>
    </xf>
    <xf numFmtId="41" fontId="3" fillId="0" borderId="2" xfId="1" applyFont="1" applyBorder="1" applyAlignment="1">
      <alignment horizontal="right" vertical="center" wrapText="1"/>
    </xf>
    <xf numFmtId="41" fontId="3" fillId="0" borderId="12" xfId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14" fontId="2" fillId="2" borderId="30" xfId="0" applyNumberFormat="1" applyFont="1" applyFill="1" applyBorder="1" applyAlignment="1">
      <alignment horizontal="center" vertical="center" wrapText="1"/>
    </xf>
    <xf numFmtId="14" fontId="2" fillId="2" borderId="36" xfId="0" applyNumberFormat="1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76" fontId="2" fillId="2" borderId="30" xfId="0" applyNumberFormat="1" applyFont="1" applyFill="1" applyBorder="1" applyAlignment="1">
      <alignment horizontal="center" vertical="center"/>
    </xf>
    <xf numFmtId="176" fontId="2" fillId="2" borderId="36" xfId="0" applyNumberFormat="1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176" fontId="2" fillId="2" borderId="30" xfId="0" applyNumberFormat="1" applyFont="1" applyFill="1" applyBorder="1" applyAlignment="1">
      <alignment horizontal="center" vertical="center" wrapText="1"/>
    </xf>
    <xf numFmtId="176" fontId="2" fillId="2" borderId="36" xfId="0" applyNumberFormat="1" applyFont="1" applyFill="1" applyBorder="1" applyAlignment="1">
      <alignment horizontal="center" vertical="center" wrapText="1"/>
    </xf>
    <xf numFmtId="41" fontId="16" fillId="2" borderId="30" xfId="1" applyFont="1" applyFill="1" applyBorder="1" applyAlignment="1">
      <alignment horizontal="center" vertical="center" wrapText="1"/>
    </xf>
    <xf numFmtId="41" fontId="16" fillId="2" borderId="36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4" borderId="16" xfId="0" applyNumberFormat="1" applyFont="1" applyFill="1" applyBorder="1" applyAlignment="1">
      <alignment horizontal="center" vertical="center" wrapText="1"/>
    </xf>
    <xf numFmtId="14" fontId="3" fillId="4" borderId="17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4" borderId="22" xfId="0" applyNumberFormat="1" applyFont="1" applyFill="1" applyBorder="1" applyAlignment="1">
      <alignment horizontal="center" vertical="center" wrapText="1"/>
    </xf>
    <xf numFmtId="14" fontId="3" fillId="4" borderId="23" xfId="0" applyNumberFormat="1" applyFont="1" applyFill="1" applyBorder="1" applyAlignment="1">
      <alignment horizontal="center" vertical="center" wrapText="1"/>
    </xf>
    <xf numFmtId="14" fontId="3" fillId="4" borderId="25" xfId="0" applyNumberFormat="1" applyFont="1" applyFill="1" applyBorder="1" applyAlignment="1">
      <alignment horizontal="center" vertical="center" wrapText="1"/>
    </xf>
    <xf numFmtId="14" fontId="3" fillId="4" borderId="26" xfId="0" applyNumberFormat="1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4" fillId="7" borderId="45" xfId="2" applyFont="1" applyBorder="1" applyAlignment="1">
      <alignment horizontal="center" vertical="center"/>
    </xf>
    <xf numFmtId="0" fontId="14" fillId="7" borderId="46" xfId="2" applyFont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14" fontId="18" fillId="2" borderId="39" xfId="0" applyNumberFormat="1" applyFont="1" applyFill="1" applyBorder="1" applyAlignment="1">
      <alignment horizontal="center" vertical="center" wrapText="1"/>
    </xf>
    <xf numFmtId="14" fontId="18" fillId="2" borderId="44" xfId="0" applyNumberFormat="1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91" xfId="0" applyFont="1" applyFill="1" applyBorder="1" applyAlignment="1">
      <alignment horizontal="center" vertical="center" wrapText="1"/>
    </xf>
    <xf numFmtId="0" fontId="18" fillId="2" borderId="38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176" fontId="18" fillId="2" borderId="30" xfId="0" applyNumberFormat="1" applyFont="1" applyFill="1" applyBorder="1" applyAlignment="1">
      <alignment horizontal="center" vertical="center"/>
    </xf>
    <xf numFmtId="176" fontId="18" fillId="2" borderId="36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20" fillId="10" borderId="93" xfId="0" applyFont="1" applyFill="1" applyBorder="1" applyAlignment="1">
      <alignment horizontal="center" vertical="center" wrapText="1"/>
    </xf>
    <xf numFmtId="0" fontId="20" fillId="10" borderId="60" xfId="0" applyFont="1" applyFill="1" applyBorder="1" applyAlignment="1">
      <alignment horizontal="center" vertical="center" wrapText="1"/>
    </xf>
    <xf numFmtId="0" fontId="20" fillId="10" borderId="67" xfId="0" applyFont="1" applyFill="1" applyBorder="1" applyAlignment="1">
      <alignment horizontal="center" vertical="center" wrapText="1"/>
    </xf>
    <xf numFmtId="0" fontId="20" fillId="10" borderId="94" xfId="0" applyFont="1" applyFill="1" applyBorder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20" fillId="10" borderId="68" xfId="0" applyFont="1" applyFill="1" applyBorder="1" applyAlignment="1">
      <alignment horizontal="center" vertical="center" wrapText="1"/>
    </xf>
    <xf numFmtId="0" fontId="20" fillId="10" borderId="95" xfId="0" applyFont="1" applyFill="1" applyBorder="1" applyAlignment="1">
      <alignment horizontal="center" vertical="center" wrapText="1"/>
    </xf>
    <xf numFmtId="0" fontId="20" fillId="10" borderId="69" xfId="0" applyFont="1" applyFill="1" applyBorder="1" applyAlignment="1">
      <alignment horizontal="center" vertical="center" wrapText="1"/>
    </xf>
    <xf numFmtId="0" fontId="20" fillId="10" borderId="70" xfId="0" applyFont="1" applyFill="1" applyBorder="1" applyAlignment="1">
      <alignment horizontal="center" vertical="center" wrapText="1"/>
    </xf>
    <xf numFmtId="9" fontId="19" fillId="10" borderId="71" xfId="0" applyNumberFormat="1" applyFont="1" applyFill="1" applyBorder="1" applyAlignment="1">
      <alignment horizontal="center" vertical="center" wrapText="1"/>
    </xf>
    <xf numFmtId="9" fontId="19" fillId="10" borderId="72" xfId="0" applyNumberFormat="1" applyFont="1" applyFill="1" applyBorder="1" applyAlignment="1">
      <alignment horizontal="center" vertical="center" wrapText="1"/>
    </xf>
    <xf numFmtId="9" fontId="19" fillId="10" borderId="73" xfId="0" applyNumberFormat="1" applyFont="1" applyFill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/>
    </xf>
    <xf numFmtId="0" fontId="23" fillId="0" borderId="97" xfId="0" applyFont="1" applyBorder="1" applyAlignment="1">
      <alignment horizontal="center" vertical="center" wrapText="1"/>
    </xf>
    <xf numFmtId="0" fontId="23" fillId="0" borderId="83" xfId="0" applyFont="1" applyBorder="1" applyAlignment="1">
      <alignment horizontal="center" vertical="center" wrapText="1"/>
    </xf>
    <xf numFmtId="0" fontId="23" fillId="0" borderId="84" xfId="0" applyFont="1" applyBorder="1" applyAlignment="1">
      <alignment horizontal="center" vertical="center" wrapText="1"/>
    </xf>
    <xf numFmtId="0" fontId="23" fillId="0" borderId="95" xfId="0" applyFont="1" applyBorder="1" applyAlignment="1">
      <alignment horizontal="center" vertical="center" wrapText="1"/>
    </xf>
    <xf numFmtId="0" fontId="23" fillId="0" borderId="69" xfId="0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41" fontId="23" fillId="0" borderId="86" xfId="0" applyNumberFormat="1" applyFont="1" applyBorder="1" applyAlignment="1">
      <alignment horizontal="center" vertical="center"/>
    </xf>
    <xf numFmtId="41" fontId="23" fillId="0" borderId="87" xfId="0" applyNumberFormat="1" applyFont="1" applyBorder="1" applyAlignment="1">
      <alignment horizontal="center" vertical="center"/>
    </xf>
    <xf numFmtId="41" fontId="23" fillId="0" borderId="78" xfId="0" applyNumberFormat="1" applyFont="1" applyBorder="1" applyAlignment="1">
      <alignment horizontal="center" vertical="center"/>
    </xf>
    <xf numFmtId="41" fontId="23" fillId="0" borderId="79" xfId="0" applyNumberFormat="1" applyFont="1" applyBorder="1" applyAlignment="1">
      <alignment horizontal="center" vertical="center"/>
    </xf>
    <xf numFmtId="0" fontId="3" fillId="0" borderId="88" xfId="0" applyFont="1" applyBorder="1" applyAlignment="1">
      <alignment horizontal="right"/>
    </xf>
    <xf numFmtId="41" fontId="21" fillId="10" borderId="74" xfId="0" applyNumberFormat="1" applyFont="1" applyFill="1" applyBorder="1" applyAlignment="1">
      <alignment horizontal="center" vertical="center"/>
    </xf>
    <xf numFmtId="41" fontId="21" fillId="10" borderId="75" xfId="0" applyNumberFormat="1" applyFont="1" applyFill="1" applyBorder="1" applyAlignment="1">
      <alignment horizontal="center" vertical="center"/>
    </xf>
    <xf numFmtId="41" fontId="21" fillId="10" borderId="76" xfId="0" applyNumberFormat="1" applyFont="1" applyFill="1" applyBorder="1" applyAlignment="1">
      <alignment horizontal="center" vertical="center"/>
    </xf>
    <xf numFmtId="41" fontId="21" fillId="10" borderId="77" xfId="0" applyNumberFormat="1" applyFont="1" applyFill="1" applyBorder="1" applyAlignment="1">
      <alignment horizontal="center" vertical="center"/>
    </xf>
    <xf numFmtId="41" fontId="21" fillId="10" borderId="78" xfId="0" applyNumberFormat="1" applyFont="1" applyFill="1" applyBorder="1" applyAlignment="1">
      <alignment horizontal="center" vertical="center"/>
    </xf>
    <xf numFmtId="41" fontId="21" fillId="10" borderId="79" xfId="0" applyNumberFormat="1" applyFont="1" applyFill="1" applyBorder="1" applyAlignment="1">
      <alignment horizontal="center" vertical="center"/>
    </xf>
    <xf numFmtId="0" fontId="19" fillId="5" borderId="96" xfId="0" applyFont="1" applyFill="1" applyBorder="1" applyAlignment="1">
      <alignment horizontal="center" vertical="center"/>
    </xf>
    <xf numFmtId="0" fontId="19" fillId="5" borderId="80" xfId="0" applyFont="1" applyFill="1" applyBorder="1" applyAlignment="1">
      <alignment horizontal="center" vertical="center"/>
    </xf>
    <xf numFmtId="0" fontId="19" fillId="5" borderId="62" xfId="0" applyFont="1" applyFill="1" applyBorder="1" applyAlignment="1">
      <alignment horizontal="center" vertical="center"/>
    </xf>
    <xf numFmtId="0" fontId="19" fillId="5" borderId="81" xfId="0" applyFont="1" applyFill="1" applyBorder="1" applyAlignment="1">
      <alignment horizontal="center" vertical="center"/>
    </xf>
    <xf numFmtId="0" fontId="19" fillId="5" borderId="82" xfId="0" applyFont="1" applyFill="1" applyBorder="1" applyAlignment="1">
      <alignment horizontal="center" vertical="center"/>
    </xf>
    <xf numFmtId="0" fontId="27" fillId="0" borderId="97" xfId="0" applyFont="1" applyBorder="1" applyAlignment="1">
      <alignment horizontal="center" vertical="center"/>
    </xf>
    <xf numFmtId="0" fontId="27" fillId="0" borderId="83" xfId="0" applyFont="1" applyBorder="1" applyAlignment="1">
      <alignment horizontal="center" vertical="center"/>
    </xf>
    <xf numFmtId="0" fontId="27" fillId="0" borderId="84" xfId="0" applyFont="1" applyBorder="1" applyAlignment="1">
      <alignment horizontal="center" vertical="center"/>
    </xf>
    <xf numFmtId="0" fontId="27" fillId="0" borderId="98" xfId="0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0" fontId="27" fillId="0" borderId="89" xfId="0" applyFont="1" applyBorder="1" applyAlignment="1">
      <alignment horizontal="center" vertical="center"/>
    </xf>
    <xf numFmtId="9" fontId="27" fillId="0" borderId="85" xfId="3" applyFont="1" applyBorder="1" applyAlignment="1">
      <alignment horizontal="center" vertical="center"/>
    </xf>
    <xf numFmtId="9" fontId="27" fillId="0" borderId="92" xfId="3" applyFont="1" applyBorder="1" applyAlignment="1">
      <alignment horizontal="center" vertical="center"/>
    </xf>
    <xf numFmtId="41" fontId="27" fillId="0" borderId="53" xfId="0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5" fillId="0" borderId="97" xfId="0" applyFont="1" applyBorder="1" applyAlignment="1">
      <alignment horizontal="center" vertical="center"/>
    </xf>
    <xf numFmtId="0" fontId="25" fillId="0" borderId="83" xfId="0" applyFont="1" applyBorder="1" applyAlignment="1">
      <alignment horizontal="center" vertical="center"/>
    </xf>
    <xf numFmtId="0" fontId="25" fillId="0" borderId="84" xfId="0" applyFont="1" applyBorder="1" applyAlignment="1">
      <alignment horizontal="center" vertical="center"/>
    </xf>
    <xf numFmtId="0" fontId="25" fillId="0" borderId="98" xfId="0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5" fillId="0" borderId="89" xfId="0" applyFont="1" applyBorder="1" applyAlignment="1">
      <alignment horizontal="center" vertical="center"/>
    </xf>
    <xf numFmtId="9" fontId="25" fillId="0" borderId="85" xfId="3" applyFont="1" applyBorder="1" applyAlignment="1">
      <alignment horizontal="center" vertical="center"/>
    </xf>
    <xf numFmtId="9" fontId="25" fillId="0" borderId="92" xfId="3" applyFont="1" applyBorder="1" applyAlignment="1">
      <alignment horizontal="center" vertical="center"/>
    </xf>
    <xf numFmtId="41" fontId="25" fillId="0" borderId="86" xfId="0" applyNumberFormat="1" applyFont="1" applyBorder="1" applyAlignment="1">
      <alignment horizontal="center" vertical="center"/>
    </xf>
    <xf numFmtId="41" fontId="25" fillId="0" borderId="87" xfId="0" applyNumberFormat="1" applyFont="1" applyBorder="1" applyAlignment="1">
      <alignment horizontal="center" vertical="center"/>
    </xf>
    <xf numFmtId="41" fontId="25" fillId="0" borderId="90" xfId="0" applyNumberFormat="1" applyFont="1" applyBorder="1" applyAlignment="1">
      <alignment horizontal="center" vertical="center"/>
    </xf>
    <xf numFmtId="41" fontId="25" fillId="0" borderId="91" xfId="0" applyNumberFormat="1" applyFont="1" applyBorder="1" applyAlignment="1">
      <alignment horizontal="center" vertical="center"/>
    </xf>
    <xf numFmtId="0" fontId="23" fillId="0" borderId="97" xfId="0" applyFont="1" applyBorder="1" applyAlignment="1">
      <alignment horizontal="center" vertical="center"/>
    </xf>
    <xf numFmtId="0" fontId="23" fillId="0" borderId="83" xfId="0" applyFont="1" applyBorder="1" applyAlignment="1">
      <alignment horizontal="center" vertical="center"/>
    </xf>
    <xf numFmtId="0" fontId="23" fillId="0" borderId="84" xfId="0" applyFont="1" applyBorder="1" applyAlignment="1">
      <alignment horizontal="center" vertical="center"/>
    </xf>
    <xf numFmtId="0" fontId="23" fillId="0" borderId="95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9" fontId="23" fillId="0" borderId="85" xfId="3" applyFont="1" applyBorder="1" applyAlignment="1">
      <alignment horizontal="center" vertical="center"/>
    </xf>
    <xf numFmtId="9" fontId="23" fillId="0" borderId="73" xfId="3" applyFont="1" applyBorder="1" applyAlignment="1">
      <alignment horizontal="center" vertical="center"/>
    </xf>
    <xf numFmtId="41" fontId="23" fillId="0" borderId="53" xfId="0" applyNumberFormat="1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41" fontId="21" fillId="10" borderId="50" xfId="0" applyNumberFormat="1" applyFont="1" applyFill="1" applyBorder="1" applyAlignment="1">
      <alignment horizontal="center" vertical="center"/>
    </xf>
    <xf numFmtId="41" fontId="21" fillId="10" borderId="51" xfId="0" applyNumberFormat="1" applyFont="1" applyFill="1" applyBorder="1" applyAlignment="1">
      <alignment horizontal="center" vertical="center"/>
    </xf>
    <xf numFmtId="41" fontId="21" fillId="10" borderId="53" xfId="0" applyNumberFormat="1" applyFont="1" applyFill="1" applyBorder="1" applyAlignment="1">
      <alignment horizontal="center" vertical="center"/>
    </xf>
    <xf numFmtId="41" fontId="21" fillId="10" borderId="54" xfId="0" applyNumberFormat="1" applyFont="1" applyFill="1" applyBorder="1" applyAlignment="1">
      <alignment horizontal="center" vertical="center"/>
    </xf>
    <xf numFmtId="0" fontId="19" fillId="5" borderId="53" xfId="0" applyFont="1" applyFill="1" applyBorder="1" applyAlignment="1">
      <alignment horizontal="center" vertical="center"/>
    </xf>
    <xf numFmtId="0" fontId="19" fillId="5" borderId="5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10" borderId="49" xfId="0" applyFont="1" applyFill="1" applyBorder="1" applyAlignment="1">
      <alignment horizontal="center" vertical="center" wrapText="1"/>
    </xf>
    <xf numFmtId="0" fontId="20" fillId="10" borderId="50" xfId="0" applyFont="1" applyFill="1" applyBorder="1" applyAlignment="1">
      <alignment horizontal="center" vertical="center" wrapText="1"/>
    </xf>
    <xf numFmtId="0" fontId="20" fillId="10" borderId="52" xfId="0" applyFont="1" applyFill="1" applyBorder="1" applyAlignment="1">
      <alignment horizontal="center" vertical="center" wrapText="1"/>
    </xf>
    <xf numFmtId="0" fontId="20" fillId="10" borderId="53" xfId="0" applyFont="1" applyFill="1" applyBorder="1" applyAlignment="1">
      <alignment horizontal="center" vertical="center" wrapText="1"/>
    </xf>
    <xf numFmtId="9" fontId="19" fillId="10" borderId="50" xfId="0" applyNumberFormat="1" applyFont="1" applyFill="1" applyBorder="1" applyAlignment="1">
      <alignment horizontal="center" vertical="center" wrapText="1"/>
    </xf>
    <xf numFmtId="0" fontId="19" fillId="10" borderId="53" xfId="0" applyFont="1" applyFill="1" applyBorder="1" applyAlignment="1">
      <alignment horizontal="center" vertical="center" wrapText="1"/>
    </xf>
    <xf numFmtId="0" fontId="19" fillId="5" borderId="52" xfId="0" applyFont="1" applyFill="1" applyBorder="1" applyAlignment="1">
      <alignment horizontal="center" vertical="center"/>
    </xf>
    <xf numFmtId="0" fontId="23" fillId="0" borderId="52" xfId="0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9" fontId="23" fillId="0" borderId="53" xfId="3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41" fontId="27" fillId="0" borderId="86" xfId="0" applyNumberFormat="1" applyFont="1" applyBorder="1" applyAlignment="1">
      <alignment horizontal="center" vertical="center"/>
    </xf>
    <xf numFmtId="41" fontId="27" fillId="0" borderId="87" xfId="0" applyNumberFormat="1" applyFont="1" applyBorder="1" applyAlignment="1">
      <alignment horizontal="center" vertical="center"/>
    </xf>
    <xf numFmtId="41" fontId="27" fillId="0" borderId="90" xfId="0" applyNumberFormat="1" applyFont="1" applyBorder="1" applyAlignment="1">
      <alignment horizontal="center" vertical="center"/>
    </xf>
    <xf numFmtId="41" fontId="27" fillId="0" borderId="91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 wrapText="1"/>
    </xf>
    <xf numFmtId="176" fontId="3" fillId="0" borderId="24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</cellXfs>
  <cellStyles count="4">
    <cellStyle name="메모" xfId="2" builtinId="10"/>
    <cellStyle name="백분율" xfId="3" builtinId="5"/>
    <cellStyle name="쉼표 [0]" xfId="1" builtinId="6"/>
    <cellStyle name="표준" xfId="0" builtinId="0"/>
  </cellStyles>
  <dxfs count="40"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16327</xdr:colOff>
      <xdr:row>20</xdr:row>
      <xdr:rowOff>333375</xdr:rowOff>
    </xdr:from>
    <xdr:to>
      <xdr:col>4</xdr:col>
      <xdr:colOff>1578763</xdr:colOff>
      <xdr:row>41</xdr:row>
      <xdr:rowOff>51281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E7405E5-37F2-2CC7-6FF1-8141F16577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85"/>
        <a:stretch/>
      </xdr:blipFill>
      <xdr:spPr bwMode="auto">
        <a:xfrm>
          <a:off x="368752" y="10639425"/>
          <a:ext cx="6944061" cy="7718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view="pageBreakPreview" zoomScale="115" zoomScaleNormal="70" zoomScaleSheetLayoutView="115" zoomScalePageLayoutView="40" workbookViewId="0">
      <pane ySplit="2" topLeftCell="A3" activePane="bottomLeft" state="frozen"/>
      <selection pane="bottomLeft" activeCell="C13" sqref="C13"/>
    </sheetView>
  </sheetViews>
  <sheetFormatPr defaultRowHeight="30" customHeight="1" x14ac:dyDescent="0.3"/>
  <cols>
    <col min="1" max="1" width="4.75" style="26" bestFit="1" customWidth="1"/>
    <col min="2" max="2" width="8" style="71" bestFit="1" customWidth="1"/>
    <col min="3" max="3" width="15" style="27" bestFit="1" customWidth="1"/>
    <col min="4" max="4" width="61.75" style="25" bestFit="1" customWidth="1"/>
    <col min="5" max="6" width="24.625" style="26" customWidth="1"/>
    <col min="7" max="7" width="12.625" style="202" customWidth="1"/>
    <col min="8" max="8" width="12.625" style="61" customWidth="1"/>
    <col min="9" max="9" width="34.625" style="28" customWidth="1"/>
    <col min="10" max="10" width="14.25" style="26" bestFit="1" customWidth="1"/>
    <col min="11" max="16384" width="9" style="5"/>
  </cols>
  <sheetData>
    <row r="1" spans="1:10" s="14" customFormat="1" ht="21" customHeight="1" x14ac:dyDescent="0.3">
      <c r="A1" s="300" t="s">
        <v>3</v>
      </c>
      <c r="B1" s="302" t="s">
        <v>2</v>
      </c>
      <c r="C1" s="294" t="s">
        <v>0</v>
      </c>
      <c r="D1" s="294" t="s">
        <v>1</v>
      </c>
      <c r="E1" s="304" t="s">
        <v>18</v>
      </c>
      <c r="F1" s="305"/>
      <c r="G1" s="308" t="s">
        <v>647</v>
      </c>
      <c r="H1" s="294" t="s">
        <v>648</v>
      </c>
      <c r="I1" s="296" t="s">
        <v>24</v>
      </c>
      <c r="J1" s="298" t="s">
        <v>206</v>
      </c>
    </row>
    <row r="2" spans="1:10" s="14" customFormat="1" ht="21" customHeight="1" thickBot="1" x14ac:dyDescent="0.35">
      <c r="A2" s="301"/>
      <c r="B2" s="303"/>
      <c r="C2" s="295"/>
      <c r="D2" s="295"/>
      <c r="E2" s="140" t="s">
        <v>300</v>
      </c>
      <c r="F2" s="140" t="s">
        <v>301</v>
      </c>
      <c r="G2" s="309"/>
      <c r="H2" s="295"/>
      <c r="I2" s="297"/>
      <c r="J2" s="299"/>
    </row>
    <row r="3" spans="1:10" ht="30" customHeight="1" x14ac:dyDescent="0.3">
      <c r="A3" s="4"/>
      <c r="B3" s="8"/>
      <c r="C3" s="20"/>
      <c r="D3" s="19"/>
      <c r="E3" s="20"/>
      <c r="F3" s="20"/>
      <c r="G3" s="201"/>
      <c r="H3" s="60"/>
      <c r="I3" s="24"/>
      <c r="J3" s="55"/>
    </row>
    <row r="4" spans="1:10" ht="30" customHeight="1" x14ac:dyDescent="0.3">
      <c r="A4" s="4"/>
      <c r="B4" s="8"/>
      <c r="C4" s="20"/>
      <c r="D4" s="19"/>
      <c r="E4" s="20"/>
      <c r="F4" s="20"/>
      <c r="G4" s="201"/>
      <c r="H4" s="60"/>
      <c r="I4" s="24"/>
      <c r="J4" s="55"/>
    </row>
    <row r="5" spans="1:10" ht="30" customHeight="1" x14ac:dyDescent="0.3">
      <c r="A5" s="4"/>
      <c r="B5" s="8"/>
      <c r="C5" s="20"/>
      <c r="D5" s="19"/>
      <c r="E5" s="20"/>
      <c r="F5" s="20"/>
      <c r="G5" s="201"/>
      <c r="H5" s="60"/>
      <c r="I5" s="24"/>
      <c r="J5" s="55"/>
    </row>
    <row r="6" spans="1:10" ht="30" customHeight="1" x14ac:dyDescent="0.3">
      <c r="A6" s="4"/>
      <c r="B6" s="8"/>
      <c r="C6" s="20"/>
      <c r="D6" s="19"/>
      <c r="E6" s="20"/>
      <c r="F6" s="20"/>
      <c r="G6" s="201"/>
      <c r="H6" s="60"/>
      <c r="I6" s="24"/>
      <c r="J6" s="55"/>
    </row>
    <row r="7" spans="1:10" ht="30" customHeight="1" x14ac:dyDescent="0.3">
      <c r="A7" s="4"/>
      <c r="B7" s="8"/>
      <c r="C7" s="20"/>
      <c r="D7" s="19"/>
      <c r="E7" s="20"/>
      <c r="F7" s="20"/>
      <c r="G7" s="201"/>
      <c r="H7" s="60"/>
      <c r="I7" s="24"/>
      <c r="J7" s="55"/>
    </row>
    <row r="8" spans="1:10" ht="30" customHeight="1" x14ac:dyDescent="0.3">
      <c r="A8" s="4"/>
      <c r="B8" s="8"/>
      <c r="C8" s="20"/>
      <c r="D8" s="19"/>
      <c r="E8" s="20"/>
      <c r="F8" s="20"/>
      <c r="G8" s="201"/>
      <c r="H8" s="60"/>
      <c r="I8" s="24"/>
      <c r="J8" s="55"/>
    </row>
    <row r="9" spans="1:10" ht="30" customHeight="1" x14ac:dyDescent="0.3">
      <c r="A9" s="4"/>
      <c r="B9" s="8"/>
      <c r="C9" s="20"/>
      <c r="D9" s="19"/>
      <c r="E9" s="20"/>
      <c r="F9" s="20"/>
      <c r="G9" s="201"/>
      <c r="H9" s="60"/>
      <c r="I9" s="24"/>
      <c r="J9" s="20"/>
    </row>
    <row r="10" spans="1:10" ht="30" customHeight="1" x14ac:dyDescent="0.3">
      <c r="A10" s="4"/>
      <c r="B10" s="8"/>
      <c r="C10" s="20"/>
      <c r="D10" s="19"/>
      <c r="E10" s="20"/>
      <c r="F10" s="20"/>
      <c r="G10" s="201"/>
      <c r="H10" s="60"/>
      <c r="I10" s="24"/>
      <c r="J10" s="20"/>
    </row>
    <row r="11" spans="1:10" ht="30" customHeight="1" x14ac:dyDescent="0.3">
      <c r="A11" s="4"/>
      <c r="B11" s="8"/>
      <c r="C11" s="20"/>
      <c r="D11" s="19"/>
      <c r="E11" s="20"/>
      <c r="F11" s="20"/>
      <c r="G11" s="201"/>
      <c r="H11" s="60"/>
      <c r="I11" s="24"/>
      <c r="J11" s="20"/>
    </row>
  </sheetData>
  <autoFilter ref="A2:K2" xr:uid="{00000000-0009-0000-0000-000000000000}"/>
  <mergeCells count="9">
    <mergeCell ref="I1:I2"/>
    <mergeCell ref="J1:J2"/>
    <mergeCell ref="G1:G2"/>
    <mergeCell ref="H1:H2"/>
    <mergeCell ref="A1:A2"/>
    <mergeCell ref="B1:B2"/>
    <mergeCell ref="C1:C2"/>
    <mergeCell ref="D1:D2"/>
    <mergeCell ref="E1:F1"/>
  </mergeCells>
  <phoneticPr fontId="1" type="noConversion"/>
  <conditionalFormatting sqref="A3:A11">
    <cfRule type="containsText" dxfId="39" priority="2" operator="containsText" text="원도급">
      <formula>NOT(ISERROR(SEARCH("원도급",A3)))</formula>
    </cfRule>
    <cfRule type="containsText" dxfId="38" priority="3" operator="containsText" text="하도급">
      <formula>NOT(ISERROR(SEARCH("하도급",A3)))</formula>
    </cfRule>
  </conditionalFormatting>
  <conditionalFormatting sqref="G1:G1048576">
    <cfRule type="cellIs" dxfId="37" priority="1" operator="greaterThanOrEqual">
      <formula>500</formula>
    </cfRule>
  </conditionalFormatting>
  <pageMargins left="0.70866141732283472" right="0.70866141732283472" top="0.74803149606299213" bottom="0.74803149606299213" header="0.31496062992125984" footer="0.31496062992125984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P1048576"/>
  <sheetViews>
    <sheetView tabSelected="1" view="pageBreakPreview" zoomScaleNormal="70" zoomScaleSheetLayoutView="100" zoomScalePageLayoutView="40" workbookViewId="0">
      <pane ySplit="2" topLeftCell="A3" activePane="bottomLeft" state="frozen"/>
      <selection pane="bottomLeft" activeCell="F9" sqref="F9"/>
    </sheetView>
  </sheetViews>
  <sheetFormatPr defaultRowHeight="30" customHeight="1" x14ac:dyDescent="0.3"/>
  <cols>
    <col min="1" max="1" width="4.75" style="26" bestFit="1" customWidth="1"/>
    <col min="2" max="3" width="9.625" style="26" customWidth="1"/>
    <col min="4" max="4" width="9.625" style="71" customWidth="1"/>
    <col min="5" max="5" width="8" style="71" customWidth="1"/>
    <col min="6" max="6" width="15" style="27" bestFit="1" customWidth="1"/>
    <col min="7" max="7" width="61.75" style="25" bestFit="1" customWidth="1"/>
    <col min="8" max="8" width="25.625" style="26" bestFit="1" customWidth="1"/>
    <col min="9" max="9" width="21.125" style="26" bestFit="1" customWidth="1"/>
    <col min="10" max="11" width="11.875" style="61" customWidth="1"/>
    <col min="12" max="12" width="11.875" style="61" hidden="1" customWidth="1"/>
    <col min="13" max="13" width="34.625" style="28" customWidth="1"/>
    <col min="14" max="14" width="15.375" style="26" customWidth="1"/>
    <col min="15" max="16384" width="9" style="5"/>
  </cols>
  <sheetData>
    <row r="1" spans="1:14" s="14" customFormat="1" ht="21" customHeight="1" x14ac:dyDescent="0.3">
      <c r="A1" s="300" t="s">
        <v>3</v>
      </c>
      <c r="B1" s="306" t="s">
        <v>774</v>
      </c>
      <c r="C1" s="306" t="s">
        <v>775</v>
      </c>
      <c r="D1" s="302" t="s">
        <v>2</v>
      </c>
      <c r="E1" s="306" t="s">
        <v>776</v>
      </c>
      <c r="F1" s="294" t="s">
        <v>0</v>
      </c>
      <c r="G1" s="294" t="s">
        <v>1</v>
      </c>
      <c r="H1" s="304" t="s">
        <v>18</v>
      </c>
      <c r="I1" s="305"/>
      <c r="J1" s="294" t="s">
        <v>647</v>
      </c>
      <c r="K1" s="294" t="s">
        <v>648</v>
      </c>
      <c r="L1" s="199"/>
      <c r="M1" s="296" t="s">
        <v>24</v>
      </c>
      <c r="N1" s="298" t="s">
        <v>206</v>
      </c>
    </row>
    <row r="2" spans="1:14" s="14" customFormat="1" ht="21" customHeight="1" thickBot="1" x14ac:dyDescent="0.35">
      <c r="A2" s="301"/>
      <c r="B2" s="303"/>
      <c r="C2" s="303"/>
      <c r="D2" s="303"/>
      <c r="E2" s="307"/>
      <c r="F2" s="295"/>
      <c r="G2" s="295"/>
      <c r="H2" s="140" t="s">
        <v>300</v>
      </c>
      <c r="I2" s="140" t="s">
        <v>301</v>
      </c>
      <c r="J2" s="295"/>
      <c r="K2" s="295"/>
      <c r="L2" s="200"/>
      <c r="M2" s="297"/>
      <c r="N2" s="299"/>
    </row>
    <row r="3" spans="1:14" ht="30" customHeight="1" x14ac:dyDescent="0.3">
      <c r="A3" s="2">
        <v>1</v>
      </c>
      <c r="B3" s="449">
        <v>44620</v>
      </c>
      <c r="C3" s="449">
        <v>44630</v>
      </c>
      <c r="D3" s="7">
        <v>44638</v>
      </c>
      <c r="E3" s="450" t="str">
        <f>NETWORKDAYS(C3, D3) &amp; "일"</f>
        <v>7일</v>
      </c>
      <c r="F3" s="16" t="s">
        <v>777</v>
      </c>
      <c r="G3" s="15" t="s">
        <v>4</v>
      </c>
      <c r="H3" s="16" t="s">
        <v>210</v>
      </c>
      <c r="I3" s="16"/>
      <c r="J3" s="59">
        <v>987</v>
      </c>
      <c r="K3" s="59"/>
      <c r="L3" s="59"/>
      <c r="M3" s="17" t="s">
        <v>49</v>
      </c>
      <c r="N3" s="18" t="s">
        <v>5</v>
      </c>
    </row>
    <row r="4" spans="1:14" ht="42" customHeight="1" x14ac:dyDescent="0.3">
      <c r="A4" s="3">
        <v>2</v>
      </c>
      <c r="B4" s="449">
        <v>44620</v>
      </c>
      <c r="C4" s="70"/>
      <c r="D4" s="8">
        <v>44643</v>
      </c>
      <c r="E4" s="8"/>
      <c r="F4" s="20"/>
      <c r="G4" s="19" t="s">
        <v>10</v>
      </c>
      <c r="H4" s="19" t="s">
        <v>778</v>
      </c>
      <c r="I4" s="20"/>
      <c r="J4" s="60">
        <v>2500</v>
      </c>
      <c r="K4" s="60"/>
      <c r="L4" s="60"/>
      <c r="M4" s="21" t="s">
        <v>50</v>
      </c>
      <c r="N4" s="22" t="s">
        <v>6</v>
      </c>
    </row>
    <row r="5" spans="1:14" ht="30" customHeight="1" x14ac:dyDescent="0.3">
      <c r="A5" s="3">
        <v>3</v>
      </c>
      <c r="B5" s="70"/>
      <c r="C5" s="70"/>
      <c r="D5" s="8">
        <v>44649</v>
      </c>
      <c r="E5" s="8"/>
      <c r="F5" s="20" t="s">
        <v>7</v>
      </c>
      <c r="G5" s="19" t="s">
        <v>8</v>
      </c>
      <c r="H5" s="20" t="s">
        <v>207</v>
      </c>
      <c r="I5" s="20"/>
      <c r="J5" s="60">
        <v>845</v>
      </c>
      <c r="K5" s="60"/>
      <c r="L5" s="60"/>
      <c r="M5" s="24" t="s">
        <v>22</v>
      </c>
      <c r="N5" s="22" t="s">
        <v>9</v>
      </c>
    </row>
    <row r="6" spans="1:14" ht="30" customHeight="1" x14ac:dyDescent="0.3">
      <c r="A6" s="3">
        <f>A5+1</f>
        <v>4</v>
      </c>
      <c r="B6" s="70"/>
      <c r="C6" s="70"/>
      <c r="D6" s="8">
        <v>44651</v>
      </c>
      <c r="E6" s="8"/>
      <c r="F6" s="20" t="s">
        <v>11</v>
      </c>
      <c r="G6" s="19" t="s">
        <v>8</v>
      </c>
      <c r="H6" s="20" t="s">
        <v>208</v>
      </c>
      <c r="I6" s="20"/>
      <c r="J6" s="60">
        <v>369</v>
      </c>
      <c r="K6" s="60"/>
      <c r="L6" s="60"/>
      <c r="M6" s="24" t="s">
        <v>51</v>
      </c>
      <c r="N6" s="22" t="s">
        <v>12</v>
      </c>
    </row>
    <row r="7" spans="1:14" ht="30" customHeight="1" x14ac:dyDescent="0.3">
      <c r="A7" s="3">
        <f>A6+1</f>
        <v>5</v>
      </c>
      <c r="B7" s="70"/>
      <c r="C7" s="70"/>
      <c r="D7" s="8">
        <v>44656</v>
      </c>
      <c r="E7" s="8"/>
      <c r="F7" s="20" t="s">
        <v>11</v>
      </c>
      <c r="G7" s="19" t="s">
        <v>13</v>
      </c>
      <c r="H7" s="20" t="s">
        <v>208</v>
      </c>
      <c r="I7" s="20"/>
      <c r="J7" s="60">
        <v>330</v>
      </c>
      <c r="K7" s="60"/>
      <c r="L7" s="60"/>
      <c r="M7" s="24" t="s">
        <v>51</v>
      </c>
      <c r="N7" s="22" t="s">
        <v>14</v>
      </c>
    </row>
    <row r="8" spans="1:14" ht="30" customHeight="1" x14ac:dyDescent="0.3">
      <c r="A8" s="3">
        <f>A7+1</f>
        <v>6</v>
      </c>
      <c r="B8" s="70"/>
      <c r="C8" s="70"/>
      <c r="D8" s="8">
        <v>44658</v>
      </c>
      <c r="E8" s="8"/>
      <c r="F8" s="20" t="s">
        <v>16</v>
      </c>
      <c r="G8" s="19" t="s">
        <v>15</v>
      </c>
      <c r="H8" s="20" t="s">
        <v>208</v>
      </c>
      <c r="I8" s="20"/>
      <c r="J8" s="60">
        <v>5956</v>
      </c>
      <c r="K8" s="60"/>
      <c r="L8" s="60"/>
      <c r="M8" s="24" t="s">
        <v>52</v>
      </c>
      <c r="N8" s="22" t="s">
        <v>251</v>
      </c>
    </row>
    <row r="9" spans="1:14" ht="30" customHeight="1" x14ac:dyDescent="0.3">
      <c r="A9" s="3">
        <f>A8+1</f>
        <v>7</v>
      </c>
      <c r="B9" s="70"/>
      <c r="C9" s="70"/>
      <c r="D9" s="8">
        <v>44664</v>
      </c>
      <c r="E9" s="8"/>
      <c r="F9" s="20" t="s">
        <v>20</v>
      </c>
      <c r="G9" s="19" t="s">
        <v>19</v>
      </c>
      <c r="H9" s="20" t="s">
        <v>305</v>
      </c>
      <c r="I9" s="20"/>
      <c r="J9" s="60">
        <v>1542</v>
      </c>
      <c r="K9" s="60"/>
      <c r="L9" s="60"/>
      <c r="M9" s="24" t="s">
        <v>21</v>
      </c>
      <c r="N9" s="22" t="s">
        <v>598</v>
      </c>
    </row>
    <row r="10" spans="1:14" ht="30" customHeight="1" x14ac:dyDescent="0.3">
      <c r="A10" s="29">
        <f>A9+1</f>
        <v>8</v>
      </c>
      <c r="B10" s="213"/>
      <c r="C10" s="213"/>
      <c r="D10" s="30">
        <v>44665</v>
      </c>
      <c r="E10" s="30"/>
      <c r="F10" s="20" t="s">
        <v>25</v>
      </c>
      <c r="G10" s="43" t="s">
        <v>279</v>
      </c>
      <c r="H10" s="32" t="s">
        <v>23</v>
      </c>
      <c r="I10" s="32"/>
      <c r="J10" s="189">
        <v>1551</v>
      </c>
      <c r="K10" s="189">
        <v>844</v>
      </c>
      <c r="L10" s="189"/>
      <c r="M10" s="24" t="s">
        <v>27</v>
      </c>
      <c r="N10" s="33" t="s">
        <v>599</v>
      </c>
    </row>
    <row r="11" spans="1:14" ht="30" customHeight="1" x14ac:dyDescent="0.3">
      <c r="A11" s="29"/>
      <c r="B11" s="213"/>
      <c r="C11" s="213"/>
      <c r="D11" s="30">
        <v>44665</v>
      </c>
      <c r="E11" s="30"/>
      <c r="F11" s="20" t="s">
        <v>26</v>
      </c>
      <c r="G11" s="43" t="s">
        <v>279</v>
      </c>
      <c r="H11" s="32" t="s">
        <v>23</v>
      </c>
      <c r="I11" s="32"/>
      <c r="J11" s="189">
        <v>1551</v>
      </c>
      <c r="K11" s="189">
        <v>707</v>
      </c>
      <c r="L11" s="189"/>
      <c r="M11" s="24" t="s">
        <v>54</v>
      </c>
      <c r="N11" s="33" t="s">
        <v>599</v>
      </c>
    </row>
    <row r="12" spans="1:14" ht="30" customHeight="1" x14ac:dyDescent="0.3">
      <c r="A12" s="29">
        <f>A10+1</f>
        <v>9</v>
      </c>
      <c r="B12" s="213"/>
      <c r="C12" s="213"/>
      <c r="D12" s="30">
        <v>44670</v>
      </c>
      <c r="E12" s="30"/>
      <c r="F12" s="20" t="s">
        <v>30</v>
      </c>
      <c r="G12" s="43" t="s">
        <v>29</v>
      </c>
      <c r="H12" s="32" t="s">
        <v>23</v>
      </c>
      <c r="I12" s="32"/>
      <c r="J12" s="60">
        <v>475</v>
      </c>
      <c r="K12" s="60"/>
      <c r="L12" s="60"/>
      <c r="M12" s="24" t="s">
        <v>53</v>
      </c>
      <c r="N12" s="64" t="s">
        <v>600</v>
      </c>
    </row>
    <row r="13" spans="1:14" ht="30" customHeight="1" x14ac:dyDescent="0.3">
      <c r="A13" s="29"/>
      <c r="B13" s="213"/>
      <c r="C13" s="213"/>
      <c r="D13" s="30">
        <v>44670</v>
      </c>
      <c r="E13" s="30"/>
      <c r="F13" s="20" t="s">
        <v>26</v>
      </c>
      <c r="G13" s="43" t="s">
        <v>29</v>
      </c>
      <c r="H13" s="32" t="s">
        <v>23</v>
      </c>
      <c r="I13" s="32"/>
      <c r="J13" s="60">
        <v>475</v>
      </c>
      <c r="K13" s="60"/>
      <c r="L13" s="60"/>
      <c r="M13" s="24" t="s">
        <v>54</v>
      </c>
      <c r="N13" s="64" t="s">
        <v>600</v>
      </c>
    </row>
    <row r="14" spans="1:14" ht="30" customHeight="1" x14ac:dyDescent="0.3">
      <c r="A14" s="3">
        <f>A12+1</f>
        <v>10</v>
      </c>
      <c r="B14" s="70"/>
      <c r="C14" s="70"/>
      <c r="D14" s="8">
        <v>44672</v>
      </c>
      <c r="E14" s="8"/>
      <c r="F14" s="20" t="s">
        <v>33</v>
      </c>
      <c r="G14" s="19" t="s">
        <v>32</v>
      </c>
      <c r="H14" s="20" t="s">
        <v>207</v>
      </c>
      <c r="I14" s="20"/>
      <c r="J14" s="60">
        <v>1127</v>
      </c>
      <c r="K14" s="60"/>
      <c r="L14" s="60"/>
      <c r="M14" s="24" t="s">
        <v>34</v>
      </c>
      <c r="N14" s="22" t="s">
        <v>601</v>
      </c>
    </row>
    <row r="15" spans="1:14" ht="30" customHeight="1" x14ac:dyDescent="0.3">
      <c r="A15" s="29">
        <v>11</v>
      </c>
      <c r="B15" s="213"/>
      <c r="C15" s="213"/>
      <c r="D15" s="30">
        <v>44678</v>
      </c>
      <c r="E15" s="30"/>
      <c r="F15" s="20" t="s">
        <v>36</v>
      </c>
      <c r="G15" s="43" t="s">
        <v>237</v>
      </c>
      <c r="H15" s="32" t="s">
        <v>242</v>
      </c>
      <c r="I15" s="32"/>
      <c r="J15" s="60">
        <v>0</v>
      </c>
      <c r="K15" s="60"/>
      <c r="L15" s="60"/>
      <c r="M15" s="24" t="s">
        <v>55</v>
      </c>
      <c r="N15" s="33" t="s">
        <v>602</v>
      </c>
    </row>
    <row r="16" spans="1:14" ht="30" customHeight="1" x14ac:dyDescent="0.3">
      <c r="A16" s="29"/>
      <c r="B16" s="213"/>
      <c r="C16" s="213"/>
      <c r="D16" s="30">
        <v>44678</v>
      </c>
      <c r="E16" s="30"/>
      <c r="F16" s="20" t="s">
        <v>37</v>
      </c>
      <c r="G16" s="43" t="s">
        <v>237</v>
      </c>
      <c r="H16" s="32" t="s">
        <v>242</v>
      </c>
      <c r="I16" s="32"/>
      <c r="J16" s="60">
        <v>0</v>
      </c>
      <c r="K16" s="60"/>
      <c r="L16" s="60"/>
      <c r="M16" s="24" t="s">
        <v>240</v>
      </c>
      <c r="N16" s="33" t="s">
        <v>602</v>
      </c>
    </row>
    <row r="17" spans="1:14" ht="30" customHeight="1" x14ac:dyDescent="0.3">
      <c r="A17" s="29">
        <v>12</v>
      </c>
      <c r="B17" s="213"/>
      <c r="C17" s="213"/>
      <c r="D17" s="30">
        <v>44684</v>
      </c>
      <c r="E17" s="30"/>
      <c r="F17" s="20" t="s">
        <v>7</v>
      </c>
      <c r="G17" s="43" t="s">
        <v>280</v>
      </c>
      <c r="H17" s="32" t="s">
        <v>207</v>
      </c>
      <c r="I17" s="32"/>
      <c r="J17" s="60">
        <v>2976</v>
      </c>
      <c r="K17" s="60"/>
      <c r="L17" s="60"/>
      <c r="M17" s="24" t="s">
        <v>22</v>
      </c>
      <c r="N17" s="33" t="s">
        <v>558</v>
      </c>
    </row>
    <row r="18" spans="1:14" ht="30" customHeight="1" x14ac:dyDescent="0.3">
      <c r="A18" s="29"/>
      <c r="B18" s="213"/>
      <c r="C18" s="213"/>
      <c r="D18" s="30">
        <v>44684</v>
      </c>
      <c r="E18" s="30"/>
      <c r="F18" s="20" t="s">
        <v>33</v>
      </c>
      <c r="G18" s="43" t="s">
        <v>280</v>
      </c>
      <c r="H18" s="32" t="s">
        <v>207</v>
      </c>
      <c r="I18" s="32"/>
      <c r="J18" s="60">
        <v>2976</v>
      </c>
      <c r="K18" s="60"/>
      <c r="L18" s="60"/>
      <c r="M18" s="24" t="s">
        <v>34</v>
      </c>
      <c r="N18" s="33" t="s">
        <v>558</v>
      </c>
    </row>
    <row r="19" spans="1:14" ht="30" customHeight="1" x14ac:dyDescent="0.3">
      <c r="A19" s="3">
        <v>13</v>
      </c>
      <c r="B19" s="70"/>
      <c r="C19" s="70"/>
      <c r="D19" s="8">
        <v>44698</v>
      </c>
      <c r="E19" s="8"/>
      <c r="F19" s="20" t="s">
        <v>25</v>
      </c>
      <c r="G19" s="19" t="s">
        <v>40</v>
      </c>
      <c r="H19" s="20" t="s">
        <v>23</v>
      </c>
      <c r="I19" s="20"/>
      <c r="J19" s="60">
        <v>301</v>
      </c>
      <c r="K19" s="60"/>
      <c r="L19" s="60"/>
      <c r="M19" s="24" t="s">
        <v>27</v>
      </c>
      <c r="N19" s="22" t="s">
        <v>603</v>
      </c>
    </row>
    <row r="20" spans="1:14" ht="30" customHeight="1" x14ac:dyDescent="0.3">
      <c r="A20" s="3">
        <f t="shared" ref="A20:A27" si="0">A19+1</f>
        <v>14</v>
      </c>
      <c r="B20" s="70"/>
      <c r="C20" s="70"/>
      <c r="D20" s="8">
        <v>44700</v>
      </c>
      <c r="E20" s="8"/>
      <c r="F20" s="20" t="s">
        <v>43</v>
      </c>
      <c r="G20" s="19" t="s">
        <v>42</v>
      </c>
      <c r="H20" s="20" t="s">
        <v>303</v>
      </c>
      <c r="I20" s="20" t="s">
        <v>302</v>
      </c>
      <c r="J20" s="60">
        <v>315</v>
      </c>
      <c r="K20" s="60"/>
      <c r="L20" s="60"/>
      <c r="M20" s="24" t="s">
        <v>57</v>
      </c>
      <c r="N20" s="22" t="s">
        <v>604</v>
      </c>
    </row>
    <row r="21" spans="1:14" ht="30" customHeight="1" x14ac:dyDescent="0.3">
      <c r="A21" s="3">
        <f t="shared" si="0"/>
        <v>15</v>
      </c>
      <c r="B21" s="70"/>
      <c r="C21" s="70"/>
      <c r="D21" s="8">
        <v>44705</v>
      </c>
      <c r="E21" s="8"/>
      <c r="F21" s="20" t="s">
        <v>243</v>
      </c>
      <c r="G21" s="19" t="s">
        <v>244</v>
      </c>
      <c r="H21" s="20" t="s">
        <v>358</v>
      </c>
      <c r="I21" s="20"/>
      <c r="J21" s="60">
        <v>1488</v>
      </c>
      <c r="K21" s="60"/>
      <c r="L21" s="60"/>
      <c r="M21" s="24" t="s">
        <v>45</v>
      </c>
      <c r="N21" s="22" t="s">
        <v>559</v>
      </c>
    </row>
    <row r="22" spans="1:14" ht="30" customHeight="1" x14ac:dyDescent="0.3">
      <c r="A22" s="3">
        <f t="shared" si="0"/>
        <v>16</v>
      </c>
      <c r="B22" s="70"/>
      <c r="C22" s="70"/>
      <c r="D22" s="8">
        <v>44706</v>
      </c>
      <c r="E22" s="8"/>
      <c r="F22" s="20" t="s">
        <v>48</v>
      </c>
      <c r="G22" s="19" t="s">
        <v>47</v>
      </c>
      <c r="H22" s="20" t="s">
        <v>213</v>
      </c>
      <c r="I22" s="20"/>
      <c r="J22" s="60">
        <v>1077</v>
      </c>
      <c r="K22" s="60"/>
      <c r="L22" s="60"/>
      <c r="M22" s="24" t="s">
        <v>58</v>
      </c>
      <c r="N22" s="22" t="s">
        <v>560</v>
      </c>
    </row>
    <row r="23" spans="1:14" ht="30" customHeight="1" x14ac:dyDescent="0.3">
      <c r="A23" s="3">
        <f t="shared" si="0"/>
        <v>17</v>
      </c>
      <c r="B23" s="70"/>
      <c r="C23" s="70"/>
      <c r="D23" s="8">
        <v>44714</v>
      </c>
      <c r="E23" s="8"/>
      <c r="F23" s="20" t="s">
        <v>61</v>
      </c>
      <c r="G23" s="19" t="s">
        <v>60</v>
      </c>
      <c r="H23" s="20" t="s">
        <v>214</v>
      </c>
      <c r="I23" s="20"/>
      <c r="J23" s="60">
        <v>1077</v>
      </c>
      <c r="K23" s="60"/>
      <c r="L23" s="60"/>
      <c r="M23" s="21" t="s">
        <v>62</v>
      </c>
      <c r="N23" s="22" t="s">
        <v>561</v>
      </c>
    </row>
    <row r="24" spans="1:14" ht="30" customHeight="1" x14ac:dyDescent="0.3">
      <c r="A24" s="3">
        <f t="shared" si="0"/>
        <v>18</v>
      </c>
      <c r="B24" s="70"/>
      <c r="C24" s="70"/>
      <c r="D24" s="8">
        <v>44720</v>
      </c>
      <c r="E24" s="8"/>
      <c r="F24" s="20" t="s">
        <v>65</v>
      </c>
      <c r="G24" s="19" t="s">
        <v>64</v>
      </c>
      <c r="H24" s="20" t="s">
        <v>305</v>
      </c>
      <c r="I24" s="20"/>
      <c r="J24" s="60">
        <v>970</v>
      </c>
      <c r="K24" s="60"/>
      <c r="L24" s="60"/>
      <c r="M24" s="24" t="s">
        <v>66</v>
      </c>
      <c r="N24" s="22" t="s">
        <v>562</v>
      </c>
    </row>
    <row r="25" spans="1:14" ht="30" customHeight="1" x14ac:dyDescent="0.3">
      <c r="A25" s="3">
        <f t="shared" si="0"/>
        <v>19</v>
      </c>
      <c r="B25" s="70"/>
      <c r="C25" s="70"/>
      <c r="D25" s="8">
        <v>44727</v>
      </c>
      <c r="E25" s="8"/>
      <c r="F25" s="20" t="s">
        <v>11</v>
      </c>
      <c r="G25" s="19" t="s">
        <v>68</v>
      </c>
      <c r="H25" s="20" t="s">
        <v>208</v>
      </c>
      <c r="I25" s="20"/>
      <c r="J25" s="60">
        <v>379</v>
      </c>
      <c r="K25" s="60"/>
      <c r="L25" s="60"/>
      <c r="M25" s="24" t="s">
        <v>51</v>
      </c>
      <c r="N25" s="22" t="s">
        <v>563</v>
      </c>
    </row>
    <row r="26" spans="1:14" ht="30" customHeight="1" x14ac:dyDescent="0.3">
      <c r="A26" s="3">
        <f t="shared" si="0"/>
        <v>20</v>
      </c>
      <c r="B26" s="70"/>
      <c r="C26" s="70"/>
      <c r="D26" s="8">
        <v>44734</v>
      </c>
      <c r="E26" s="8"/>
      <c r="F26" s="20" t="s">
        <v>71</v>
      </c>
      <c r="G26" s="19" t="s">
        <v>70</v>
      </c>
      <c r="H26" s="20" t="s">
        <v>215</v>
      </c>
      <c r="I26" s="20"/>
      <c r="J26" s="60">
        <v>4171</v>
      </c>
      <c r="K26" s="60"/>
      <c r="L26" s="60"/>
      <c r="M26" s="24" t="s">
        <v>72</v>
      </c>
      <c r="N26" s="22" t="s">
        <v>564</v>
      </c>
    </row>
    <row r="27" spans="1:14" ht="30" customHeight="1" x14ac:dyDescent="0.3">
      <c r="A27" s="3">
        <f t="shared" si="0"/>
        <v>21</v>
      </c>
      <c r="B27" s="70"/>
      <c r="C27" s="70"/>
      <c r="D27" s="8">
        <v>44735</v>
      </c>
      <c r="E27" s="8"/>
      <c r="F27" s="20" t="s">
        <v>75</v>
      </c>
      <c r="G27" s="19" t="s">
        <v>74</v>
      </c>
      <c r="H27" s="20" t="s">
        <v>328</v>
      </c>
      <c r="I27" s="20" t="s">
        <v>316</v>
      </c>
      <c r="J27" s="60">
        <v>317</v>
      </c>
      <c r="K27" s="60"/>
      <c r="L27" s="60"/>
      <c r="M27" s="24" t="s">
        <v>76</v>
      </c>
      <c r="N27" s="22" t="s">
        <v>565</v>
      </c>
    </row>
    <row r="28" spans="1:14" ht="30" customHeight="1" x14ac:dyDescent="0.3">
      <c r="A28" s="29">
        <v>22</v>
      </c>
      <c r="B28" s="213"/>
      <c r="C28" s="213"/>
      <c r="D28" s="30">
        <v>44741</v>
      </c>
      <c r="E28" s="30"/>
      <c r="F28" s="20" t="s">
        <v>26</v>
      </c>
      <c r="G28" s="43" t="s">
        <v>78</v>
      </c>
      <c r="H28" s="32" t="s">
        <v>23</v>
      </c>
      <c r="I28" s="32"/>
      <c r="J28" s="60">
        <v>6988</v>
      </c>
      <c r="K28" s="60"/>
      <c r="L28" s="60"/>
      <c r="M28" s="24" t="s">
        <v>54</v>
      </c>
      <c r="N28" s="33" t="s">
        <v>566</v>
      </c>
    </row>
    <row r="29" spans="1:14" ht="30" customHeight="1" x14ac:dyDescent="0.3">
      <c r="A29" s="29"/>
      <c r="B29" s="213"/>
      <c r="C29" s="213"/>
      <c r="D29" s="30">
        <v>44741</v>
      </c>
      <c r="E29" s="30"/>
      <c r="F29" s="20" t="s">
        <v>30</v>
      </c>
      <c r="G29" s="43" t="s">
        <v>78</v>
      </c>
      <c r="H29" s="32" t="s">
        <v>23</v>
      </c>
      <c r="I29" s="32"/>
      <c r="J29" s="60">
        <v>6988</v>
      </c>
      <c r="K29" s="60"/>
      <c r="L29" s="60"/>
      <c r="M29" s="24" t="s">
        <v>53</v>
      </c>
      <c r="N29" s="33" t="s">
        <v>566</v>
      </c>
    </row>
    <row r="30" spans="1:14" ht="30" customHeight="1" x14ac:dyDescent="0.3">
      <c r="A30" s="3">
        <v>23</v>
      </c>
      <c r="B30" s="70"/>
      <c r="C30" s="70"/>
      <c r="D30" s="8">
        <v>44743</v>
      </c>
      <c r="E30" s="8"/>
      <c r="F30" s="20" t="s">
        <v>84</v>
      </c>
      <c r="G30" s="19" t="s">
        <v>83</v>
      </c>
      <c r="H30" s="20" t="s">
        <v>649</v>
      </c>
      <c r="I30" s="20" t="s">
        <v>322</v>
      </c>
      <c r="J30" s="60">
        <v>858</v>
      </c>
      <c r="K30" s="60"/>
      <c r="L30" s="60"/>
      <c r="M30" s="24" t="s">
        <v>85</v>
      </c>
      <c r="N30" s="22" t="s">
        <v>568</v>
      </c>
    </row>
    <row r="31" spans="1:14" ht="30" customHeight="1" x14ac:dyDescent="0.3">
      <c r="A31" s="3">
        <v>24</v>
      </c>
      <c r="B31" s="70"/>
      <c r="C31" s="70"/>
      <c r="D31" s="8">
        <v>44743</v>
      </c>
      <c r="E31" s="8"/>
      <c r="F31" s="20" t="s">
        <v>16</v>
      </c>
      <c r="G31" s="19" t="s">
        <v>80</v>
      </c>
      <c r="H31" s="20" t="s">
        <v>208</v>
      </c>
      <c r="I31" s="20"/>
      <c r="J31" s="60">
        <v>809</v>
      </c>
      <c r="K31" s="60"/>
      <c r="L31" s="60"/>
      <c r="M31" s="24" t="s">
        <v>81</v>
      </c>
      <c r="N31" s="22" t="s">
        <v>567</v>
      </c>
    </row>
    <row r="32" spans="1:14" ht="30" customHeight="1" x14ac:dyDescent="0.3">
      <c r="A32" s="3">
        <f>A31+1</f>
        <v>25</v>
      </c>
      <c r="B32" s="70"/>
      <c r="C32" s="70"/>
      <c r="D32" s="8">
        <v>44747</v>
      </c>
      <c r="E32" s="8"/>
      <c r="F32" s="20" t="s">
        <v>71</v>
      </c>
      <c r="G32" s="19" t="s">
        <v>87</v>
      </c>
      <c r="H32" s="20" t="s">
        <v>217</v>
      </c>
      <c r="I32" s="20"/>
      <c r="J32" s="60">
        <v>7043</v>
      </c>
      <c r="K32" s="60"/>
      <c r="L32" s="60"/>
      <c r="M32" s="24" t="s">
        <v>72</v>
      </c>
      <c r="N32" s="22" t="s">
        <v>569</v>
      </c>
    </row>
    <row r="33" spans="1:14" ht="30" customHeight="1" x14ac:dyDescent="0.3">
      <c r="A33" s="3">
        <f>A32+1</f>
        <v>26</v>
      </c>
      <c r="B33" s="70"/>
      <c r="C33" s="70"/>
      <c r="D33" s="8">
        <v>44748</v>
      </c>
      <c r="E33" s="8"/>
      <c r="F33" s="20" t="s">
        <v>25</v>
      </c>
      <c r="G33" s="19" t="s">
        <v>89</v>
      </c>
      <c r="H33" s="20" t="s">
        <v>23</v>
      </c>
      <c r="I33" s="20"/>
      <c r="J33" s="60">
        <v>335</v>
      </c>
      <c r="K33" s="60"/>
      <c r="L33" s="60"/>
      <c r="M33" s="24" t="s">
        <v>27</v>
      </c>
      <c r="N33" s="22" t="s">
        <v>570</v>
      </c>
    </row>
    <row r="34" spans="1:14" ht="30" customHeight="1" x14ac:dyDescent="0.3">
      <c r="A34" s="29">
        <v>27</v>
      </c>
      <c r="B34" s="213"/>
      <c r="C34" s="213"/>
      <c r="D34" s="30">
        <v>44754</v>
      </c>
      <c r="E34" s="30"/>
      <c r="F34" s="20" t="s">
        <v>26</v>
      </c>
      <c r="G34" s="43" t="s">
        <v>87</v>
      </c>
      <c r="H34" s="32" t="s">
        <v>23</v>
      </c>
      <c r="I34" s="32"/>
      <c r="J34" s="189">
        <v>1048</v>
      </c>
      <c r="K34" s="189"/>
      <c r="L34" s="189"/>
      <c r="M34" s="24" t="s">
        <v>54</v>
      </c>
      <c r="N34" s="33" t="s">
        <v>571</v>
      </c>
    </row>
    <row r="35" spans="1:14" ht="30" customHeight="1" x14ac:dyDescent="0.3">
      <c r="A35" s="29"/>
      <c r="B35" s="213"/>
      <c r="C35" s="213"/>
      <c r="D35" s="30">
        <v>44754</v>
      </c>
      <c r="E35" s="30"/>
      <c r="F35" s="20" t="s">
        <v>25</v>
      </c>
      <c r="G35" s="43" t="s">
        <v>87</v>
      </c>
      <c r="H35" s="32" t="s">
        <v>23</v>
      </c>
      <c r="I35" s="32"/>
      <c r="J35" s="189">
        <v>1048</v>
      </c>
      <c r="K35" s="189"/>
      <c r="L35" s="189"/>
      <c r="M35" s="24" t="s">
        <v>27</v>
      </c>
      <c r="N35" s="33" t="s">
        <v>571</v>
      </c>
    </row>
    <row r="36" spans="1:14" ht="30" customHeight="1" x14ac:dyDescent="0.3">
      <c r="A36" s="3">
        <v>28</v>
      </c>
      <c r="B36" s="70"/>
      <c r="C36" s="70"/>
      <c r="D36" s="8">
        <v>44757</v>
      </c>
      <c r="E36" s="8"/>
      <c r="F36" s="20" t="s">
        <v>93</v>
      </c>
      <c r="G36" s="19" t="s">
        <v>92</v>
      </c>
      <c r="H36" s="20" t="s">
        <v>218</v>
      </c>
      <c r="I36" s="20"/>
      <c r="J36" s="60">
        <v>800</v>
      </c>
      <c r="K36" s="60"/>
      <c r="L36" s="60"/>
      <c r="M36" s="24" t="s">
        <v>94</v>
      </c>
      <c r="N36" s="22" t="s">
        <v>572</v>
      </c>
    </row>
    <row r="37" spans="1:14" ht="30" customHeight="1" x14ac:dyDescent="0.3">
      <c r="A37" s="3">
        <f t="shared" ref="A37:A48" si="1">A36+1</f>
        <v>29</v>
      </c>
      <c r="B37" s="70"/>
      <c r="C37" s="70"/>
      <c r="D37" s="8">
        <v>44761</v>
      </c>
      <c r="E37" s="8"/>
      <c r="F37" s="20" t="s">
        <v>97</v>
      </c>
      <c r="G37" s="19" t="s">
        <v>96</v>
      </c>
      <c r="H37" s="20" t="s">
        <v>307</v>
      </c>
      <c r="I37" s="20" t="s">
        <v>306</v>
      </c>
      <c r="J37" s="60">
        <v>536</v>
      </c>
      <c r="K37" s="60"/>
      <c r="L37" s="60"/>
      <c r="M37" s="24" t="s">
        <v>98</v>
      </c>
      <c r="N37" s="22" t="s">
        <v>573</v>
      </c>
    </row>
    <row r="38" spans="1:14" ht="30" customHeight="1" x14ac:dyDescent="0.3">
      <c r="A38" s="3">
        <f t="shared" si="1"/>
        <v>30</v>
      </c>
      <c r="B38" s="70"/>
      <c r="C38" s="70"/>
      <c r="D38" s="8">
        <v>44790</v>
      </c>
      <c r="E38" s="8"/>
      <c r="F38" s="20" t="s">
        <v>75</v>
      </c>
      <c r="G38" s="19" t="s">
        <v>100</v>
      </c>
      <c r="H38" s="20" t="s">
        <v>328</v>
      </c>
      <c r="I38" s="20" t="s">
        <v>316</v>
      </c>
      <c r="J38" s="60">
        <v>291</v>
      </c>
      <c r="K38" s="60"/>
      <c r="L38" s="60"/>
      <c r="M38" s="24" t="s">
        <v>76</v>
      </c>
      <c r="N38" s="22" t="s">
        <v>574</v>
      </c>
    </row>
    <row r="39" spans="1:14" ht="30" customHeight="1" x14ac:dyDescent="0.3">
      <c r="A39" s="3">
        <f t="shared" si="1"/>
        <v>31</v>
      </c>
      <c r="B39" s="70"/>
      <c r="C39" s="70"/>
      <c r="D39" s="8">
        <v>44797</v>
      </c>
      <c r="E39" s="8"/>
      <c r="F39" s="20" t="s">
        <v>75</v>
      </c>
      <c r="G39" s="19" t="s">
        <v>102</v>
      </c>
      <c r="H39" s="20" t="s">
        <v>328</v>
      </c>
      <c r="I39" s="20" t="s">
        <v>316</v>
      </c>
      <c r="J39" s="60">
        <v>547</v>
      </c>
      <c r="K39" s="60"/>
      <c r="L39" s="60"/>
      <c r="M39" s="24" t="s">
        <v>76</v>
      </c>
      <c r="N39" s="22" t="s">
        <v>575</v>
      </c>
    </row>
    <row r="40" spans="1:14" ht="30" customHeight="1" x14ac:dyDescent="0.3">
      <c r="A40" s="3">
        <f t="shared" si="1"/>
        <v>32</v>
      </c>
      <c r="B40" s="70"/>
      <c r="C40" s="70"/>
      <c r="D40" s="8">
        <v>44798</v>
      </c>
      <c r="E40" s="8"/>
      <c r="F40" s="20" t="s">
        <v>75</v>
      </c>
      <c r="G40" s="19" t="s">
        <v>104</v>
      </c>
      <c r="H40" s="20" t="s">
        <v>315</v>
      </c>
      <c r="I40" s="20" t="s">
        <v>316</v>
      </c>
      <c r="J40" s="60">
        <v>834</v>
      </c>
      <c r="K40" s="60"/>
      <c r="L40" s="60"/>
      <c r="M40" s="24" t="s">
        <v>105</v>
      </c>
      <c r="N40" s="22" t="s">
        <v>576</v>
      </c>
    </row>
    <row r="41" spans="1:14" ht="30" customHeight="1" x14ac:dyDescent="0.3">
      <c r="A41" s="3">
        <f t="shared" si="1"/>
        <v>33</v>
      </c>
      <c r="B41" s="70"/>
      <c r="C41" s="70"/>
      <c r="D41" s="8">
        <v>44804</v>
      </c>
      <c r="E41" s="8"/>
      <c r="F41" s="20" t="s">
        <v>25</v>
      </c>
      <c r="G41" s="19" t="s">
        <v>108</v>
      </c>
      <c r="H41" s="20" t="s">
        <v>23</v>
      </c>
      <c r="I41" s="20"/>
      <c r="J41" s="60">
        <v>496</v>
      </c>
      <c r="K41" s="60"/>
      <c r="L41" s="60"/>
      <c r="M41" s="24" t="s">
        <v>109</v>
      </c>
      <c r="N41" s="22" t="s">
        <v>605</v>
      </c>
    </row>
    <row r="42" spans="1:14" ht="30" customHeight="1" x14ac:dyDescent="0.3">
      <c r="A42" s="3">
        <f t="shared" si="1"/>
        <v>34</v>
      </c>
      <c r="B42" s="70"/>
      <c r="C42" s="70"/>
      <c r="D42" s="8">
        <v>44805</v>
      </c>
      <c r="E42" s="8"/>
      <c r="F42" s="20" t="s">
        <v>112</v>
      </c>
      <c r="G42" s="19" t="s">
        <v>111</v>
      </c>
      <c r="H42" s="20" t="s">
        <v>207</v>
      </c>
      <c r="I42" s="20" t="s">
        <v>325</v>
      </c>
      <c r="J42" s="60">
        <v>366</v>
      </c>
      <c r="K42" s="60"/>
      <c r="L42" s="60"/>
      <c r="M42" s="24" t="s">
        <v>113</v>
      </c>
      <c r="N42" s="22" t="s">
        <v>606</v>
      </c>
    </row>
    <row r="43" spans="1:14" ht="30" customHeight="1" x14ac:dyDescent="0.3">
      <c r="A43" s="3">
        <f t="shared" si="1"/>
        <v>35</v>
      </c>
      <c r="B43" s="70"/>
      <c r="C43" s="70"/>
      <c r="D43" s="8">
        <v>44811</v>
      </c>
      <c r="E43" s="8"/>
      <c r="F43" s="20" t="s">
        <v>112</v>
      </c>
      <c r="G43" s="19" t="s">
        <v>115</v>
      </c>
      <c r="H43" s="20" t="s">
        <v>207</v>
      </c>
      <c r="I43" s="20" t="s">
        <v>325</v>
      </c>
      <c r="J43" s="60">
        <v>1292</v>
      </c>
      <c r="K43" s="60"/>
      <c r="L43" s="60"/>
      <c r="M43" s="24" t="s">
        <v>113</v>
      </c>
      <c r="N43" s="56" t="s">
        <v>607</v>
      </c>
    </row>
    <row r="44" spans="1:14" ht="30" customHeight="1" x14ac:dyDescent="0.3">
      <c r="A44" s="3">
        <f t="shared" si="1"/>
        <v>36</v>
      </c>
      <c r="B44" s="70"/>
      <c r="C44" s="70"/>
      <c r="D44" s="8">
        <v>44826</v>
      </c>
      <c r="E44" s="8"/>
      <c r="F44" s="20" t="s">
        <v>118</v>
      </c>
      <c r="G44" s="19" t="s">
        <v>117</v>
      </c>
      <c r="H44" s="20" t="s">
        <v>222</v>
      </c>
      <c r="I44" s="20"/>
      <c r="J44" s="60">
        <v>582</v>
      </c>
      <c r="K44" s="60"/>
      <c r="L44" s="60"/>
      <c r="M44" s="24" t="s">
        <v>119</v>
      </c>
      <c r="N44" s="22" t="s">
        <v>608</v>
      </c>
    </row>
    <row r="45" spans="1:14" ht="30" customHeight="1" x14ac:dyDescent="0.3">
      <c r="A45" s="3">
        <f t="shared" si="1"/>
        <v>37</v>
      </c>
      <c r="B45" s="70"/>
      <c r="C45" s="70"/>
      <c r="D45" s="8">
        <v>44830</v>
      </c>
      <c r="E45" s="8"/>
      <c r="F45" s="20" t="s">
        <v>122</v>
      </c>
      <c r="G45" s="19" t="s">
        <v>121</v>
      </c>
      <c r="H45" s="20" t="s">
        <v>264</v>
      </c>
      <c r="I45" s="20"/>
      <c r="J45" s="60">
        <v>9003</v>
      </c>
      <c r="K45" s="60"/>
      <c r="L45" s="60"/>
      <c r="M45" s="24" t="s">
        <v>123</v>
      </c>
      <c r="N45" s="22" t="s">
        <v>609</v>
      </c>
    </row>
    <row r="46" spans="1:14" ht="30" customHeight="1" x14ac:dyDescent="0.3">
      <c r="A46" s="3">
        <f t="shared" si="1"/>
        <v>38</v>
      </c>
      <c r="B46" s="70"/>
      <c r="C46" s="70"/>
      <c r="D46" s="8">
        <v>44833</v>
      </c>
      <c r="E46" s="8"/>
      <c r="F46" s="20" t="s">
        <v>122</v>
      </c>
      <c r="G46" s="19" t="s">
        <v>125</v>
      </c>
      <c r="H46" s="20" t="s">
        <v>264</v>
      </c>
      <c r="I46" s="20"/>
      <c r="J46" s="60">
        <v>6908</v>
      </c>
      <c r="K46" s="60"/>
      <c r="L46" s="60"/>
      <c r="M46" s="24" t="s">
        <v>123</v>
      </c>
      <c r="N46" s="22" t="s">
        <v>597</v>
      </c>
    </row>
    <row r="47" spans="1:14" ht="30" customHeight="1" x14ac:dyDescent="0.3">
      <c r="A47" s="3">
        <f t="shared" si="1"/>
        <v>39</v>
      </c>
      <c r="B47" s="70"/>
      <c r="C47" s="70"/>
      <c r="D47" s="8">
        <v>44839</v>
      </c>
      <c r="E47" s="8"/>
      <c r="F47" s="20" t="s">
        <v>128</v>
      </c>
      <c r="G47" s="19" t="s">
        <v>127</v>
      </c>
      <c r="H47" s="20" t="s">
        <v>264</v>
      </c>
      <c r="I47" s="20"/>
      <c r="J47" s="60">
        <v>5744</v>
      </c>
      <c r="K47" s="60"/>
      <c r="L47" s="60"/>
      <c r="M47" s="24" t="s">
        <v>129</v>
      </c>
      <c r="N47" s="22" t="s">
        <v>610</v>
      </c>
    </row>
    <row r="48" spans="1:14" ht="30" customHeight="1" x14ac:dyDescent="0.3">
      <c r="A48" s="3">
        <f t="shared" si="1"/>
        <v>40</v>
      </c>
      <c r="B48" s="70"/>
      <c r="C48" s="70"/>
      <c r="D48" s="8">
        <v>44840</v>
      </c>
      <c r="E48" s="8"/>
      <c r="F48" s="20" t="s">
        <v>196</v>
      </c>
      <c r="G48" s="19" t="s">
        <v>195</v>
      </c>
      <c r="H48" s="20" t="s">
        <v>207</v>
      </c>
      <c r="I48" s="20" t="s">
        <v>325</v>
      </c>
      <c r="J48" s="60">
        <v>343</v>
      </c>
      <c r="K48" s="60"/>
      <c r="L48" s="60"/>
      <c r="M48" s="24" t="s">
        <v>197</v>
      </c>
      <c r="N48" s="22" t="s">
        <v>198</v>
      </c>
    </row>
    <row r="49" spans="1:14" ht="30" customHeight="1" x14ac:dyDescent="0.3">
      <c r="A49" s="29">
        <v>41</v>
      </c>
      <c r="B49" s="213"/>
      <c r="C49" s="213"/>
      <c r="D49" s="30">
        <v>44852</v>
      </c>
      <c r="E49" s="30"/>
      <c r="F49" s="20" t="s">
        <v>132</v>
      </c>
      <c r="G49" s="43" t="s">
        <v>131</v>
      </c>
      <c r="H49" s="32" t="s">
        <v>223</v>
      </c>
      <c r="I49" s="32"/>
      <c r="J49" s="60">
        <v>614</v>
      </c>
      <c r="K49" s="60"/>
      <c r="L49" s="60"/>
      <c r="M49" s="24" t="s">
        <v>134</v>
      </c>
      <c r="N49" s="33" t="s">
        <v>611</v>
      </c>
    </row>
    <row r="50" spans="1:14" ht="30" customHeight="1" x14ac:dyDescent="0.3">
      <c r="A50" s="29"/>
      <c r="B50" s="213"/>
      <c r="C50" s="213"/>
      <c r="D50" s="30">
        <v>44852</v>
      </c>
      <c r="E50" s="30"/>
      <c r="F50" s="20" t="s">
        <v>133</v>
      </c>
      <c r="G50" s="43" t="s">
        <v>131</v>
      </c>
      <c r="H50" s="32" t="s">
        <v>223</v>
      </c>
      <c r="I50" s="32"/>
      <c r="J50" s="60">
        <v>614</v>
      </c>
      <c r="K50" s="60"/>
      <c r="L50" s="60"/>
      <c r="M50" s="24" t="s">
        <v>135</v>
      </c>
      <c r="N50" s="33" t="s">
        <v>611</v>
      </c>
    </row>
    <row r="51" spans="1:14" ht="30" customHeight="1" x14ac:dyDescent="0.3">
      <c r="A51" s="3">
        <v>42</v>
      </c>
      <c r="B51" s="70"/>
      <c r="C51" s="70"/>
      <c r="D51" s="8">
        <v>44861</v>
      </c>
      <c r="E51" s="8"/>
      <c r="F51" s="20" t="s">
        <v>137</v>
      </c>
      <c r="G51" s="19" t="s">
        <v>131</v>
      </c>
      <c r="H51" s="20" t="s">
        <v>224</v>
      </c>
      <c r="I51" s="20"/>
      <c r="J51" s="60">
        <v>503</v>
      </c>
      <c r="K51" s="60"/>
      <c r="L51" s="60"/>
      <c r="M51" s="24" t="s">
        <v>138</v>
      </c>
      <c r="N51" s="22" t="s">
        <v>612</v>
      </c>
    </row>
    <row r="52" spans="1:14" ht="30" customHeight="1" x14ac:dyDescent="0.3">
      <c r="A52" s="3">
        <f t="shared" ref="A52:A63" si="2">A51+1</f>
        <v>43</v>
      </c>
      <c r="B52" s="70"/>
      <c r="C52" s="70"/>
      <c r="D52" s="8">
        <v>44861</v>
      </c>
      <c r="E52" s="8"/>
      <c r="F52" s="20" t="s">
        <v>140</v>
      </c>
      <c r="G52" s="19" t="s">
        <v>131</v>
      </c>
      <c r="H52" s="20" t="s">
        <v>225</v>
      </c>
      <c r="I52" s="20"/>
      <c r="J52" s="60">
        <v>3516</v>
      </c>
      <c r="K52" s="60"/>
      <c r="L52" s="60"/>
      <c r="M52" s="24" t="s">
        <v>141</v>
      </c>
      <c r="N52" s="22" t="s">
        <v>613</v>
      </c>
    </row>
    <row r="53" spans="1:14" ht="30" customHeight="1" x14ac:dyDescent="0.3">
      <c r="A53" s="3">
        <f t="shared" si="2"/>
        <v>44</v>
      </c>
      <c r="B53" s="70"/>
      <c r="C53" s="70"/>
      <c r="D53" s="8">
        <v>44866</v>
      </c>
      <c r="E53" s="8"/>
      <c r="F53" s="20" t="s">
        <v>144</v>
      </c>
      <c r="G53" s="19" t="s">
        <v>143</v>
      </c>
      <c r="H53" s="20" t="s">
        <v>649</v>
      </c>
      <c r="I53" s="20" t="s">
        <v>322</v>
      </c>
      <c r="J53" s="60">
        <v>568</v>
      </c>
      <c r="K53" s="60"/>
      <c r="L53" s="60"/>
      <c r="M53" s="24" t="s">
        <v>145</v>
      </c>
      <c r="N53" s="22" t="s">
        <v>615</v>
      </c>
    </row>
    <row r="54" spans="1:14" ht="30" customHeight="1" x14ac:dyDescent="0.3">
      <c r="A54" s="3">
        <f t="shared" si="2"/>
        <v>45</v>
      </c>
      <c r="B54" s="70"/>
      <c r="C54" s="70"/>
      <c r="D54" s="8">
        <v>44867</v>
      </c>
      <c r="E54" s="8"/>
      <c r="F54" s="20" t="s">
        <v>148</v>
      </c>
      <c r="G54" s="19" t="s">
        <v>147</v>
      </c>
      <c r="H54" s="20" t="s">
        <v>227</v>
      </c>
      <c r="I54" s="20"/>
      <c r="J54" s="60">
        <v>2400</v>
      </c>
      <c r="K54" s="60"/>
      <c r="L54" s="60"/>
      <c r="M54" s="24" t="s">
        <v>149</v>
      </c>
      <c r="N54" s="22" t="s">
        <v>614</v>
      </c>
    </row>
    <row r="55" spans="1:14" ht="30" customHeight="1" x14ac:dyDescent="0.3">
      <c r="A55" s="3">
        <f t="shared" si="2"/>
        <v>46</v>
      </c>
      <c r="B55" s="70"/>
      <c r="C55" s="70"/>
      <c r="D55" s="8">
        <v>44868</v>
      </c>
      <c r="E55" s="8"/>
      <c r="F55" s="20" t="s">
        <v>133</v>
      </c>
      <c r="G55" s="19" t="s">
        <v>184</v>
      </c>
      <c r="H55" s="20" t="s">
        <v>226</v>
      </c>
      <c r="I55" s="20"/>
      <c r="J55" s="60">
        <v>352</v>
      </c>
      <c r="K55" s="60"/>
      <c r="L55" s="60"/>
      <c r="M55" s="24" t="s">
        <v>135</v>
      </c>
      <c r="N55" s="22" t="s">
        <v>185</v>
      </c>
    </row>
    <row r="56" spans="1:14" ht="30" customHeight="1" x14ac:dyDescent="0.3">
      <c r="A56" s="3">
        <f t="shared" si="2"/>
        <v>47</v>
      </c>
      <c r="B56" s="70"/>
      <c r="C56" s="70"/>
      <c r="D56" s="8">
        <v>44875</v>
      </c>
      <c r="E56" s="8"/>
      <c r="F56" s="20" t="s">
        <v>200</v>
      </c>
      <c r="G56" s="19" t="s">
        <v>199</v>
      </c>
      <c r="H56" s="20" t="s">
        <v>236</v>
      </c>
      <c r="I56" s="20"/>
      <c r="J56" s="60">
        <v>200</v>
      </c>
      <c r="K56" s="60"/>
      <c r="L56" s="60"/>
      <c r="M56" s="24" t="s">
        <v>201</v>
      </c>
      <c r="N56" s="22" t="s">
        <v>202</v>
      </c>
    </row>
    <row r="57" spans="1:14" ht="30" customHeight="1" x14ac:dyDescent="0.3">
      <c r="A57" s="3">
        <f t="shared" si="2"/>
        <v>48</v>
      </c>
      <c r="B57" s="70"/>
      <c r="C57" s="70"/>
      <c r="D57" s="8">
        <v>44875</v>
      </c>
      <c r="E57" s="8"/>
      <c r="F57" s="20" t="s">
        <v>152</v>
      </c>
      <c r="G57" s="19" t="s">
        <v>151</v>
      </c>
      <c r="H57" s="20" t="s">
        <v>650</v>
      </c>
      <c r="I57" s="20" t="s">
        <v>318</v>
      </c>
      <c r="J57" s="60">
        <v>1300</v>
      </c>
      <c r="K57" s="60"/>
      <c r="L57" s="60"/>
      <c r="M57" s="24" t="s">
        <v>153</v>
      </c>
      <c r="N57" s="22" t="s">
        <v>616</v>
      </c>
    </row>
    <row r="58" spans="1:14" ht="30" customHeight="1" x14ac:dyDescent="0.3">
      <c r="A58" s="3">
        <f t="shared" si="2"/>
        <v>49</v>
      </c>
      <c r="B58" s="70"/>
      <c r="C58" s="70"/>
      <c r="D58" s="8">
        <v>44876</v>
      </c>
      <c r="E58" s="8"/>
      <c r="F58" s="20" t="s">
        <v>156</v>
      </c>
      <c r="G58" s="19" t="s">
        <v>155</v>
      </c>
      <c r="H58" s="20" t="s">
        <v>229</v>
      </c>
      <c r="I58" s="20"/>
      <c r="J58" s="60">
        <v>8440</v>
      </c>
      <c r="K58" s="60"/>
      <c r="L58" s="60"/>
      <c r="M58" s="24" t="s">
        <v>157</v>
      </c>
      <c r="N58" s="22" t="s">
        <v>618</v>
      </c>
    </row>
    <row r="59" spans="1:14" ht="30" customHeight="1" x14ac:dyDescent="0.3">
      <c r="A59" s="3">
        <f t="shared" si="2"/>
        <v>50</v>
      </c>
      <c r="B59" s="70"/>
      <c r="C59" s="70"/>
      <c r="D59" s="8">
        <v>44879</v>
      </c>
      <c r="E59" s="8"/>
      <c r="F59" s="20" t="s">
        <v>191</v>
      </c>
      <c r="G59" s="19" t="s">
        <v>190</v>
      </c>
      <c r="H59" s="20" t="s">
        <v>207</v>
      </c>
      <c r="I59" s="20" t="s">
        <v>323</v>
      </c>
      <c r="J59" s="60">
        <v>64</v>
      </c>
      <c r="K59" s="60"/>
      <c r="L59" s="60"/>
      <c r="M59" s="24" t="s">
        <v>192</v>
      </c>
      <c r="N59" s="22" t="s">
        <v>283</v>
      </c>
    </row>
    <row r="60" spans="1:14" ht="30" customHeight="1" x14ac:dyDescent="0.3">
      <c r="A60" s="3">
        <f t="shared" si="2"/>
        <v>51</v>
      </c>
      <c r="B60" s="70"/>
      <c r="C60" s="70"/>
      <c r="D60" s="8">
        <v>44879</v>
      </c>
      <c r="E60" s="8"/>
      <c r="F60" s="20" t="s">
        <v>181</v>
      </c>
      <c r="G60" s="19" t="s">
        <v>190</v>
      </c>
      <c r="H60" s="20" t="s">
        <v>207</v>
      </c>
      <c r="I60" s="20" t="s">
        <v>326</v>
      </c>
      <c r="J60" s="60">
        <v>215</v>
      </c>
      <c r="K60" s="60"/>
      <c r="L60" s="60"/>
      <c r="M60" s="24" t="s">
        <v>182</v>
      </c>
      <c r="N60" s="22" t="s">
        <v>283</v>
      </c>
    </row>
    <row r="61" spans="1:14" ht="30" customHeight="1" x14ac:dyDescent="0.3">
      <c r="A61" s="3">
        <f t="shared" si="2"/>
        <v>52</v>
      </c>
      <c r="B61" s="70"/>
      <c r="C61" s="70"/>
      <c r="D61" s="8">
        <v>44880</v>
      </c>
      <c r="E61" s="8"/>
      <c r="F61" s="20" t="s">
        <v>193</v>
      </c>
      <c r="G61" s="19" t="s">
        <v>190</v>
      </c>
      <c r="H61" s="20" t="s">
        <v>207</v>
      </c>
      <c r="I61" s="20" t="s">
        <v>651</v>
      </c>
      <c r="J61" s="60">
        <v>110</v>
      </c>
      <c r="K61" s="60"/>
      <c r="L61" s="60"/>
      <c r="M61" s="24" t="s">
        <v>194</v>
      </c>
      <c r="N61" s="22" t="s">
        <v>284</v>
      </c>
    </row>
    <row r="62" spans="1:14" ht="30" customHeight="1" x14ac:dyDescent="0.3">
      <c r="A62" s="3">
        <f t="shared" si="2"/>
        <v>53</v>
      </c>
      <c r="B62" s="70"/>
      <c r="C62" s="70"/>
      <c r="D62" s="8">
        <v>44880</v>
      </c>
      <c r="E62" s="8"/>
      <c r="F62" s="20" t="s">
        <v>112</v>
      </c>
      <c r="G62" s="19" t="s">
        <v>190</v>
      </c>
      <c r="H62" s="20" t="s">
        <v>235</v>
      </c>
      <c r="I62" s="20"/>
      <c r="J62" s="60">
        <v>170</v>
      </c>
      <c r="K62" s="60"/>
      <c r="L62" s="60"/>
      <c r="M62" s="24" t="s">
        <v>113</v>
      </c>
      <c r="N62" s="22" t="s">
        <v>284</v>
      </c>
    </row>
    <row r="63" spans="1:14" ht="30" customHeight="1" x14ac:dyDescent="0.3">
      <c r="A63" s="3">
        <f t="shared" si="2"/>
        <v>54</v>
      </c>
      <c r="B63" s="70"/>
      <c r="C63" s="70"/>
      <c r="D63" s="8">
        <v>44887</v>
      </c>
      <c r="E63" s="8"/>
      <c r="F63" s="20" t="s">
        <v>187</v>
      </c>
      <c r="G63" s="19" t="s">
        <v>186</v>
      </c>
      <c r="H63" s="20" t="s">
        <v>650</v>
      </c>
      <c r="I63" s="20" t="s">
        <v>319</v>
      </c>
      <c r="J63" s="60">
        <v>2500</v>
      </c>
      <c r="K63" s="60"/>
      <c r="L63" s="60"/>
      <c r="M63" s="24" t="s">
        <v>188</v>
      </c>
      <c r="N63" s="22" t="s">
        <v>189</v>
      </c>
    </row>
    <row r="64" spans="1:14" ht="30" customHeight="1" x14ac:dyDescent="0.3">
      <c r="A64" s="3">
        <v>56</v>
      </c>
      <c r="B64" s="70"/>
      <c r="C64" s="70"/>
      <c r="D64" s="8">
        <v>44888</v>
      </c>
      <c r="E64" s="8"/>
      <c r="F64" s="20" t="s">
        <v>26</v>
      </c>
      <c r="G64" s="35" t="s">
        <v>159</v>
      </c>
      <c r="H64" s="20" t="s">
        <v>238</v>
      </c>
      <c r="I64" s="20"/>
      <c r="J64" s="189">
        <v>695</v>
      </c>
      <c r="K64" s="189"/>
      <c r="L64" s="189"/>
      <c r="M64" s="24" t="s">
        <v>245</v>
      </c>
      <c r="N64" s="22" t="s">
        <v>617</v>
      </c>
    </row>
    <row r="65" spans="1:14" ht="30" customHeight="1" x14ac:dyDescent="0.3">
      <c r="A65" s="29"/>
      <c r="B65" s="213"/>
      <c r="C65" s="213"/>
      <c r="D65" s="30">
        <v>44888</v>
      </c>
      <c r="E65" s="30"/>
      <c r="F65" s="20" t="s">
        <v>25</v>
      </c>
      <c r="G65" s="43" t="s">
        <v>159</v>
      </c>
      <c r="H65" s="32" t="s">
        <v>238</v>
      </c>
      <c r="I65" s="32"/>
      <c r="J65" s="189">
        <v>695</v>
      </c>
      <c r="K65" s="189"/>
      <c r="L65" s="189"/>
      <c r="M65" s="24" t="s">
        <v>160</v>
      </c>
      <c r="N65" s="33" t="s">
        <v>617</v>
      </c>
    </row>
    <row r="66" spans="1:14" ht="30" customHeight="1" x14ac:dyDescent="0.3">
      <c r="A66" s="29">
        <v>57</v>
      </c>
      <c r="B66" s="213"/>
      <c r="C66" s="213"/>
      <c r="D66" s="30">
        <v>44888</v>
      </c>
      <c r="E66" s="30"/>
      <c r="F66" s="20" t="s">
        <v>181</v>
      </c>
      <c r="G66" s="31" t="s">
        <v>180</v>
      </c>
      <c r="H66" s="32" t="s">
        <v>208</v>
      </c>
      <c r="I66" s="32"/>
      <c r="J66" s="60">
        <v>484</v>
      </c>
      <c r="K66" s="60"/>
      <c r="L66" s="60"/>
      <c r="M66" s="24" t="s">
        <v>182</v>
      </c>
      <c r="N66" s="33" t="s">
        <v>183</v>
      </c>
    </row>
    <row r="67" spans="1:14" ht="30" customHeight="1" x14ac:dyDescent="0.3">
      <c r="A67" s="3">
        <v>58</v>
      </c>
      <c r="B67" s="70"/>
      <c r="C67" s="70"/>
      <c r="D67" s="8">
        <v>44897</v>
      </c>
      <c r="E67" s="8"/>
      <c r="F67" s="20" t="s">
        <v>112</v>
      </c>
      <c r="G67" s="19" t="s">
        <v>162</v>
      </c>
      <c r="H67" s="20" t="s">
        <v>207</v>
      </c>
      <c r="I67" s="20" t="s">
        <v>325</v>
      </c>
      <c r="J67" s="60">
        <v>1001</v>
      </c>
      <c r="K67" s="60"/>
      <c r="L67" s="60"/>
      <c r="M67" s="24" t="s">
        <v>113</v>
      </c>
      <c r="N67" s="56" t="s">
        <v>619</v>
      </c>
    </row>
    <row r="68" spans="1:14" ht="30" customHeight="1" x14ac:dyDescent="0.3">
      <c r="A68" s="3">
        <f>A67+1</f>
        <v>59</v>
      </c>
      <c r="B68" s="70"/>
      <c r="C68" s="70"/>
      <c r="D68" s="8">
        <v>44900</v>
      </c>
      <c r="E68" s="8"/>
      <c r="F68" s="20" t="s">
        <v>11</v>
      </c>
      <c r="G68" s="19" t="s">
        <v>203</v>
      </c>
      <c r="H68" s="20" t="s">
        <v>208</v>
      </c>
      <c r="I68" s="20"/>
      <c r="J68" s="60">
        <v>270</v>
      </c>
      <c r="K68" s="60"/>
      <c r="L68" s="60"/>
      <c r="M68" s="24" t="s">
        <v>204</v>
      </c>
      <c r="N68" s="22" t="s">
        <v>14</v>
      </c>
    </row>
    <row r="69" spans="1:14" ht="30" customHeight="1" x14ac:dyDescent="0.3">
      <c r="A69" s="3">
        <f>A68+1</f>
        <v>60</v>
      </c>
      <c r="B69" s="70"/>
      <c r="C69" s="70"/>
      <c r="D69" s="8">
        <v>44901</v>
      </c>
      <c r="E69" s="8"/>
      <c r="F69" s="20" t="s">
        <v>11</v>
      </c>
      <c r="G69" s="19" t="s">
        <v>164</v>
      </c>
      <c r="H69" s="20" t="s">
        <v>208</v>
      </c>
      <c r="I69" s="20"/>
      <c r="J69" s="60">
        <v>1001</v>
      </c>
      <c r="K69" s="60"/>
      <c r="L69" s="60"/>
      <c r="M69" s="24" t="s">
        <v>165</v>
      </c>
      <c r="N69" s="56" t="s">
        <v>620</v>
      </c>
    </row>
    <row r="70" spans="1:14" ht="30" customHeight="1" x14ac:dyDescent="0.3">
      <c r="A70" s="3">
        <f>A69+1</f>
        <v>61</v>
      </c>
      <c r="B70" s="70"/>
      <c r="C70" s="70"/>
      <c r="D70" s="8">
        <v>44902</v>
      </c>
      <c r="E70" s="8"/>
      <c r="F70" s="20" t="s">
        <v>144</v>
      </c>
      <c r="G70" s="19" t="s">
        <v>167</v>
      </c>
      <c r="H70" s="20" t="s">
        <v>652</v>
      </c>
      <c r="I70" s="20" t="s">
        <v>322</v>
      </c>
      <c r="J70" s="60">
        <v>1684</v>
      </c>
      <c r="K70" s="60"/>
      <c r="L70" s="60"/>
      <c r="M70" s="24" t="s">
        <v>145</v>
      </c>
      <c r="N70" s="22" t="s">
        <v>621</v>
      </c>
    </row>
    <row r="71" spans="1:14" ht="30" customHeight="1" x14ac:dyDescent="0.3">
      <c r="A71" s="29">
        <v>63</v>
      </c>
      <c r="B71" s="213"/>
      <c r="C71" s="213"/>
      <c r="D71" s="30">
        <v>44910</v>
      </c>
      <c r="E71" s="30"/>
      <c r="F71" s="20" t="s">
        <v>26</v>
      </c>
      <c r="G71" s="31" t="s">
        <v>230</v>
      </c>
      <c r="H71" s="32" t="s">
        <v>23</v>
      </c>
      <c r="I71" s="32"/>
      <c r="J71" s="60">
        <v>383</v>
      </c>
      <c r="K71" s="60"/>
      <c r="L71" s="60"/>
      <c r="M71" s="24" t="s">
        <v>54</v>
      </c>
      <c r="N71" s="33" t="s">
        <v>179</v>
      </c>
    </row>
    <row r="72" spans="1:14" ht="30" customHeight="1" x14ac:dyDescent="0.3">
      <c r="A72" s="29">
        <v>61</v>
      </c>
      <c r="B72" s="213"/>
      <c r="C72" s="213"/>
      <c r="D72" s="30">
        <v>44910</v>
      </c>
      <c r="E72" s="30"/>
      <c r="F72" s="20" t="s">
        <v>36</v>
      </c>
      <c r="G72" s="43" t="s">
        <v>169</v>
      </c>
      <c r="H72" s="36" t="s">
        <v>242</v>
      </c>
      <c r="I72" s="36" t="s">
        <v>320</v>
      </c>
      <c r="J72" s="60">
        <v>739</v>
      </c>
      <c r="K72" s="60"/>
      <c r="L72" s="60"/>
      <c r="M72" s="24" t="s">
        <v>171</v>
      </c>
      <c r="N72" s="33" t="s">
        <v>622</v>
      </c>
    </row>
    <row r="73" spans="1:14" ht="30" customHeight="1" x14ac:dyDescent="0.3">
      <c r="A73" s="29"/>
      <c r="B73" s="213"/>
      <c r="C73" s="213"/>
      <c r="D73" s="30">
        <v>44910</v>
      </c>
      <c r="E73" s="30"/>
      <c r="F73" s="20" t="s">
        <v>170</v>
      </c>
      <c r="G73" s="43" t="s">
        <v>169</v>
      </c>
      <c r="H73" s="36" t="s">
        <v>242</v>
      </c>
      <c r="I73" s="36" t="s">
        <v>320</v>
      </c>
      <c r="J73" s="60">
        <v>739</v>
      </c>
      <c r="K73" s="60"/>
      <c r="L73" s="60"/>
      <c r="M73" s="24" t="s">
        <v>172</v>
      </c>
      <c r="N73" s="33" t="s">
        <v>622</v>
      </c>
    </row>
    <row r="74" spans="1:14" ht="30" customHeight="1" x14ac:dyDescent="0.3">
      <c r="A74" s="29">
        <v>62</v>
      </c>
      <c r="B74" s="213"/>
      <c r="C74" s="213"/>
      <c r="D74" s="30">
        <v>44910</v>
      </c>
      <c r="E74" s="30"/>
      <c r="F74" s="20" t="s">
        <v>37</v>
      </c>
      <c r="G74" s="43" t="s">
        <v>173</v>
      </c>
      <c r="H74" s="36" t="s">
        <v>242</v>
      </c>
      <c r="I74" s="36" t="s">
        <v>321</v>
      </c>
      <c r="J74" s="60">
        <v>630</v>
      </c>
      <c r="K74" s="60"/>
      <c r="L74" s="60"/>
      <c r="M74" s="24" t="s">
        <v>56</v>
      </c>
      <c r="N74" s="33" t="s">
        <v>623</v>
      </c>
    </row>
    <row r="75" spans="1:14" ht="30" customHeight="1" x14ac:dyDescent="0.3">
      <c r="A75" s="3"/>
      <c r="B75" s="70"/>
      <c r="C75" s="70"/>
      <c r="D75" s="8">
        <v>44910</v>
      </c>
      <c r="E75" s="8"/>
      <c r="F75" s="20" t="s">
        <v>174</v>
      </c>
      <c r="G75" s="35" t="s">
        <v>173</v>
      </c>
      <c r="H75" s="138" t="s">
        <v>242</v>
      </c>
      <c r="I75" s="36" t="s">
        <v>321</v>
      </c>
      <c r="J75" s="60">
        <v>630</v>
      </c>
      <c r="K75" s="60"/>
      <c r="L75" s="60"/>
      <c r="M75" s="24" t="s">
        <v>175</v>
      </c>
      <c r="N75" s="22" t="s">
        <v>623</v>
      </c>
    </row>
    <row r="76" spans="1:14" ht="30" customHeight="1" x14ac:dyDescent="0.3">
      <c r="A76" s="3">
        <v>62</v>
      </c>
      <c r="B76" s="70"/>
      <c r="C76" s="70"/>
      <c r="D76" s="8">
        <v>44910</v>
      </c>
      <c r="E76" s="8"/>
      <c r="F76" s="20" t="s">
        <v>33</v>
      </c>
      <c r="G76" s="19" t="s">
        <v>230</v>
      </c>
      <c r="H76" s="20" t="s">
        <v>207</v>
      </c>
      <c r="I76" s="36" t="s">
        <v>321</v>
      </c>
      <c r="J76" s="60">
        <v>270</v>
      </c>
      <c r="K76" s="60"/>
      <c r="L76" s="60"/>
      <c r="M76" s="24" t="s">
        <v>34</v>
      </c>
      <c r="N76" s="22" t="s">
        <v>179</v>
      </c>
    </row>
    <row r="77" spans="1:14" ht="30" customHeight="1" x14ac:dyDescent="0.3">
      <c r="A77" s="3">
        <f>A76+1</f>
        <v>63</v>
      </c>
      <c r="B77" s="70"/>
      <c r="C77" s="70"/>
      <c r="D77" s="8">
        <v>44917</v>
      </c>
      <c r="E77" s="8"/>
      <c r="F77" s="20" t="s">
        <v>25</v>
      </c>
      <c r="G77" s="19" t="s">
        <v>176</v>
      </c>
      <c r="H77" s="20" t="s">
        <v>23</v>
      </c>
      <c r="I77" s="20"/>
      <c r="J77" s="60">
        <v>354</v>
      </c>
      <c r="K77" s="60"/>
      <c r="L77" s="60"/>
      <c r="M77" s="24" t="s">
        <v>27</v>
      </c>
      <c r="N77" s="22" t="s">
        <v>178</v>
      </c>
    </row>
    <row r="78" spans="1:14" ht="30" customHeight="1" x14ac:dyDescent="0.3">
      <c r="A78" s="62">
        <f>A77+1</f>
        <v>64</v>
      </c>
      <c r="B78" s="62"/>
      <c r="C78" s="62"/>
      <c r="D78" s="30">
        <v>44923</v>
      </c>
      <c r="E78" s="30"/>
      <c r="F78" s="20" t="s">
        <v>247</v>
      </c>
      <c r="G78" s="43" t="s">
        <v>246</v>
      </c>
      <c r="H78" s="32" t="s">
        <v>253</v>
      </c>
      <c r="I78" s="32"/>
      <c r="J78" s="60">
        <v>339</v>
      </c>
      <c r="K78" s="60"/>
      <c r="L78" s="60"/>
      <c r="M78" s="24" t="s">
        <v>249</v>
      </c>
      <c r="N78" s="32" t="s">
        <v>251</v>
      </c>
    </row>
    <row r="79" spans="1:14" ht="30" customHeight="1" x14ac:dyDescent="0.3">
      <c r="A79" s="62">
        <v>65</v>
      </c>
      <c r="B79" s="62"/>
      <c r="C79" s="62"/>
      <c r="D79" s="30">
        <v>44923</v>
      </c>
      <c r="E79" s="30"/>
      <c r="F79" s="20" t="s">
        <v>248</v>
      </c>
      <c r="G79" s="43" t="s">
        <v>246</v>
      </c>
      <c r="H79" s="32" t="s">
        <v>253</v>
      </c>
      <c r="I79" s="32"/>
      <c r="J79" s="60">
        <v>339</v>
      </c>
      <c r="K79" s="60"/>
      <c r="L79" s="60"/>
      <c r="M79" s="24" t="s">
        <v>250</v>
      </c>
      <c r="N79" s="32" t="s">
        <v>251</v>
      </c>
    </row>
    <row r="80" spans="1:14" ht="30" customHeight="1" x14ac:dyDescent="0.3">
      <c r="A80" s="4">
        <f>A79+1</f>
        <v>66</v>
      </c>
      <c r="B80" s="4"/>
      <c r="C80" s="4"/>
      <c r="D80" s="8">
        <v>44958</v>
      </c>
      <c r="E80" s="8"/>
      <c r="F80" s="20" t="s">
        <v>258</v>
      </c>
      <c r="G80" s="35" t="s">
        <v>256</v>
      </c>
      <c r="H80" s="20" t="s">
        <v>257</v>
      </c>
      <c r="I80" s="20"/>
      <c r="J80" s="60">
        <v>891</v>
      </c>
      <c r="K80" s="60"/>
      <c r="L80" s="60"/>
      <c r="M80" s="24" t="s">
        <v>260</v>
      </c>
      <c r="N80" s="20" t="s">
        <v>262</v>
      </c>
    </row>
    <row r="81" spans="1:14" ht="30" customHeight="1" x14ac:dyDescent="0.3">
      <c r="A81" s="62"/>
      <c r="B81" s="62"/>
      <c r="C81" s="62"/>
      <c r="D81" s="30">
        <v>44958</v>
      </c>
      <c r="E81" s="30"/>
      <c r="F81" s="20" t="s">
        <v>259</v>
      </c>
      <c r="G81" s="43" t="s">
        <v>256</v>
      </c>
      <c r="H81" s="32" t="s">
        <v>257</v>
      </c>
      <c r="I81" s="32"/>
      <c r="J81" s="60">
        <v>891</v>
      </c>
      <c r="K81" s="60"/>
      <c r="L81" s="60"/>
      <c r="M81" s="24" t="s">
        <v>261</v>
      </c>
      <c r="N81" s="32" t="s">
        <v>262</v>
      </c>
    </row>
    <row r="82" spans="1:14" ht="30" customHeight="1" x14ac:dyDescent="0.3">
      <c r="A82" s="62">
        <f>A80+1</f>
        <v>67</v>
      </c>
      <c r="B82" s="62"/>
      <c r="C82" s="62"/>
      <c r="D82" s="30">
        <v>44960</v>
      </c>
      <c r="E82" s="30"/>
      <c r="F82" s="20" t="s">
        <v>247</v>
      </c>
      <c r="G82" s="31" t="s">
        <v>252</v>
      </c>
      <c r="H82" s="32" t="s">
        <v>253</v>
      </c>
      <c r="I82" s="32"/>
      <c r="J82" s="60">
        <v>55</v>
      </c>
      <c r="K82" s="60"/>
      <c r="L82" s="60"/>
      <c r="M82" s="24" t="s">
        <v>254</v>
      </c>
      <c r="N82" s="32" t="s">
        <v>255</v>
      </c>
    </row>
    <row r="83" spans="1:14" ht="30" customHeight="1" x14ac:dyDescent="0.3">
      <c r="A83" s="4">
        <v>68</v>
      </c>
      <c r="B83" s="4"/>
      <c r="C83" s="4"/>
      <c r="D83" s="8">
        <v>44965</v>
      </c>
      <c r="E83" s="8"/>
      <c r="F83" s="20" t="s">
        <v>122</v>
      </c>
      <c r="G83" s="19" t="s">
        <v>263</v>
      </c>
      <c r="H83" s="20" t="s">
        <v>264</v>
      </c>
      <c r="I83" s="20"/>
      <c r="J83" s="60">
        <v>7161</v>
      </c>
      <c r="K83" s="60"/>
      <c r="L83" s="60"/>
      <c r="M83" s="24" t="s">
        <v>265</v>
      </c>
      <c r="N83" s="20" t="s">
        <v>266</v>
      </c>
    </row>
    <row r="84" spans="1:14" ht="30" customHeight="1" x14ac:dyDescent="0.3">
      <c r="A84" s="4">
        <f>A83+1</f>
        <v>69</v>
      </c>
      <c r="B84" s="4"/>
      <c r="C84" s="4"/>
      <c r="D84" s="8">
        <v>44970</v>
      </c>
      <c r="E84" s="8"/>
      <c r="F84" s="20" t="s">
        <v>65</v>
      </c>
      <c r="G84" s="19" t="s">
        <v>267</v>
      </c>
      <c r="H84" s="20" t="s">
        <v>268</v>
      </c>
      <c r="I84" s="20"/>
      <c r="J84" s="60">
        <v>2993</v>
      </c>
      <c r="K84" s="60"/>
      <c r="L84" s="60"/>
      <c r="M84" s="24" t="s">
        <v>66</v>
      </c>
      <c r="N84" s="20" t="s">
        <v>269</v>
      </c>
    </row>
    <row r="85" spans="1:14" ht="30" customHeight="1" x14ac:dyDescent="0.3">
      <c r="A85" s="4">
        <f>A84+1</f>
        <v>70</v>
      </c>
      <c r="B85" s="4"/>
      <c r="C85" s="4"/>
      <c r="D85" s="8">
        <v>44971</v>
      </c>
      <c r="E85" s="8"/>
      <c r="F85" s="20" t="s">
        <v>25</v>
      </c>
      <c r="G85" s="19" t="s">
        <v>19</v>
      </c>
      <c r="H85" s="20" t="s">
        <v>23</v>
      </c>
      <c r="I85" s="20"/>
      <c r="J85" s="60">
        <v>82</v>
      </c>
      <c r="K85" s="60"/>
      <c r="L85" s="60"/>
      <c r="M85" s="24" t="s">
        <v>272</v>
      </c>
      <c r="N85" s="20" t="s">
        <v>273</v>
      </c>
    </row>
    <row r="86" spans="1:14" ht="30" customHeight="1" x14ac:dyDescent="0.3">
      <c r="A86" s="4">
        <f>A85+1</f>
        <v>71</v>
      </c>
      <c r="B86" s="4"/>
      <c r="C86" s="4"/>
      <c r="D86" s="8">
        <v>44971</v>
      </c>
      <c r="E86" s="8"/>
      <c r="F86" s="20" t="s">
        <v>122</v>
      </c>
      <c r="G86" s="19" t="s">
        <v>270</v>
      </c>
      <c r="H86" s="20" t="s">
        <v>264</v>
      </c>
      <c r="I86" s="20"/>
      <c r="J86" s="60">
        <v>7345</v>
      </c>
      <c r="K86" s="60"/>
      <c r="L86" s="60"/>
      <c r="M86" s="24" t="s">
        <v>265</v>
      </c>
      <c r="N86" s="20" t="s">
        <v>271</v>
      </c>
    </row>
    <row r="87" spans="1:14" ht="30" customHeight="1" x14ac:dyDescent="0.3">
      <c r="A87" s="4">
        <f>A86+1</f>
        <v>72</v>
      </c>
      <c r="B87" s="4"/>
      <c r="C87" s="4"/>
      <c r="D87" s="8">
        <v>44973</v>
      </c>
      <c r="E87" s="8"/>
      <c r="F87" s="20" t="s">
        <v>25</v>
      </c>
      <c r="G87" s="35" t="s">
        <v>275</v>
      </c>
      <c r="H87" s="20" t="s">
        <v>23</v>
      </c>
      <c r="I87" s="20"/>
      <c r="J87" s="60">
        <v>1806</v>
      </c>
      <c r="K87" s="60">
        <v>1228</v>
      </c>
      <c r="L87" s="60"/>
      <c r="M87" s="24" t="s">
        <v>272</v>
      </c>
      <c r="N87" s="20" t="s">
        <v>274</v>
      </c>
    </row>
    <row r="88" spans="1:14" ht="30" customHeight="1" x14ac:dyDescent="0.3">
      <c r="A88" s="4"/>
      <c r="B88" s="4"/>
      <c r="C88" s="4"/>
      <c r="D88" s="8">
        <v>44973</v>
      </c>
      <c r="E88" s="8"/>
      <c r="F88" s="20" t="s">
        <v>26</v>
      </c>
      <c r="G88" s="35" t="s">
        <v>275</v>
      </c>
      <c r="H88" s="65" t="s">
        <v>23</v>
      </c>
      <c r="I88" s="65"/>
      <c r="J88" s="59">
        <v>1806</v>
      </c>
      <c r="K88" s="59">
        <v>578</v>
      </c>
      <c r="L88" s="59"/>
      <c r="M88" s="17" t="s">
        <v>276</v>
      </c>
      <c r="N88" s="20" t="s">
        <v>274</v>
      </c>
    </row>
    <row r="89" spans="1:14" ht="30" customHeight="1" x14ac:dyDescent="0.3">
      <c r="A89" s="4">
        <v>73</v>
      </c>
      <c r="B89" s="293"/>
      <c r="C89" s="293"/>
      <c r="D89" s="7">
        <v>44978</v>
      </c>
      <c r="E89" s="7"/>
      <c r="F89" s="20" t="s">
        <v>335</v>
      </c>
      <c r="G89" s="15" t="s">
        <v>334</v>
      </c>
      <c r="H89" s="32" t="s">
        <v>207</v>
      </c>
      <c r="I89" s="32" t="s">
        <v>324</v>
      </c>
      <c r="J89" s="60">
        <v>359</v>
      </c>
      <c r="K89" s="60"/>
      <c r="L89" s="60"/>
      <c r="M89" s="24" t="s">
        <v>337</v>
      </c>
      <c r="N89" s="16" t="s">
        <v>338</v>
      </c>
    </row>
    <row r="90" spans="1:14" ht="30" customHeight="1" x14ac:dyDescent="0.3">
      <c r="A90" s="4">
        <f t="shared" ref="A90:A109" si="3">A89+1</f>
        <v>74</v>
      </c>
      <c r="B90" s="4"/>
      <c r="C90" s="4"/>
      <c r="D90" s="8">
        <v>44978</v>
      </c>
      <c r="E90" s="8"/>
      <c r="F90" s="20" t="s">
        <v>11</v>
      </c>
      <c r="G90" s="19" t="s">
        <v>275</v>
      </c>
      <c r="H90" s="20" t="s">
        <v>288</v>
      </c>
      <c r="I90" s="20"/>
      <c r="J90" s="60">
        <v>1544</v>
      </c>
      <c r="K90" s="60"/>
      <c r="L90" s="60"/>
      <c r="M90" s="24" t="s">
        <v>291</v>
      </c>
      <c r="N90" s="20" t="s">
        <v>340</v>
      </c>
    </row>
    <row r="91" spans="1:14" ht="30" customHeight="1" x14ac:dyDescent="0.3">
      <c r="A91" s="4">
        <f t="shared" si="3"/>
        <v>75</v>
      </c>
      <c r="B91" s="4"/>
      <c r="C91" s="4"/>
      <c r="D91" s="8">
        <v>44980</v>
      </c>
      <c r="E91" s="8"/>
      <c r="F91" s="20" t="s">
        <v>26</v>
      </c>
      <c r="G91" s="19" t="s">
        <v>277</v>
      </c>
      <c r="H91" s="20" t="s">
        <v>23</v>
      </c>
      <c r="I91" s="20"/>
      <c r="J91" s="60">
        <v>783</v>
      </c>
      <c r="K91" s="60"/>
      <c r="L91" s="60"/>
      <c r="M91" s="24" t="s">
        <v>276</v>
      </c>
      <c r="N91" s="20" t="s">
        <v>278</v>
      </c>
    </row>
    <row r="92" spans="1:14" ht="30" customHeight="1" x14ac:dyDescent="0.3">
      <c r="A92" s="4">
        <f t="shared" si="3"/>
        <v>76</v>
      </c>
      <c r="B92" s="4"/>
      <c r="C92" s="4"/>
      <c r="D92" s="8">
        <v>44981</v>
      </c>
      <c r="E92" s="8"/>
      <c r="F92" s="20" t="s">
        <v>181</v>
      </c>
      <c r="G92" s="19" t="s">
        <v>287</v>
      </c>
      <c r="H92" s="20" t="s">
        <v>288</v>
      </c>
      <c r="I92" s="20"/>
      <c r="J92" s="60">
        <v>516</v>
      </c>
      <c r="K92" s="60"/>
      <c r="L92" s="60"/>
      <c r="M92" s="24" t="s">
        <v>289</v>
      </c>
      <c r="N92" s="20" t="s">
        <v>290</v>
      </c>
    </row>
    <row r="93" spans="1:14" ht="30" customHeight="1" x14ac:dyDescent="0.3">
      <c r="A93" s="4">
        <f t="shared" si="3"/>
        <v>77</v>
      </c>
      <c r="B93" s="4"/>
      <c r="C93" s="4"/>
      <c r="D93" s="8">
        <v>44985</v>
      </c>
      <c r="E93" s="8"/>
      <c r="F93" s="20" t="s">
        <v>11</v>
      </c>
      <c r="G93" s="19" t="s">
        <v>277</v>
      </c>
      <c r="H93" s="20" t="s">
        <v>288</v>
      </c>
      <c r="I93" s="20"/>
      <c r="J93" s="60">
        <v>720</v>
      </c>
      <c r="K93" s="60"/>
      <c r="L93" s="60"/>
      <c r="M93" s="24" t="s">
        <v>291</v>
      </c>
      <c r="N93" s="20" t="s">
        <v>292</v>
      </c>
    </row>
    <row r="94" spans="1:14" ht="30" customHeight="1" x14ac:dyDescent="0.3">
      <c r="A94" s="4">
        <f t="shared" si="3"/>
        <v>78</v>
      </c>
      <c r="B94" s="4"/>
      <c r="C94" s="4"/>
      <c r="D94" s="8">
        <v>44987</v>
      </c>
      <c r="E94" s="8"/>
      <c r="F94" s="20" t="s">
        <v>344</v>
      </c>
      <c r="G94" s="19" t="s">
        <v>342</v>
      </c>
      <c r="H94" s="20" t="s">
        <v>343</v>
      </c>
      <c r="I94" s="20"/>
      <c r="J94" s="60">
        <v>289</v>
      </c>
      <c r="K94" s="60"/>
      <c r="L94" s="60"/>
      <c r="M94" s="24" t="s">
        <v>345</v>
      </c>
      <c r="N94" s="20" t="s">
        <v>346</v>
      </c>
    </row>
    <row r="95" spans="1:14" ht="30" customHeight="1" x14ac:dyDescent="0.3">
      <c r="A95" s="4">
        <f t="shared" si="3"/>
        <v>79</v>
      </c>
      <c r="B95" s="4"/>
      <c r="C95" s="4"/>
      <c r="D95" s="8">
        <v>44988</v>
      </c>
      <c r="E95" s="8"/>
      <c r="F95" s="20" t="s">
        <v>349</v>
      </c>
      <c r="G95" s="19" t="s">
        <v>348</v>
      </c>
      <c r="H95" s="20" t="s">
        <v>288</v>
      </c>
      <c r="I95" s="20"/>
      <c r="J95" s="60">
        <v>544</v>
      </c>
      <c r="K95" s="60"/>
      <c r="L95" s="60"/>
      <c r="M95" s="24" t="s">
        <v>291</v>
      </c>
      <c r="N95" s="20" t="s">
        <v>350</v>
      </c>
    </row>
    <row r="96" spans="1:14" ht="30" customHeight="1" x14ac:dyDescent="0.3">
      <c r="A96" s="4">
        <f t="shared" si="3"/>
        <v>80</v>
      </c>
      <c r="B96" s="4"/>
      <c r="C96" s="4"/>
      <c r="D96" s="8">
        <v>44991</v>
      </c>
      <c r="E96" s="8"/>
      <c r="F96" s="20" t="s">
        <v>25</v>
      </c>
      <c r="G96" s="19" t="s">
        <v>352</v>
      </c>
      <c r="H96" s="20" t="s">
        <v>23</v>
      </c>
      <c r="I96" s="20"/>
      <c r="J96" s="60">
        <v>122</v>
      </c>
      <c r="K96" s="60"/>
      <c r="L96" s="60"/>
      <c r="M96" s="24" t="s">
        <v>272</v>
      </c>
      <c r="N96" s="20" t="s">
        <v>353</v>
      </c>
    </row>
    <row r="97" spans="1:14" ht="30" customHeight="1" x14ac:dyDescent="0.3">
      <c r="A97" s="4">
        <f t="shared" si="3"/>
        <v>81</v>
      </c>
      <c r="B97" s="4"/>
      <c r="C97" s="4"/>
      <c r="D97" s="8">
        <v>44992</v>
      </c>
      <c r="E97" s="8"/>
      <c r="F97" s="20" t="s">
        <v>33</v>
      </c>
      <c r="G97" s="19" t="s">
        <v>357</v>
      </c>
      <c r="H97" s="20" t="s">
        <v>358</v>
      </c>
      <c r="I97" s="20"/>
      <c r="J97" s="60">
        <v>274</v>
      </c>
      <c r="K97" s="60"/>
      <c r="L97" s="60"/>
      <c r="M97" s="24" t="s">
        <v>359</v>
      </c>
      <c r="N97" s="20" t="s">
        <v>360</v>
      </c>
    </row>
    <row r="98" spans="1:14" ht="30" customHeight="1" x14ac:dyDescent="0.3">
      <c r="A98" s="4">
        <f t="shared" si="3"/>
        <v>82</v>
      </c>
      <c r="B98" s="4"/>
      <c r="C98" s="4"/>
      <c r="D98" s="8">
        <v>44993</v>
      </c>
      <c r="E98" s="8"/>
      <c r="F98" s="20" t="s">
        <v>25</v>
      </c>
      <c r="G98" s="19" t="s">
        <v>287</v>
      </c>
      <c r="H98" s="20" t="s">
        <v>23</v>
      </c>
      <c r="I98" s="20"/>
      <c r="J98" s="60">
        <v>985</v>
      </c>
      <c r="K98" s="60"/>
      <c r="L98" s="60"/>
      <c r="M98" s="24" t="s">
        <v>272</v>
      </c>
      <c r="N98" s="20" t="s">
        <v>356</v>
      </c>
    </row>
    <row r="99" spans="1:14" ht="30" customHeight="1" x14ac:dyDescent="0.3">
      <c r="A99" s="4">
        <f t="shared" si="3"/>
        <v>83</v>
      </c>
      <c r="B99" s="4"/>
      <c r="C99" s="4"/>
      <c r="D99" s="8">
        <v>44994</v>
      </c>
      <c r="E99" s="8"/>
      <c r="F99" s="20" t="s">
        <v>200</v>
      </c>
      <c r="G99" s="19" t="s">
        <v>365</v>
      </c>
      <c r="H99" s="20" t="s">
        <v>236</v>
      </c>
      <c r="I99" s="20"/>
      <c r="J99" s="60">
        <v>320</v>
      </c>
      <c r="K99" s="60"/>
      <c r="L99" s="60"/>
      <c r="M99" s="24" t="s">
        <v>368</v>
      </c>
      <c r="N99" s="20" t="s">
        <v>367</v>
      </c>
    </row>
    <row r="100" spans="1:14" ht="30" customHeight="1" x14ac:dyDescent="0.3">
      <c r="A100" s="4">
        <f t="shared" si="3"/>
        <v>84</v>
      </c>
      <c r="B100" s="4"/>
      <c r="C100" s="4"/>
      <c r="D100" s="8">
        <v>44994</v>
      </c>
      <c r="E100" s="8"/>
      <c r="F100" s="20" t="s">
        <v>366</v>
      </c>
      <c r="G100" s="19" t="s">
        <v>365</v>
      </c>
      <c r="H100" s="20" t="s">
        <v>328</v>
      </c>
      <c r="I100" s="20"/>
      <c r="J100" s="60">
        <v>396</v>
      </c>
      <c r="K100" s="60"/>
      <c r="L100" s="60"/>
      <c r="M100" s="24" t="s">
        <v>76</v>
      </c>
      <c r="N100" s="20" t="s">
        <v>367</v>
      </c>
    </row>
    <row r="101" spans="1:14" ht="30" customHeight="1" x14ac:dyDescent="0.3">
      <c r="A101" s="4">
        <f t="shared" si="3"/>
        <v>85</v>
      </c>
      <c r="B101" s="4"/>
      <c r="C101" s="4"/>
      <c r="D101" s="8">
        <v>44994</v>
      </c>
      <c r="E101" s="8"/>
      <c r="F101" s="20" t="s">
        <v>370</v>
      </c>
      <c r="G101" s="19" t="s">
        <v>365</v>
      </c>
      <c r="H101" s="20" t="s">
        <v>253</v>
      </c>
      <c r="I101" s="20" t="s">
        <v>371</v>
      </c>
      <c r="J101" s="60">
        <v>75</v>
      </c>
      <c r="K101" s="60"/>
      <c r="L101" s="60"/>
      <c r="M101" s="24" t="s">
        <v>254</v>
      </c>
      <c r="N101" s="20" t="s">
        <v>367</v>
      </c>
    </row>
    <row r="102" spans="1:14" ht="30" customHeight="1" x14ac:dyDescent="0.3">
      <c r="A102" s="4">
        <f t="shared" si="3"/>
        <v>86</v>
      </c>
      <c r="B102" s="4"/>
      <c r="C102" s="4"/>
      <c r="D102" s="8">
        <v>44994</v>
      </c>
      <c r="E102" s="8"/>
      <c r="F102" s="20" t="s">
        <v>349</v>
      </c>
      <c r="G102" s="19" t="s">
        <v>362</v>
      </c>
      <c r="H102" s="20" t="s">
        <v>288</v>
      </c>
      <c r="I102" s="20"/>
      <c r="J102" s="60">
        <v>289</v>
      </c>
      <c r="K102" s="60"/>
      <c r="L102" s="60"/>
      <c r="M102" s="24" t="s">
        <v>291</v>
      </c>
      <c r="N102" s="20" t="s">
        <v>364</v>
      </c>
    </row>
    <row r="103" spans="1:14" ht="30" customHeight="1" x14ac:dyDescent="0.3">
      <c r="A103" s="4">
        <f t="shared" si="3"/>
        <v>87</v>
      </c>
      <c r="B103" s="4"/>
      <c r="C103" s="4"/>
      <c r="D103" s="8">
        <v>44995</v>
      </c>
      <c r="E103" s="8"/>
      <c r="F103" s="20" t="s">
        <v>366</v>
      </c>
      <c r="G103" s="19" t="s">
        <v>372</v>
      </c>
      <c r="H103" s="20" t="s">
        <v>236</v>
      </c>
      <c r="I103" s="20"/>
      <c r="J103" s="60">
        <v>340</v>
      </c>
      <c r="K103" s="60"/>
      <c r="L103" s="60"/>
      <c r="M103" s="24" t="s">
        <v>105</v>
      </c>
      <c r="N103" s="20" t="s">
        <v>373</v>
      </c>
    </row>
    <row r="104" spans="1:14" ht="30" customHeight="1" x14ac:dyDescent="0.3">
      <c r="A104" s="4">
        <f t="shared" si="3"/>
        <v>88</v>
      </c>
      <c r="B104" s="4"/>
      <c r="C104" s="4"/>
      <c r="D104" s="8">
        <v>44995</v>
      </c>
      <c r="E104" s="8"/>
      <c r="F104" s="20" t="s">
        <v>366</v>
      </c>
      <c r="G104" s="19" t="s">
        <v>372</v>
      </c>
      <c r="H104" s="20" t="s">
        <v>328</v>
      </c>
      <c r="I104" s="20"/>
      <c r="J104" s="60">
        <v>219</v>
      </c>
      <c r="K104" s="60"/>
      <c r="L104" s="60"/>
      <c r="M104" s="24" t="s">
        <v>76</v>
      </c>
      <c r="N104" s="20" t="s">
        <v>373</v>
      </c>
    </row>
    <row r="105" spans="1:14" ht="30" customHeight="1" x14ac:dyDescent="0.3">
      <c r="A105" s="4">
        <f t="shared" si="3"/>
        <v>89</v>
      </c>
      <c r="B105" s="4"/>
      <c r="C105" s="4"/>
      <c r="D105" s="8">
        <v>44998</v>
      </c>
      <c r="E105" s="8"/>
      <c r="F105" s="20" t="s">
        <v>375</v>
      </c>
      <c r="G105" s="19" t="s">
        <v>374</v>
      </c>
      <c r="H105" s="20" t="s">
        <v>328</v>
      </c>
      <c r="I105" s="20"/>
      <c r="J105" s="60">
        <v>264</v>
      </c>
      <c r="K105" s="60"/>
      <c r="L105" s="60"/>
      <c r="M105" s="24" t="s">
        <v>376</v>
      </c>
      <c r="N105" s="20" t="s">
        <v>377</v>
      </c>
    </row>
    <row r="106" spans="1:14" ht="30" customHeight="1" x14ac:dyDescent="0.3">
      <c r="A106" s="4">
        <f t="shared" si="3"/>
        <v>90</v>
      </c>
      <c r="B106" s="4"/>
      <c r="C106" s="4"/>
      <c r="D106" s="8">
        <v>44999</v>
      </c>
      <c r="E106" s="8"/>
      <c r="F106" s="20" t="s">
        <v>366</v>
      </c>
      <c r="G106" s="19" t="s">
        <v>379</v>
      </c>
      <c r="H106" s="20" t="s">
        <v>236</v>
      </c>
      <c r="I106" s="20"/>
      <c r="J106" s="60">
        <v>260</v>
      </c>
      <c r="K106" s="60"/>
      <c r="L106" s="60"/>
      <c r="M106" s="24" t="s">
        <v>105</v>
      </c>
      <c r="N106" s="20" t="s">
        <v>377</v>
      </c>
    </row>
    <row r="107" spans="1:14" ht="30" customHeight="1" x14ac:dyDescent="0.3">
      <c r="A107" s="4">
        <f t="shared" si="3"/>
        <v>91</v>
      </c>
      <c r="B107" s="4"/>
      <c r="C107" s="4"/>
      <c r="D107" s="8">
        <v>44999</v>
      </c>
      <c r="E107" s="8"/>
      <c r="F107" s="20" t="s">
        <v>366</v>
      </c>
      <c r="G107" s="19" t="s">
        <v>381</v>
      </c>
      <c r="H107" s="20" t="s">
        <v>236</v>
      </c>
      <c r="I107" s="20"/>
      <c r="J107" s="60">
        <v>75</v>
      </c>
      <c r="K107" s="60"/>
      <c r="L107" s="60"/>
      <c r="M107" s="24" t="s">
        <v>105</v>
      </c>
      <c r="N107" s="20" t="s">
        <v>380</v>
      </c>
    </row>
    <row r="108" spans="1:14" ht="30" customHeight="1" x14ac:dyDescent="0.3">
      <c r="A108" s="4">
        <f t="shared" si="3"/>
        <v>92</v>
      </c>
      <c r="B108" s="4"/>
      <c r="C108" s="4"/>
      <c r="D108" s="8">
        <v>44999</v>
      </c>
      <c r="E108" s="8"/>
      <c r="F108" s="20" t="s">
        <v>366</v>
      </c>
      <c r="G108" s="19" t="s">
        <v>379</v>
      </c>
      <c r="H108" s="20" t="s">
        <v>328</v>
      </c>
      <c r="I108" s="20"/>
      <c r="J108" s="60">
        <v>132</v>
      </c>
      <c r="K108" s="60"/>
      <c r="L108" s="60"/>
      <c r="M108" s="24" t="s">
        <v>76</v>
      </c>
      <c r="N108" s="20" t="s">
        <v>380</v>
      </c>
    </row>
    <row r="109" spans="1:14" ht="30" customHeight="1" x14ac:dyDescent="0.3">
      <c r="A109" s="4">
        <f t="shared" si="3"/>
        <v>93</v>
      </c>
      <c r="B109" s="62"/>
      <c r="C109" s="62"/>
      <c r="D109" s="30">
        <v>45006</v>
      </c>
      <c r="E109" s="30"/>
      <c r="F109" s="20" t="s">
        <v>25</v>
      </c>
      <c r="G109" s="19" t="s">
        <v>382</v>
      </c>
      <c r="H109" s="20" t="s">
        <v>23</v>
      </c>
      <c r="I109" s="20"/>
      <c r="J109" s="60">
        <v>1339</v>
      </c>
      <c r="K109" s="60">
        <v>1031</v>
      </c>
      <c r="L109" s="60"/>
      <c r="M109" s="24" t="s">
        <v>272</v>
      </c>
      <c r="N109" s="20" t="s">
        <v>383</v>
      </c>
    </row>
    <row r="110" spans="1:14" ht="30" customHeight="1" x14ac:dyDescent="0.3">
      <c r="A110" s="62"/>
      <c r="B110" s="62"/>
      <c r="C110" s="62"/>
      <c r="D110" s="30">
        <v>45006</v>
      </c>
      <c r="E110" s="30"/>
      <c r="F110" s="20" t="s">
        <v>26</v>
      </c>
      <c r="G110" s="19" t="s">
        <v>382</v>
      </c>
      <c r="H110" s="20" t="s">
        <v>23</v>
      </c>
      <c r="I110" s="20"/>
      <c r="J110" s="60">
        <v>1339</v>
      </c>
      <c r="K110" s="60">
        <v>308</v>
      </c>
      <c r="L110" s="60"/>
      <c r="M110" s="24" t="s">
        <v>276</v>
      </c>
      <c r="N110" s="20" t="s">
        <v>383</v>
      </c>
    </row>
    <row r="111" spans="1:14" ht="30" customHeight="1" x14ac:dyDescent="0.3">
      <c r="A111" s="4">
        <v>94</v>
      </c>
      <c r="B111" s="4"/>
      <c r="C111" s="4"/>
      <c r="D111" s="8">
        <v>45007</v>
      </c>
      <c r="E111" s="8"/>
      <c r="F111" s="20" t="s">
        <v>193</v>
      </c>
      <c r="G111" s="19" t="s">
        <v>384</v>
      </c>
      <c r="H111" s="20" t="s">
        <v>358</v>
      </c>
      <c r="I111" s="20"/>
      <c r="J111" s="60">
        <v>315</v>
      </c>
      <c r="K111" s="60"/>
      <c r="L111" s="60"/>
      <c r="M111" s="24" t="s">
        <v>194</v>
      </c>
      <c r="N111" s="20" t="s">
        <v>385</v>
      </c>
    </row>
    <row r="112" spans="1:14" ht="30" customHeight="1" x14ac:dyDescent="0.3">
      <c r="A112" s="4">
        <f>A111+1</f>
        <v>95</v>
      </c>
      <c r="B112" s="4"/>
      <c r="C112" s="4"/>
      <c r="D112" s="8">
        <v>45007</v>
      </c>
      <c r="E112" s="8"/>
      <c r="F112" s="20" t="s">
        <v>387</v>
      </c>
      <c r="G112" s="19" t="s">
        <v>386</v>
      </c>
      <c r="H112" s="20" t="s">
        <v>358</v>
      </c>
      <c r="I112" s="20"/>
      <c r="J112" s="60">
        <v>400</v>
      </c>
      <c r="K112" s="60"/>
      <c r="L112" s="60"/>
      <c r="M112" s="24" t="s">
        <v>388</v>
      </c>
      <c r="N112" s="20" t="s">
        <v>389</v>
      </c>
    </row>
    <row r="113" spans="1:14" ht="30" customHeight="1" x14ac:dyDescent="0.3">
      <c r="A113" s="4">
        <f>A112+1</f>
        <v>96</v>
      </c>
      <c r="B113" s="4"/>
      <c r="C113" s="4"/>
      <c r="D113" s="8">
        <v>45008</v>
      </c>
      <c r="E113" s="8"/>
      <c r="F113" s="20" t="s">
        <v>181</v>
      </c>
      <c r="G113" s="19" t="s">
        <v>382</v>
      </c>
      <c r="H113" s="20" t="s">
        <v>288</v>
      </c>
      <c r="I113" s="20"/>
      <c r="J113" s="60">
        <v>1895</v>
      </c>
      <c r="K113" s="60"/>
      <c r="L113" s="60"/>
      <c r="M113" s="24" t="s">
        <v>289</v>
      </c>
      <c r="N113" s="20" t="s">
        <v>390</v>
      </c>
    </row>
    <row r="114" spans="1:14" ht="30" customHeight="1" x14ac:dyDescent="0.3">
      <c r="A114" s="4">
        <f>A113+1</f>
        <v>97</v>
      </c>
      <c r="B114" s="62"/>
      <c r="C114" s="62"/>
      <c r="D114" s="30">
        <v>45029</v>
      </c>
      <c r="E114" s="30"/>
      <c r="F114" s="20" t="s">
        <v>25</v>
      </c>
      <c r="G114" s="19" t="s">
        <v>391</v>
      </c>
      <c r="H114" s="20" t="s">
        <v>23</v>
      </c>
      <c r="I114" s="20"/>
      <c r="J114" s="60">
        <v>1314</v>
      </c>
      <c r="K114" s="60">
        <v>900</v>
      </c>
      <c r="L114" s="60"/>
      <c r="M114" s="24" t="s">
        <v>394</v>
      </c>
      <c r="N114" s="32" t="s">
        <v>396</v>
      </c>
    </row>
    <row r="115" spans="1:14" ht="30" customHeight="1" x14ac:dyDescent="0.3">
      <c r="A115" s="4"/>
      <c r="B115" s="62"/>
      <c r="C115" s="62"/>
      <c r="D115" s="30">
        <v>45029</v>
      </c>
      <c r="E115" s="30"/>
      <c r="F115" s="20" t="s">
        <v>393</v>
      </c>
      <c r="G115" s="19" t="s">
        <v>391</v>
      </c>
      <c r="H115" s="20" t="s">
        <v>107</v>
      </c>
      <c r="I115" s="20"/>
      <c r="J115" s="60">
        <v>1314</v>
      </c>
      <c r="K115" s="60">
        <v>414</v>
      </c>
      <c r="L115" s="60"/>
      <c r="M115" s="24" t="s">
        <v>395</v>
      </c>
      <c r="N115" s="32" t="s">
        <v>396</v>
      </c>
    </row>
    <row r="116" spans="1:14" ht="30" customHeight="1" x14ac:dyDescent="0.3">
      <c r="A116" s="4">
        <v>98</v>
      </c>
      <c r="B116" s="4"/>
      <c r="C116" s="4"/>
      <c r="D116" s="8">
        <v>45036</v>
      </c>
      <c r="E116" s="8"/>
      <c r="F116" s="20" t="s">
        <v>33</v>
      </c>
      <c r="G116" s="19" t="s">
        <v>397</v>
      </c>
      <c r="H116" s="20" t="s">
        <v>207</v>
      </c>
      <c r="I116" s="20" t="s">
        <v>324</v>
      </c>
      <c r="J116" s="60">
        <v>133</v>
      </c>
      <c r="K116" s="60"/>
      <c r="L116" s="60"/>
      <c r="M116" s="24" t="s">
        <v>34</v>
      </c>
      <c r="N116" s="20" t="s">
        <v>398</v>
      </c>
    </row>
    <row r="117" spans="1:14" ht="30" customHeight="1" x14ac:dyDescent="0.3">
      <c r="A117" s="4">
        <f t="shared" ref="A117:A140" si="4">A116+1</f>
        <v>99</v>
      </c>
      <c r="B117" s="4"/>
      <c r="C117" s="4"/>
      <c r="D117" s="8">
        <v>45041</v>
      </c>
      <c r="E117" s="8"/>
      <c r="F117" s="20" t="s">
        <v>400</v>
      </c>
      <c r="G117" s="19" t="s">
        <v>399</v>
      </c>
      <c r="H117" s="20" t="s">
        <v>207</v>
      </c>
      <c r="I117" s="20" t="s">
        <v>434</v>
      </c>
      <c r="J117" s="60">
        <v>479</v>
      </c>
      <c r="K117" s="60"/>
      <c r="L117" s="60"/>
      <c r="M117" s="21" t="s">
        <v>401</v>
      </c>
      <c r="N117" s="20" t="s">
        <v>402</v>
      </c>
    </row>
    <row r="118" spans="1:14" ht="30" customHeight="1" x14ac:dyDescent="0.3">
      <c r="A118" s="4">
        <f t="shared" si="4"/>
        <v>100</v>
      </c>
      <c r="B118" s="4"/>
      <c r="C118" s="4"/>
      <c r="D118" s="8">
        <v>45042</v>
      </c>
      <c r="E118" s="8"/>
      <c r="F118" s="20" t="s">
        <v>144</v>
      </c>
      <c r="G118" s="19" t="s">
        <v>362</v>
      </c>
      <c r="H118" s="20" t="s">
        <v>405</v>
      </c>
      <c r="I118" s="20"/>
      <c r="J118" s="60">
        <v>289</v>
      </c>
      <c r="K118" s="60"/>
      <c r="L118" s="60"/>
      <c r="M118" s="24" t="s">
        <v>145</v>
      </c>
      <c r="N118" s="44" t="s">
        <v>406</v>
      </c>
    </row>
    <row r="119" spans="1:14" ht="30" customHeight="1" x14ac:dyDescent="0.3">
      <c r="A119" s="4">
        <f t="shared" si="4"/>
        <v>101</v>
      </c>
      <c r="B119" s="4"/>
      <c r="C119" s="4"/>
      <c r="D119" s="8">
        <v>45042</v>
      </c>
      <c r="E119" s="8"/>
      <c r="F119" s="20" t="s">
        <v>409</v>
      </c>
      <c r="G119" s="19" t="s">
        <v>372</v>
      </c>
      <c r="H119" s="20" t="s">
        <v>253</v>
      </c>
      <c r="I119" s="20"/>
      <c r="J119" s="60">
        <v>219</v>
      </c>
      <c r="K119" s="60"/>
      <c r="L119" s="60"/>
      <c r="M119" s="24" t="s">
        <v>410</v>
      </c>
      <c r="N119" s="20" t="s">
        <v>411</v>
      </c>
    </row>
    <row r="120" spans="1:14" ht="30" customHeight="1" x14ac:dyDescent="0.3">
      <c r="A120" s="4">
        <f t="shared" si="4"/>
        <v>102</v>
      </c>
      <c r="B120" s="4"/>
      <c r="C120" s="4"/>
      <c r="D120" s="8">
        <v>45042</v>
      </c>
      <c r="E120" s="8"/>
      <c r="F120" s="20" t="s">
        <v>409</v>
      </c>
      <c r="G120" s="19" t="s">
        <v>379</v>
      </c>
      <c r="H120" s="20" t="s">
        <v>253</v>
      </c>
      <c r="I120" s="20"/>
      <c r="J120" s="60">
        <v>300</v>
      </c>
      <c r="K120" s="60"/>
      <c r="L120" s="60"/>
      <c r="M120" s="24" t="s">
        <v>410</v>
      </c>
      <c r="N120" s="20" t="s">
        <v>411</v>
      </c>
    </row>
    <row r="121" spans="1:14" ht="30" customHeight="1" x14ac:dyDescent="0.3">
      <c r="A121" s="4">
        <f t="shared" si="4"/>
        <v>103</v>
      </c>
      <c r="B121" s="4"/>
      <c r="C121" s="4"/>
      <c r="D121" s="8">
        <v>45048</v>
      </c>
      <c r="E121" s="8"/>
      <c r="F121" s="20" t="s">
        <v>193</v>
      </c>
      <c r="G121" s="19" t="s">
        <v>403</v>
      </c>
      <c r="H121" s="20" t="s">
        <v>207</v>
      </c>
      <c r="I121" s="20" t="s">
        <v>324</v>
      </c>
      <c r="J121" s="60">
        <v>271</v>
      </c>
      <c r="K121" s="60"/>
      <c r="L121" s="60"/>
      <c r="M121" s="24" t="s">
        <v>194</v>
      </c>
      <c r="N121" s="20" t="s">
        <v>404</v>
      </c>
    </row>
    <row r="122" spans="1:14" ht="30" customHeight="1" x14ac:dyDescent="0.3">
      <c r="A122" s="4">
        <f t="shared" si="4"/>
        <v>104</v>
      </c>
      <c r="B122" s="4"/>
      <c r="C122" s="4"/>
      <c r="D122" s="8">
        <v>45058</v>
      </c>
      <c r="E122" s="8"/>
      <c r="F122" s="20" t="s">
        <v>413</v>
      </c>
      <c r="G122" s="19" t="s">
        <v>412</v>
      </c>
      <c r="H122" s="20" t="s">
        <v>207</v>
      </c>
      <c r="I122" s="20" t="s">
        <v>323</v>
      </c>
      <c r="J122" s="60">
        <v>986</v>
      </c>
      <c r="K122" s="60"/>
      <c r="L122" s="60"/>
      <c r="M122" s="24" t="s">
        <v>414</v>
      </c>
      <c r="N122" s="20" t="s">
        <v>415</v>
      </c>
    </row>
    <row r="123" spans="1:14" ht="30" customHeight="1" x14ac:dyDescent="0.3">
      <c r="A123" s="4">
        <f t="shared" si="4"/>
        <v>105</v>
      </c>
      <c r="B123" s="4"/>
      <c r="C123" s="4"/>
      <c r="D123" s="8">
        <v>45062</v>
      </c>
      <c r="E123" s="8"/>
      <c r="F123" s="20" t="s">
        <v>419</v>
      </c>
      <c r="G123" s="19" t="s">
        <v>418</v>
      </c>
      <c r="H123" s="20" t="s">
        <v>107</v>
      </c>
      <c r="I123" s="20"/>
      <c r="J123" s="60">
        <v>129</v>
      </c>
      <c r="K123" s="60"/>
      <c r="L123" s="60"/>
      <c r="M123" s="24" t="s">
        <v>420</v>
      </c>
      <c r="N123" s="45" t="s">
        <v>421</v>
      </c>
    </row>
    <row r="124" spans="1:14" ht="30" customHeight="1" x14ac:dyDescent="0.3">
      <c r="A124" s="4">
        <f t="shared" si="4"/>
        <v>106</v>
      </c>
      <c r="B124" s="4"/>
      <c r="C124" s="4"/>
      <c r="D124" s="8">
        <v>45062</v>
      </c>
      <c r="E124" s="8"/>
      <c r="F124" s="20" t="s">
        <v>387</v>
      </c>
      <c r="G124" s="19" t="s">
        <v>416</v>
      </c>
      <c r="H124" s="20" t="s">
        <v>207</v>
      </c>
      <c r="I124" s="20" t="s">
        <v>324</v>
      </c>
      <c r="J124" s="60">
        <v>215</v>
      </c>
      <c r="K124" s="60"/>
      <c r="L124" s="60"/>
      <c r="M124" s="24" t="s">
        <v>337</v>
      </c>
      <c r="N124" s="20" t="s">
        <v>417</v>
      </c>
    </row>
    <row r="125" spans="1:14" ht="30" customHeight="1" x14ac:dyDescent="0.3">
      <c r="A125" s="4">
        <f t="shared" si="4"/>
        <v>107</v>
      </c>
      <c r="B125" s="4"/>
      <c r="C125" s="4"/>
      <c r="D125" s="8">
        <v>45064</v>
      </c>
      <c r="E125" s="8"/>
      <c r="F125" s="20" t="s">
        <v>196</v>
      </c>
      <c r="G125" s="19" t="s">
        <v>412</v>
      </c>
      <c r="H125" s="20" t="s">
        <v>207</v>
      </c>
      <c r="I125" s="20" t="s">
        <v>653</v>
      </c>
      <c r="J125" s="60">
        <v>2703</v>
      </c>
      <c r="K125" s="60"/>
      <c r="L125" s="60"/>
      <c r="M125" s="24" t="s">
        <v>197</v>
      </c>
      <c r="N125" s="20" t="s">
        <v>422</v>
      </c>
    </row>
    <row r="126" spans="1:14" ht="30" customHeight="1" x14ac:dyDescent="0.3">
      <c r="A126" s="4">
        <f t="shared" si="4"/>
        <v>108</v>
      </c>
      <c r="B126" s="4"/>
      <c r="C126" s="4"/>
      <c r="D126" s="8">
        <v>45072</v>
      </c>
      <c r="E126" s="8"/>
      <c r="F126" s="20" t="s">
        <v>112</v>
      </c>
      <c r="G126" s="19" t="s">
        <v>382</v>
      </c>
      <c r="H126" s="20" t="s">
        <v>207</v>
      </c>
      <c r="I126" s="20" t="s">
        <v>653</v>
      </c>
      <c r="J126" s="60">
        <v>3907</v>
      </c>
      <c r="K126" s="60"/>
      <c r="L126" s="60"/>
      <c r="M126" s="24" t="s">
        <v>113</v>
      </c>
      <c r="N126" s="20" t="s">
        <v>424</v>
      </c>
    </row>
    <row r="127" spans="1:14" ht="30" customHeight="1" x14ac:dyDescent="0.3">
      <c r="A127" s="4">
        <f t="shared" si="4"/>
        <v>109</v>
      </c>
      <c r="B127" s="4"/>
      <c r="C127" s="4"/>
      <c r="D127" s="8">
        <v>45077</v>
      </c>
      <c r="E127" s="8"/>
      <c r="F127" s="20" t="s">
        <v>427</v>
      </c>
      <c r="G127" s="19" t="s">
        <v>426</v>
      </c>
      <c r="H127" s="20" t="s">
        <v>207</v>
      </c>
      <c r="I127" s="20" t="s">
        <v>323</v>
      </c>
      <c r="J127" s="60">
        <v>286</v>
      </c>
      <c r="K127" s="60"/>
      <c r="L127" s="60"/>
      <c r="M127" s="24" t="s">
        <v>428</v>
      </c>
      <c r="N127" s="44" t="s">
        <v>429</v>
      </c>
    </row>
    <row r="128" spans="1:14" ht="30" customHeight="1" x14ac:dyDescent="0.3">
      <c r="A128" s="4">
        <f t="shared" si="4"/>
        <v>110</v>
      </c>
      <c r="B128" s="4"/>
      <c r="C128" s="4"/>
      <c r="D128" s="8">
        <v>45079</v>
      </c>
      <c r="E128" s="8"/>
      <c r="F128" s="20" t="s">
        <v>193</v>
      </c>
      <c r="G128" s="19" t="s">
        <v>423</v>
      </c>
      <c r="H128" s="20" t="s">
        <v>207</v>
      </c>
      <c r="I128" s="20" t="s">
        <v>324</v>
      </c>
      <c r="J128" s="60">
        <v>1219</v>
      </c>
      <c r="K128" s="60"/>
      <c r="L128" s="60"/>
      <c r="M128" s="24" t="s">
        <v>194</v>
      </c>
      <c r="N128" s="20" t="s">
        <v>425</v>
      </c>
    </row>
    <row r="129" spans="1:15" ht="30" customHeight="1" x14ac:dyDescent="0.3">
      <c r="A129" s="4">
        <f t="shared" si="4"/>
        <v>111</v>
      </c>
      <c r="B129" s="4"/>
      <c r="C129" s="4"/>
      <c r="D129" s="8">
        <v>45091</v>
      </c>
      <c r="E129" s="8"/>
      <c r="F129" s="20" t="s">
        <v>438</v>
      </c>
      <c r="G129" s="19" t="s">
        <v>437</v>
      </c>
      <c r="H129" s="20" t="s">
        <v>459</v>
      </c>
      <c r="I129" s="20" t="s">
        <v>460</v>
      </c>
      <c r="J129" s="60">
        <v>1958</v>
      </c>
      <c r="K129" s="60"/>
      <c r="L129" s="60"/>
      <c r="M129" s="24" t="s">
        <v>439</v>
      </c>
      <c r="N129" s="44" t="s">
        <v>440</v>
      </c>
    </row>
    <row r="130" spans="1:15" ht="30" customHeight="1" x14ac:dyDescent="0.3">
      <c r="A130" s="4">
        <f t="shared" si="4"/>
        <v>112</v>
      </c>
      <c r="B130" s="4"/>
      <c r="C130" s="4"/>
      <c r="D130" s="8">
        <v>45097</v>
      </c>
      <c r="E130" s="8"/>
      <c r="F130" s="20" t="s">
        <v>444</v>
      </c>
      <c r="G130" s="19" t="s">
        <v>441</v>
      </c>
      <c r="H130" s="20" t="s">
        <v>207</v>
      </c>
      <c r="I130" s="20" t="s">
        <v>485</v>
      </c>
      <c r="J130" s="60">
        <v>223</v>
      </c>
      <c r="K130" s="60"/>
      <c r="L130" s="60"/>
      <c r="M130" s="24" t="s">
        <v>443</v>
      </c>
      <c r="N130" s="44" t="s">
        <v>442</v>
      </c>
    </row>
    <row r="131" spans="1:15" ht="30" customHeight="1" x14ac:dyDescent="0.3">
      <c r="A131" s="4">
        <f t="shared" si="4"/>
        <v>113</v>
      </c>
      <c r="B131" s="4"/>
      <c r="C131" s="4"/>
      <c r="D131" s="8">
        <v>45100</v>
      </c>
      <c r="E131" s="8"/>
      <c r="F131" s="20" t="s">
        <v>447</v>
      </c>
      <c r="G131" s="19" t="s">
        <v>445</v>
      </c>
      <c r="H131" s="20" t="s">
        <v>23</v>
      </c>
      <c r="I131" s="20"/>
      <c r="J131" s="60">
        <v>405</v>
      </c>
      <c r="K131" s="60"/>
      <c r="L131" s="60"/>
      <c r="M131" s="24" t="s">
        <v>448</v>
      </c>
      <c r="N131" s="44" t="s">
        <v>449</v>
      </c>
    </row>
    <row r="132" spans="1:15" ht="30" customHeight="1" x14ac:dyDescent="0.3">
      <c r="A132" s="4">
        <f t="shared" si="4"/>
        <v>114</v>
      </c>
      <c r="B132" s="4"/>
      <c r="C132" s="4"/>
      <c r="D132" s="8">
        <v>45104</v>
      </c>
      <c r="E132" s="8"/>
      <c r="F132" s="20" t="s">
        <v>451</v>
      </c>
      <c r="G132" s="19" t="s">
        <v>437</v>
      </c>
      <c r="H132" s="20" t="s">
        <v>463</v>
      </c>
      <c r="I132" s="20" t="s">
        <v>464</v>
      </c>
      <c r="J132" s="60">
        <v>3650</v>
      </c>
      <c r="K132" s="60"/>
      <c r="L132" s="60"/>
      <c r="M132" s="24" t="s">
        <v>450</v>
      </c>
      <c r="N132" s="46" t="s">
        <v>452</v>
      </c>
    </row>
    <row r="133" spans="1:15" ht="30" customHeight="1" x14ac:dyDescent="0.3">
      <c r="A133" s="4">
        <f t="shared" si="4"/>
        <v>115</v>
      </c>
      <c r="B133" s="4"/>
      <c r="C133" s="4"/>
      <c r="D133" s="8">
        <v>45105</v>
      </c>
      <c r="E133" s="8"/>
      <c r="F133" s="20" t="s">
        <v>349</v>
      </c>
      <c r="G133" s="19" t="s">
        <v>453</v>
      </c>
      <c r="H133" s="20" t="s">
        <v>458</v>
      </c>
      <c r="I133" s="20"/>
      <c r="J133" s="60">
        <v>114</v>
      </c>
      <c r="K133" s="60"/>
      <c r="L133" s="60"/>
      <c r="M133" s="24" t="s">
        <v>454</v>
      </c>
      <c r="N133" s="47" t="s">
        <v>455</v>
      </c>
    </row>
    <row r="134" spans="1:15" ht="30" customHeight="1" x14ac:dyDescent="0.3">
      <c r="A134" s="4">
        <f t="shared" si="4"/>
        <v>116</v>
      </c>
      <c r="B134" s="4"/>
      <c r="C134" s="4"/>
      <c r="D134" s="8">
        <v>45107</v>
      </c>
      <c r="E134" s="8"/>
      <c r="F134" s="20" t="s">
        <v>71</v>
      </c>
      <c r="G134" s="19" t="s">
        <v>362</v>
      </c>
      <c r="H134" s="20" t="s">
        <v>468</v>
      </c>
      <c r="I134" s="20"/>
      <c r="J134" s="60">
        <v>2576</v>
      </c>
      <c r="K134" s="60"/>
      <c r="L134" s="60"/>
      <c r="M134" s="24"/>
      <c r="N134" s="47" t="s">
        <v>469</v>
      </c>
    </row>
    <row r="135" spans="1:15" ht="30" customHeight="1" x14ac:dyDescent="0.3">
      <c r="A135" s="4">
        <f t="shared" si="4"/>
        <v>117</v>
      </c>
      <c r="B135" s="4"/>
      <c r="C135" s="4"/>
      <c r="D135" s="8">
        <v>45126</v>
      </c>
      <c r="E135" s="8"/>
      <c r="F135" s="20" t="s">
        <v>419</v>
      </c>
      <c r="G135" s="19" t="s">
        <v>471</v>
      </c>
      <c r="H135" s="20" t="s">
        <v>23</v>
      </c>
      <c r="I135" s="20"/>
      <c r="J135" s="60">
        <v>113</v>
      </c>
      <c r="K135" s="60"/>
      <c r="L135" s="60"/>
      <c r="M135" s="24" t="s">
        <v>473</v>
      </c>
      <c r="N135" s="44" t="s">
        <v>474</v>
      </c>
    </row>
    <row r="136" spans="1:15" ht="30" customHeight="1" x14ac:dyDescent="0.3">
      <c r="A136" s="4">
        <f t="shared" si="4"/>
        <v>118</v>
      </c>
      <c r="B136" s="4"/>
      <c r="C136" s="4"/>
      <c r="D136" s="8">
        <v>45128</v>
      </c>
      <c r="E136" s="8"/>
      <c r="F136" s="20" t="s">
        <v>477</v>
      </c>
      <c r="G136" s="19" t="s">
        <v>475</v>
      </c>
      <c r="H136" s="20" t="s">
        <v>207</v>
      </c>
      <c r="I136" s="20" t="s">
        <v>654</v>
      </c>
      <c r="J136" s="60">
        <v>971</v>
      </c>
      <c r="K136" s="60"/>
      <c r="L136" s="60"/>
      <c r="M136" s="24" t="s">
        <v>476</v>
      </c>
      <c r="N136" s="44" t="s">
        <v>478</v>
      </c>
    </row>
    <row r="137" spans="1:15" ht="30" customHeight="1" x14ac:dyDescent="0.3">
      <c r="A137" s="4">
        <f t="shared" si="4"/>
        <v>119</v>
      </c>
      <c r="B137" s="4"/>
      <c r="C137" s="4"/>
      <c r="D137" s="8">
        <v>45132</v>
      </c>
      <c r="E137" s="8"/>
      <c r="F137" s="20" t="s">
        <v>193</v>
      </c>
      <c r="G137" s="19" t="s">
        <v>480</v>
      </c>
      <c r="H137" s="20" t="s">
        <v>207</v>
      </c>
      <c r="I137" s="20" t="s">
        <v>324</v>
      </c>
      <c r="J137" s="60">
        <v>332</v>
      </c>
      <c r="K137" s="60"/>
      <c r="L137" s="60"/>
      <c r="M137" s="24" t="s">
        <v>481</v>
      </c>
      <c r="N137" s="44" t="s">
        <v>482</v>
      </c>
      <c r="O137" s="5" t="s">
        <v>638</v>
      </c>
    </row>
    <row r="138" spans="1:15" ht="30" customHeight="1" x14ac:dyDescent="0.3">
      <c r="A138" s="4">
        <f t="shared" si="4"/>
        <v>120</v>
      </c>
      <c r="B138" s="4"/>
      <c r="C138" s="4"/>
      <c r="D138" s="8">
        <v>45133</v>
      </c>
      <c r="E138" s="8"/>
      <c r="F138" s="20" t="s">
        <v>25</v>
      </c>
      <c r="G138" s="19" t="s">
        <v>483</v>
      </c>
      <c r="H138" s="20" t="s">
        <v>23</v>
      </c>
      <c r="I138" s="20"/>
      <c r="J138" s="60">
        <v>505</v>
      </c>
      <c r="K138" s="60"/>
      <c r="L138" s="60"/>
      <c r="M138" s="24" t="s">
        <v>484</v>
      </c>
      <c r="N138" s="44" t="s">
        <v>487</v>
      </c>
    </row>
    <row r="139" spans="1:15" ht="30" customHeight="1" x14ac:dyDescent="0.3">
      <c r="A139" s="4">
        <f t="shared" si="4"/>
        <v>121</v>
      </c>
      <c r="B139" s="4"/>
      <c r="C139" s="4"/>
      <c r="D139" s="8">
        <v>45134</v>
      </c>
      <c r="E139" s="8"/>
      <c r="F139" s="20" t="s">
        <v>25</v>
      </c>
      <c r="G139" s="19" t="s">
        <v>496</v>
      </c>
      <c r="H139" s="20" t="s">
        <v>23</v>
      </c>
      <c r="I139" s="20"/>
      <c r="J139" s="60">
        <v>491</v>
      </c>
      <c r="K139" s="60"/>
      <c r="L139" s="60"/>
      <c r="M139" s="24" t="s">
        <v>272</v>
      </c>
      <c r="N139" s="63" t="s">
        <v>497</v>
      </c>
    </row>
    <row r="140" spans="1:15" ht="30" customHeight="1" x14ac:dyDescent="0.3">
      <c r="A140" s="4">
        <f t="shared" si="4"/>
        <v>122</v>
      </c>
      <c r="B140" s="4"/>
      <c r="C140" s="4"/>
      <c r="D140" s="8">
        <v>45139</v>
      </c>
      <c r="E140" s="8"/>
      <c r="F140" s="20" t="s">
        <v>25</v>
      </c>
      <c r="G140" s="19" t="s">
        <v>488</v>
      </c>
      <c r="H140" s="20" t="s">
        <v>23</v>
      </c>
      <c r="I140" s="20"/>
      <c r="J140" s="60">
        <v>1949</v>
      </c>
      <c r="K140" s="60">
        <v>1033</v>
      </c>
      <c r="L140" s="60"/>
      <c r="M140" s="24" t="s">
        <v>272</v>
      </c>
      <c r="N140" s="63" t="s">
        <v>489</v>
      </c>
    </row>
    <row r="141" spans="1:15" ht="30" customHeight="1" x14ac:dyDescent="0.3">
      <c r="A141" s="4"/>
      <c r="B141" s="4"/>
      <c r="C141" s="4"/>
      <c r="D141" s="8">
        <v>45139</v>
      </c>
      <c r="E141" s="8"/>
      <c r="F141" s="20" t="s">
        <v>26</v>
      </c>
      <c r="G141" s="19" t="s">
        <v>488</v>
      </c>
      <c r="H141" s="20" t="s">
        <v>23</v>
      </c>
      <c r="I141" s="20"/>
      <c r="J141" s="60">
        <v>1949</v>
      </c>
      <c r="K141" s="60">
        <v>916</v>
      </c>
      <c r="L141" s="60"/>
      <c r="M141" s="24" t="s">
        <v>276</v>
      </c>
      <c r="N141" s="44" t="s">
        <v>489</v>
      </c>
    </row>
    <row r="142" spans="1:15" ht="30" customHeight="1" x14ac:dyDescent="0.3">
      <c r="A142" s="4">
        <v>123</v>
      </c>
      <c r="B142" s="4"/>
      <c r="C142" s="4"/>
      <c r="D142" s="8">
        <v>45149</v>
      </c>
      <c r="E142" s="8"/>
      <c r="F142" s="20" t="s">
        <v>112</v>
      </c>
      <c r="G142" s="19" t="s">
        <v>492</v>
      </c>
      <c r="H142" s="20" t="s">
        <v>493</v>
      </c>
      <c r="I142" s="20"/>
      <c r="J142" s="60">
        <v>971</v>
      </c>
      <c r="K142" s="60"/>
      <c r="L142" s="60"/>
      <c r="M142" s="24" t="s">
        <v>113</v>
      </c>
      <c r="N142" s="44" t="s">
        <v>495</v>
      </c>
    </row>
    <row r="143" spans="1:15" ht="30" customHeight="1" x14ac:dyDescent="0.3">
      <c r="A143" s="4">
        <f t="shared" ref="A143:A185" si="5">A142+1</f>
        <v>124</v>
      </c>
      <c r="B143" s="4"/>
      <c r="C143" s="4"/>
      <c r="D143" s="8">
        <v>45154</v>
      </c>
      <c r="E143" s="8"/>
      <c r="F143" s="20" t="s">
        <v>499</v>
      </c>
      <c r="G143" s="19" t="s">
        <v>521</v>
      </c>
      <c r="H143" s="20" t="s">
        <v>520</v>
      </c>
      <c r="I143" s="20"/>
      <c r="J143" s="60">
        <v>74</v>
      </c>
      <c r="K143" s="60"/>
      <c r="L143" s="60"/>
      <c r="M143" s="24" t="s">
        <v>498</v>
      </c>
      <c r="N143" s="44" t="s">
        <v>500</v>
      </c>
    </row>
    <row r="144" spans="1:15" ht="30" customHeight="1" x14ac:dyDescent="0.3">
      <c r="A144" s="4">
        <f t="shared" si="5"/>
        <v>125</v>
      </c>
      <c r="B144" s="4"/>
      <c r="C144" s="4"/>
      <c r="D144" s="8">
        <v>45156</v>
      </c>
      <c r="E144" s="8"/>
      <c r="F144" s="20" t="s">
        <v>419</v>
      </c>
      <c r="G144" s="19" t="s">
        <v>501</v>
      </c>
      <c r="H144" s="20" t="s">
        <v>23</v>
      </c>
      <c r="I144" s="20"/>
      <c r="J144" s="60">
        <v>439</v>
      </c>
      <c r="K144" s="60"/>
      <c r="L144" s="60"/>
      <c r="M144" s="24" t="s">
        <v>420</v>
      </c>
      <c r="N144" s="44" t="s">
        <v>502</v>
      </c>
    </row>
    <row r="145" spans="1:14" ht="30" customHeight="1" x14ac:dyDescent="0.3">
      <c r="A145" s="4">
        <f t="shared" si="5"/>
        <v>126</v>
      </c>
      <c r="B145" s="4"/>
      <c r="C145" s="4"/>
      <c r="D145" s="8">
        <v>45156</v>
      </c>
      <c r="E145" s="8"/>
      <c r="F145" s="20" t="s">
        <v>196</v>
      </c>
      <c r="G145" s="19" t="s">
        <v>503</v>
      </c>
      <c r="H145" s="20" t="s">
        <v>493</v>
      </c>
      <c r="I145" s="20"/>
      <c r="J145" s="60">
        <v>1178</v>
      </c>
      <c r="K145" s="60"/>
      <c r="L145" s="60"/>
      <c r="M145" s="24" t="s">
        <v>197</v>
      </c>
      <c r="N145" s="44" t="s">
        <v>504</v>
      </c>
    </row>
    <row r="146" spans="1:14" ht="30" customHeight="1" x14ac:dyDescent="0.3">
      <c r="A146" s="4">
        <f t="shared" si="5"/>
        <v>127</v>
      </c>
      <c r="B146" s="4"/>
      <c r="C146" s="4"/>
      <c r="D146" s="8">
        <v>45163</v>
      </c>
      <c r="E146" s="8"/>
      <c r="F146" s="20" t="s">
        <v>427</v>
      </c>
      <c r="G146" s="19" t="s">
        <v>505</v>
      </c>
      <c r="H146" s="20" t="s">
        <v>207</v>
      </c>
      <c r="I146" s="20" t="s">
        <v>653</v>
      </c>
      <c r="J146" s="60">
        <v>486</v>
      </c>
      <c r="K146" s="60"/>
      <c r="L146" s="60"/>
      <c r="M146" s="24" t="s">
        <v>428</v>
      </c>
      <c r="N146" s="44" t="s">
        <v>506</v>
      </c>
    </row>
    <row r="147" spans="1:14" ht="30" customHeight="1" x14ac:dyDescent="0.3">
      <c r="A147" s="4">
        <f t="shared" si="5"/>
        <v>128</v>
      </c>
      <c r="B147" s="4"/>
      <c r="C147" s="4"/>
      <c r="D147" s="8">
        <v>45167</v>
      </c>
      <c r="E147" s="8"/>
      <c r="F147" s="20" t="s">
        <v>508</v>
      </c>
      <c r="G147" s="19" t="s">
        <v>507</v>
      </c>
      <c r="H147" s="20" t="s">
        <v>23</v>
      </c>
      <c r="I147" s="20"/>
      <c r="J147" s="60">
        <v>141</v>
      </c>
      <c r="K147" s="60"/>
      <c r="L147" s="60"/>
      <c r="M147" s="24" t="s">
        <v>276</v>
      </c>
      <c r="N147" s="44" t="s">
        <v>518</v>
      </c>
    </row>
    <row r="148" spans="1:14" ht="30" customHeight="1" x14ac:dyDescent="0.3">
      <c r="A148" s="4">
        <f t="shared" si="5"/>
        <v>129</v>
      </c>
      <c r="B148" s="4"/>
      <c r="C148" s="4"/>
      <c r="D148" s="8">
        <v>45169</v>
      </c>
      <c r="E148" s="8"/>
      <c r="F148" s="20" t="s">
        <v>387</v>
      </c>
      <c r="G148" s="19" t="s">
        <v>509</v>
      </c>
      <c r="H148" s="20" t="s">
        <v>207</v>
      </c>
      <c r="I148" s="20" t="s">
        <v>324</v>
      </c>
      <c r="J148" s="60">
        <v>93</v>
      </c>
      <c r="K148" s="60"/>
      <c r="L148" s="60"/>
      <c r="M148" s="24" t="s">
        <v>337</v>
      </c>
      <c r="N148" s="44" t="s">
        <v>510</v>
      </c>
    </row>
    <row r="149" spans="1:14" ht="30" customHeight="1" x14ac:dyDescent="0.3">
      <c r="A149" s="4">
        <f t="shared" si="5"/>
        <v>130</v>
      </c>
      <c r="B149" s="4"/>
      <c r="C149" s="4"/>
      <c r="D149" s="8">
        <v>45175</v>
      </c>
      <c r="E149" s="8"/>
      <c r="F149" s="20" t="s">
        <v>25</v>
      </c>
      <c r="G149" s="19" t="s">
        <v>515</v>
      </c>
      <c r="H149" s="20" t="s">
        <v>23</v>
      </c>
      <c r="I149" s="20"/>
      <c r="J149" s="60">
        <v>275</v>
      </c>
      <c r="K149" s="60"/>
      <c r="L149" s="60"/>
      <c r="M149" s="24" t="s">
        <v>272</v>
      </c>
      <c r="N149" s="20" t="s">
        <v>516</v>
      </c>
    </row>
    <row r="150" spans="1:14" ht="30" customHeight="1" x14ac:dyDescent="0.3">
      <c r="A150" s="4">
        <f t="shared" si="5"/>
        <v>131</v>
      </c>
      <c r="B150" s="4"/>
      <c r="C150" s="4"/>
      <c r="D150" s="8">
        <v>45175</v>
      </c>
      <c r="E150" s="8"/>
      <c r="F150" s="20" t="s">
        <v>512</v>
      </c>
      <c r="G150" s="19" t="s">
        <v>511</v>
      </c>
      <c r="H150" s="20" t="s">
        <v>207</v>
      </c>
      <c r="I150" s="20" t="s">
        <v>324</v>
      </c>
      <c r="J150" s="60">
        <v>144</v>
      </c>
      <c r="K150" s="60"/>
      <c r="L150" s="60"/>
      <c r="M150" s="24" t="s">
        <v>513</v>
      </c>
      <c r="N150" s="44" t="s">
        <v>514</v>
      </c>
    </row>
    <row r="151" spans="1:14" ht="30" customHeight="1" x14ac:dyDescent="0.3">
      <c r="A151" s="4">
        <f t="shared" si="5"/>
        <v>132</v>
      </c>
      <c r="B151" s="4"/>
      <c r="C151" s="4"/>
      <c r="D151" s="8">
        <v>45177</v>
      </c>
      <c r="E151" s="8"/>
      <c r="F151" s="20" t="s">
        <v>25</v>
      </c>
      <c r="G151" s="19" t="s">
        <v>517</v>
      </c>
      <c r="H151" s="20" t="s">
        <v>23</v>
      </c>
      <c r="I151" s="20"/>
      <c r="J151" s="60">
        <v>124</v>
      </c>
      <c r="K151" s="60"/>
      <c r="L151" s="60"/>
      <c r="M151" s="24" t="s">
        <v>272</v>
      </c>
      <c r="N151" s="44" t="s">
        <v>519</v>
      </c>
    </row>
    <row r="152" spans="1:14" ht="30" customHeight="1" x14ac:dyDescent="0.3">
      <c r="A152" s="4">
        <f t="shared" si="5"/>
        <v>133</v>
      </c>
      <c r="B152" s="4"/>
      <c r="C152" s="4"/>
      <c r="D152" s="8">
        <v>45188</v>
      </c>
      <c r="E152" s="8"/>
      <c r="F152" s="20" t="s">
        <v>25</v>
      </c>
      <c r="G152" s="19" t="s">
        <v>522</v>
      </c>
      <c r="H152" s="20" t="s">
        <v>23</v>
      </c>
      <c r="I152" s="20"/>
      <c r="J152" s="60">
        <v>659</v>
      </c>
      <c r="K152" s="60"/>
      <c r="L152" s="60"/>
      <c r="M152" s="24" t="s">
        <v>272</v>
      </c>
      <c r="N152" s="44" t="s">
        <v>523</v>
      </c>
    </row>
    <row r="153" spans="1:14" ht="30" customHeight="1" x14ac:dyDescent="0.3">
      <c r="A153" s="4">
        <f t="shared" si="5"/>
        <v>134</v>
      </c>
      <c r="B153" s="4"/>
      <c r="C153" s="4"/>
      <c r="D153" s="8">
        <v>45188</v>
      </c>
      <c r="E153" s="8"/>
      <c r="F153" s="20" t="s">
        <v>247</v>
      </c>
      <c r="G153" s="19" t="s">
        <v>524</v>
      </c>
      <c r="H153" s="20" t="s">
        <v>253</v>
      </c>
      <c r="I153" s="20" t="s">
        <v>371</v>
      </c>
      <c r="J153" s="60">
        <v>150</v>
      </c>
      <c r="K153" s="60"/>
      <c r="L153" s="60"/>
      <c r="M153" s="24" t="s">
        <v>254</v>
      </c>
      <c r="N153" s="20" t="s">
        <v>527</v>
      </c>
    </row>
    <row r="154" spans="1:14" ht="30" customHeight="1" x14ac:dyDescent="0.3">
      <c r="A154" s="4">
        <f t="shared" si="5"/>
        <v>135</v>
      </c>
      <c r="B154" s="4"/>
      <c r="C154" s="4"/>
      <c r="D154" s="8">
        <v>45194</v>
      </c>
      <c r="E154" s="8"/>
      <c r="F154" s="20" t="s">
        <v>494</v>
      </c>
      <c r="G154" s="19" t="s">
        <v>525</v>
      </c>
      <c r="H154" s="20" t="s">
        <v>207</v>
      </c>
      <c r="I154" s="20" t="s">
        <v>653</v>
      </c>
      <c r="J154" s="60">
        <v>371</v>
      </c>
      <c r="K154" s="60"/>
      <c r="L154" s="60"/>
      <c r="M154" s="24" t="s">
        <v>113</v>
      </c>
      <c r="N154" s="20" t="s">
        <v>532</v>
      </c>
    </row>
    <row r="155" spans="1:14" ht="30" customHeight="1" x14ac:dyDescent="0.3">
      <c r="A155" s="4">
        <f t="shared" si="5"/>
        <v>136</v>
      </c>
      <c r="B155" s="4"/>
      <c r="C155" s="4"/>
      <c r="D155" s="8">
        <v>45205</v>
      </c>
      <c r="E155" s="8"/>
      <c r="F155" s="20" t="s">
        <v>529</v>
      </c>
      <c r="G155" s="19" t="s">
        <v>526</v>
      </c>
      <c r="H155" s="20" t="s">
        <v>534</v>
      </c>
      <c r="I155" s="20" t="s">
        <v>535</v>
      </c>
      <c r="J155" s="60">
        <v>3451</v>
      </c>
      <c r="K155" s="60"/>
      <c r="L155" s="60"/>
      <c r="M155" s="24" t="s">
        <v>530</v>
      </c>
      <c r="N155" s="20" t="s">
        <v>531</v>
      </c>
    </row>
    <row r="156" spans="1:14" ht="30" customHeight="1" x14ac:dyDescent="0.3">
      <c r="A156" s="4">
        <f t="shared" si="5"/>
        <v>137</v>
      </c>
      <c r="B156" s="4"/>
      <c r="C156" s="4"/>
      <c r="D156" s="8">
        <v>45210</v>
      </c>
      <c r="E156" s="8"/>
      <c r="F156" s="20" t="s">
        <v>447</v>
      </c>
      <c r="G156" s="19" t="s">
        <v>426</v>
      </c>
      <c r="H156" s="20" t="s">
        <v>23</v>
      </c>
      <c r="I156" s="20"/>
      <c r="J156" s="60">
        <v>157</v>
      </c>
      <c r="K156" s="60"/>
      <c r="L156" s="60"/>
      <c r="M156" s="24" t="s">
        <v>272</v>
      </c>
      <c r="N156" s="20" t="s">
        <v>533</v>
      </c>
    </row>
    <row r="157" spans="1:14" ht="30" customHeight="1" x14ac:dyDescent="0.3">
      <c r="A157" s="4">
        <f t="shared" si="5"/>
        <v>138</v>
      </c>
      <c r="B157" s="4"/>
      <c r="C157" s="4"/>
      <c r="D157" s="8">
        <v>45223</v>
      </c>
      <c r="E157" s="8"/>
      <c r="F157" s="20" t="s">
        <v>447</v>
      </c>
      <c r="G157" s="19" t="s">
        <v>362</v>
      </c>
      <c r="H157" s="20" t="s">
        <v>23</v>
      </c>
      <c r="I157" s="20"/>
      <c r="J157" s="60">
        <v>399</v>
      </c>
      <c r="K157" s="60"/>
      <c r="L157" s="60"/>
      <c r="M157" s="24" t="s">
        <v>272</v>
      </c>
      <c r="N157" s="20" t="s">
        <v>536</v>
      </c>
    </row>
    <row r="158" spans="1:14" ht="30" customHeight="1" x14ac:dyDescent="0.3">
      <c r="A158" s="4">
        <f t="shared" si="5"/>
        <v>139</v>
      </c>
      <c r="B158" s="4"/>
      <c r="C158" s="4"/>
      <c r="D158" s="8">
        <v>45233</v>
      </c>
      <c r="E158" s="8"/>
      <c r="F158" s="20" t="s">
        <v>26</v>
      </c>
      <c r="G158" s="19" t="s">
        <v>537</v>
      </c>
      <c r="H158" s="20" t="s">
        <v>23</v>
      </c>
      <c r="I158" s="20"/>
      <c r="J158" s="60">
        <v>797</v>
      </c>
      <c r="K158" s="60"/>
      <c r="L158" s="60"/>
      <c r="M158" s="24" t="s">
        <v>276</v>
      </c>
      <c r="N158" s="20" t="s">
        <v>538</v>
      </c>
    </row>
    <row r="159" spans="1:14" ht="30" customHeight="1" x14ac:dyDescent="0.3">
      <c r="A159" s="4">
        <f t="shared" si="5"/>
        <v>140</v>
      </c>
      <c r="B159" s="4"/>
      <c r="C159" s="4"/>
      <c r="D159" s="8">
        <v>45238</v>
      </c>
      <c r="E159" s="8"/>
      <c r="F159" s="20" t="s">
        <v>187</v>
      </c>
      <c r="G159" s="19" t="s">
        <v>505</v>
      </c>
      <c r="H159" s="20" t="s">
        <v>207</v>
      </c>
      <c r="I159" s="20" t="s">
        <v>655</v>
      </c>
      <c r="J159" s="60">
        <v>430</v>
      </c>
      <c r="K159" s="60"/>
      <c r="L159" s="60"/>
      <c r="M159" s="24" t="s">
        <v>541</v>
      </c>
      <c r="N159" s="55" t="s">
        <v>539</v>
      </c>
    </row>
    <row r="160" spans="1:14" ht="30" customHeight="1" x14ac:dyDescent="0.3">
      <c r="A160" s="4">
        <f t="shared" si="5"/>
        <v>141</v>
      </c>
      <c r="B160" s="4"/>
      <c r="C160" s="4"/>
      <c r="D160" s="8">
        <v>45244</v>
      </c>
      <c r="E160" s="8"/>
      <c r="F160" s="20" t="s">
        <v>122</v>
      </c>
      <c r="G160" s="19" t="s">
        <v>542</v>
      </c>
      <c r="H160" s="20" t="s">
        <v>264</v>
      </c>
      <c r="I160" s="20"/>
      <c r="J160" s="60">
        <v>13201</v>
      </c>
      <c r="K160" s="60"/>
      <c r="L160" s="60"/>
      <c r="M160" s="24" t="s">
        <v>543</v>
      </c>
      <c r="N160" s="20" t="s">
        <v>544</v>
      </c>
    </row>
    <row r="161" spans="1:15" ht="30" customHeight="1" x14ac:dyDescent="0.3">
      <c r="A161" s="4">
        <f t="shared" si="5"/>
        <v>142</v>
      </c>
      <c r="B161" s="4"/>
      <c r="C161" s="4"/>
      <c r="D161" s="8">
        <v>45244</v>
      </c>
      <c r="E161" s="8"/>
      <c r="F161" s="20" t="s">
        <v>193</v>
      </c>
      <c r="G161" s="19" t="s">
        <v>525</v>
      </c>
      <c r="H161" s="20" t="s">
        <v>207</v>
      </c>
      <c r="I161" s="20" t="s">
        <v>655</v>
      </c>
      <c r="J161" s="60">
        <v>330</v>
      </c>
      <c r="K161" s="60"/>
      <c r="L161" s="60"/>
      <c r="M161" s="24" t="s">
        <v>551</v>
      </c>
      <c r="N161" s="55" t="s">
        <v>539</v>
      </c>
    </row>
    <row r="162" spans="1:15" ht="30" customHeight="1" x14ac:dyDescent="0.3">
      <c r="A162" s="4">
        <f t="shared" si="5"/>
        <v>143</v>
      </c>
      <c r="B162" s="4"/>
      <c r="C162" s="4"/>
      <c r="D162" s="8">
        <v>45244</v>
      </c>
      <c r="E162" s="8"/>
      <c r="F162" s="20" t="s">
        <v>349</v>
      </c>
      <c r="G162" s="19" t="s">
        <v>545</v>
      </c>
      <c r="H162" s="20" t="s">
        <v>208</v>
      </c>
      <c r="I162" s="20"/>
      <c r="J162" s="60">
        <v>872</v>
      </c>
      <c r="K162" s="60"/>
      <c r="L162" s="60"/>
      <c r="M162" s="24" t="s">
        <v>546</v>
      </c>
      <c r="N162" s="55" t="s">
        <v>547</v>
      </c>
    </row>
    <row r="163" spans="1:15" ht="30" customHeight="1" x14ac:dyDescent="0.3">
      <c r="A163" s="4">
        <f t="shared" si="5"/>
        <v>144</v>
      </c>
      <c r="B163" s="4"/>
      <c r="C163" s="4"/>
      <c r="D163" s="8">
        <v>45245</v>
      </c>
      <c r="E163" s="8"/>
      <c r="F163" s="20" t="s">
        <v>122</v>
      </c>
      <c r="G163" s="19" t="s">
        <v>548</v>
      </c>
      <c r="H163" s="20" t="s">
        <v>264</v>
      </c>
      <c r="I163" s="20"/>
      <c r="J163" s="60">
        <v>10576</v>
      </c>
      <c r="K163" s="60"/>
      <c r="L163" s="60"/>
      <c r="M163" s="24" t="s">
        <v>543</v>
      </c>
      <c r="N163" s="20" t="s">
        <v>550</v>
      </c>
    </row>
    <row r="164" spans="1:15" ht="30" customHeight="1" x14ac:dyDescent="0.3">
      <c r="A164" s="4">
        <f t="shared" si="5"/>
        <v>145</v>
      </c>
      <c r="B164" s="4"/>
      <c r="C164" s="4"/>
      <c r="D164" s="8">
        <v>45246</v>
      </c>
      <c r="E164" s="8"/>
      <c r="F164" s="20" t="s">
        <v>122</v>
      </c>
      <c r="G164" s="19" t="s">
        <v>552</v>
      </c>
      <c r="H164" s="20" t="s">
        <v>264</v>
      </c>
      <c r="I164" s="20"/>
      <c r="J164" s="60">
        <v>6219</v>
      </c>
      <c r="K164" s="60"/>
      <c r="L164" s="60"/>
      <c r="M164" s="24" t="s">
        <v>543</v>
      </c>
      <c r="N164" s="20" t="s">
        <v>554</v>
      </c>
    </row>
    <row r="165" spans="1:15" ht="30" customHeight="1" x14ac:dyDescent="0.3">
      <c r="A165" s="4">
        <f t="shared" si="5"/>
        <v>146</v>
      </c>
      <c r="B165" s="4"/>
      <c r="C165" s="4"/>
      <c r="D165" s="8">
        <v>45247</v>
      </c>
      <c r="E165" s="8"/>
      <c r="F165" s="20" t="s">
        <v>556</v>
      </c>
      <c r="G165" s="19" t="s">
        <v>555</v>
      </c>
      <c r="H165" s="20" t="s">
        <v>207</v>
      </c>
      <c r="I165" s="20" t="s">
        <v>655</v>
      </c>
      <c r="J165" s="60">
        <v>281</v>
      </c>
      <c r="K165" s="60"/>
      <c r="L165" s="60"/>
      <c r="M165" s="24" t="s">
        <v>557</v>
      </c>
      <c r="N165" s="55" t="s">
        <v>470</v>
      </c>
      <c r="O165" s="5" t="s">
        <v>639</v>
      </c>
    </row>
    <row r="166" spans="1:15" ht="30" customHeight="1" x14ac:dyDescent="0.3">
      <c r="A166" s="4">
        <f t="shared" si="5"/>
        <v>147</v>
      </c>
      <c r="B166" s="4"/>
      <c r="C166" s="4"/>
      <c r="D166" s="8">
        <v>45253</v>
      </c>
      <c r="E166" s="8"/>
      <c r="F166" s="20" t="s">
        <v>578</v>
      </c>
      <c r="G166" s="19" t="s">
        <v>577</v>
      </c>
      <c r="H166" s="20" t="s">
        <v>264</v>
      </c>
      <c r="I166" s="20"/>
      <c r="J166" s="60">
        <v>14302</v>
      </c>
      <c r="K166" s="60"/>
      <c r="L166" s="60"/>
      <c r="M166" s="24" t="s">
        <v>579</v>
      </c>
      <c r="N166" s="55" t="s">
        <v>580</v>
      </c>
    </row>
    <row r="167" spans="1:15" ht="30" customHeight="1" x14ac:dyDescent="0.3">
      <c r="A167" s="4">
        <f t="shared" si="5"/>
        <v>148</v>
      </c>
      <c r="B167" s="4"/>
      <c r="C167" s="4"/>
      <c r="D167" s="8">
        <v>45254</v>
      </c>
      <c r="E167" s="8"/>
      <c r="F167" s="20" t="s">
        <v>122</v>
      </c>
      <c r="G167" s="19" t="s">
        <v>581</v>
      </c>
      <c r="H167" s="20" t="s">
        <v>264</v>
      </c>
      <c r="I167" s="20"/>
      <c r="J167" s="60">
        <v>10869</v>
      </c>
      <c r="K167" s="60"/>
      <c r="L167" s="60"/>
      <c r="M167" s="24" t="s">
        <v>543</v>
      </c>
      <c r="N167" s="55" t="s">
        <v>585</v>
      </c>
    </row>
    <row r="168" spans="1:15" ht="30" customHeight="1" x14ac:dyDescent="0.3">
      <c r="A168" s="4">
        <f t="shared" si="5"/>
        <v>149</v>
      </c>
      <c r="B168" s="4"/>
      <c r="C168" s="4"/>
      <c r="D168" s="8">
        <v>45258</v>
      </c>
      <c r="E168" s="8"/>
      <c r="F168" s="20" t="s">
        <v>122</v>
      </c>
      <c r="G168" s="19" t="s">
        <v>582</v>
      </c>
      <c r="H168" s="20" t="s">
        <v>264</v>
      </c>
      <c r="I168" s="20"/>
      <c r="J168" s="60">
        <v>6353</v>
      </c>
      <c r="K168" s="60"/>
      <c r="L168" s="60"/>
      <c r="M168" s="24" t="s">
        <v>543</v>
      </c>
      <c r="N168" s="55" t="s">
        <v>586</v>
      </c>
    </row>
    <row r="169" spans="1:15" ht="30" customHeight="1" x14ac:dyDescent="0.3">
      <c r="A169" s="4">
        <f t="shared" si="5"/>
        <v>150</v>
      </c>
      <c r="B169" s="4"/>
      <c r="C169" s="4"/>
      <c r="D169" s="8">
        <v>45259</v>
      </c>
      <c r="E169" s="8"/>
      <c r="F169" s="20" t="s">
        <v>128</v>
      </c>
      <c r="G169" s="19" t="s">
        <v>583</v>
      </c>
      <c r="H169" s="20" t="s">
        <v>264</v>
      </c>
      <c r="I169" s="20"/>
      <c r="J169" s="60">
        <v>3194</v>
      </c>
      <c r="K169" s="60"/>
      <c r="L169" s="60"/>
      <c r="M169" s="24" t="s">
        <v>587</v>
      </c>
      <c r="N169" s="55" t="s">
        <v>588</v>
      </c>
    </row>
    <row r="170" spans="1:15" ht="30" customHeight="1" x14ac:dyDescent="0.3">
      <c r="A170" s="4">
        <f t="shared" si="5"/>
        <v>151</v>
      </c>
      <c r="B170" s="4"/>
      <c r="C170" s="4"/>
      <c r="D170" s="8">
        <v>45260</v>
      </c>
      <c r="E170" s="8"/>
      <c r="F170" s="20" t="s">
        <v>122</v>
      </c>
      <c r="G170" s="19" t="s">
        <v>584</v>
      </c>
      <c r="H170" s="20" t="s">
        <v>264</v>
      </c>
      <c r="I170" s="20"/>
      <c r="J170" s="60">
        <v>7250</v>
      </c>
      <c r="K170" s="60"/>
      <c r="L170" s="60"/>
      <c r="M170" s="24" t="s">
        <v>543</v>
      </c>
      <c r="N170" s="55" t="s">
        <v>589</v>
      </c>
    </row>
    <row r="171" spans="1:15" ht="30" customHeight="1" x14ac:dyDescent="0.3">
      <c r="A171" s="4">
        <f t="shared" si="5"/>
        <v>152</v>
      </c>
      <c r="B171" s="4"/>
      <c r="C171" s="4"/>
      <c r="D171" s="8">
        <v>45265</v>
      </c>
      <c r="E171" s="8"/>
      <c r="F171" s="20" t="s">
        <v>625</v>
      </c>
      <c r="G171" s="19" t="s">
        <v>624</v>
      </c>
      <c r="H171" s="20" t="s">
        <v>520</v>
      </c>
      <c r="I171" s="20"/>
      <c r="J171" s="60">
        <v>207</v>
      </c>
      <c r="K171" s="60"/>
      <c r="L171" s="60"/>
      <c r="M171" s="24" t="s">
        <v>626</v>
      </c>
      <c r="N171" s="55" t="s">
        <v>627</v>
      </c>
    </row>
    <row r="172" spans="1:15" ht="30" customHeight="1" x14ac:dyDescent="0.3">
      <c r="A172" s="4">
        <f t="shared" si="5"/>
        <v>153</v>
      </c>
      <c r="B172" s="4"/>
      <c r="C172" s="4"/>
      <c r="D172" s="8">
        <v>45266</v>
      </c>
      <c r="E172" s="8"/>
      <c r="F172" s="20" t="s">
        <v>122</v>
      </c>
      <c r="G172" s="19" t="s">
        <v>628</v>
      </c>
      <c r="H172" s="20" t="s">
        <v>264</v>
      </c>
      <c r="I172" s="20"/>
      <c r="J172" s="60">
        <v>5175</v>
      </c>
      <c r="K172" s="60"/>
      <c r="L172" s="60"/>
      <c r="M172" s="24" t="s">
        <v>543</v>
      </c>
      <c r="N172" s="55" t="s">
        <v>629</v>
      </c>
    </row>
    <row r="173" spans="1:15" ht="30" customHeight="1" x14ac:dyDescent="0.3">
      <c r="A173" s="4">
        <f t="shared" si="5"/>
        <v>154</v>
      </c>
      <c r="B173" s="4"/>
      <c r="C173" s="4"/>
      <c r="D173" s="8">
        <v>45271</v>
      </c>
      <c r="E173" s="8"/>
      <c r="F173" s="20" t="s">
        <v>25</v>
      </c>
      <c r="G173" s="19" t="s">
        <v>630</v>
      </c>
      <c r="H173" s="20" t="s">
        <v>23</v>
      </c>
      <c r="I173" s="20"/>
      <c r="J173" s="60">
        <v>826</v>
      </c>
      <c r="K173" s="60"/>
      <c r="L173" s="60"/>
      <c r="M173" s="24" t="s">
        <v>272</v>
      </c>
      <c r="N173" s="46" t="s">
        <v>632</v>
      </c>
    </row>
    <row r="174" spans="1:15" ht="30" customHeight="1" x14ac:dyDescent="0.3">
      <c r="A174" s="4">
        <f t="shared" si="5"/>
        <v>155</v>
      </c>
      <c r="B174" s="4"/>
      <c r="C174" s="4"/>
      <c r="D174" s="8">
        <v>45282</v>
      </c>
      <c r="E174" s="8"/>
      <c r="F174" s="20" t="s">
        <v>427</v>
      </c>
      <c r="G174" s="19" t="s">
        <v>525</v>
      </c>
      <c r="H174" s="20" t="s">
        <v>207</v>
      </c>
      <c r="I174" s="20" t="s">
        <v>656</v>
      </c>
      <c r="J174" s="60">
        <v>371</v>
      </c>
      <c r="K174" s="60"/>
      <c r="L174" s="60"/>
      <c r="M174" s="21" t="s">
        <v>634</v>
      </c>
      <c r="N174" s="46" t="s">
        <v>470</v>
      </c>
      <c r="O174" s="5" t="s">
        <v>640</v>
      </c>
    </row>
    <row r="175" spans="1:15" s="225" customFormat="1" ht="30" customHeight="1" x14ac:dyDescent="0.3">
      <c r="A175" s="4">
        <f t="shared" si="5"/>
        <v>156</v>
      </c>
      <c r="B175" s="4"/>
      <c r="C175" s="4"/>
      <c r="D175" s="219">
        <v>45299</v>
      </c>
      <c r="E175" s="219"/>
      <c r="F175" s="220" t="s">
        <v>636</v>
      </c>
      <c r="G175" s="221" t="s">
        <v>635</v>
      </c>
      <c r="H175" s="220" t="s">
        <v>207</v>
      </c>
      <c r="I175" s="220" t="s">
        <v>656</v>
      </c>
      <c r="J175" s="222">
        <v>447</v>
      </c>
      <c r="K175" s="222"/>
      <c r="L175" s="222"/>
      <c r="M175" s="223" t="s">
        <v>637</v>
      </c>
      <c r="N175" s="224" t="s">
        <v>470</v>
      </c>
      <c r="O175" s="225" t="s">
        <v>641</v>
      </c>
    </row>
    <row r="176" spans="1:15" ht="30" customHeight="1" x14ac:dyDescent="0.3">
      <c r="A176" s="4">
        <f t="shared" si="5"/>
        <v>157</v>
      </c>
      <c r="B176" s="4"/>
      <c r="C176" s="4"/>
      <c r="D176" s="8">
        <v>45301</v>
      </c>
      <c r="E176" s="8"/>
      <c r="F176" s="20" t="s">
        <v>427</v>
      </c>
      <c r="G176" s="19" t="s">
        <v>505</v>
      </c>
      <c r="H176" s="20" t="s">
        <v>207</v>
      </c>
      <c r="I176" s="20" t="s">
        <v>656</v>
      </c>
      <c r="J176" s="60">
        <v>486</v>
      </c>
      <c r="K176" s="60"/>
      <c r="L176" s="60"/>
      <c r="M176" s="21" t="s">
        <v>634</v>
      </c>
      <c r="N176" s="46" t="s">
        <v>470</v>
      </c>
      <c r="O176" s="5" t="s">
        <v>642</v>
      </c>
    </row>
    <row r="177" spans="1:16" ht="30" customHeight="1" x14ac:dyDescent="0.3">
      <c r="A177" s="4">
        <f t="shared" si="5"/>
        <v>158</v>
      </c>
      <c r="B177" s="4"/>
      <c r="C177" s="4"/>
      <c r="D177" s="8">
        <v>45350</v>
      </c>
      <c r="E177" s="8"/>
      <c r="F177" s="20" t="s">
        <v>419</v>
      </c>
      <c r="G177" s="19" t="s">
        <v>660</v>
      </c>
      <c r="H177" s="20" t="s">
        <v>23</v>
      </c>
      <c r="I177" s="20"/>
      <c r="J177" s="60">
        <v>792</v>
      </c>
      <c r="K177" s="60"/>
      <c r="L177" s="60"/>
      <c r="M177" s="24" t="s">
        <v>420</v>
      </c>
      <c r="N177" s="55" t="s">
        <v>661</v>
      </c>
    </row>
    <row r="178" spans="1:16" ht="30" customHeight="1" x14ac:dyDescent="0.3">
      <c r="A178" s="4">
        <f t="shared" si="5"/>
        <v>159</v>
      </c>
      <c r="B178" s="4"/>
      <c r="C178" s="4"/>
      <c r="D178" s="8">
        <v>45357</v>
      </c>
      <c r="E178" s="8"/>
      <c r="F178" s="20" t="s">
        <v>193</v>
      </c>
      <c r="G178" s="19" t="s">
        <v>643</v>
      </c>
      <c r="H178" s="20" t="s">
        <v>207</v>
      </c>
      <c r="I178" s="20" t="s">
        <v>324</v>
      </c>
      <c r="J178" s="60">
        <v>455</v>
      </c>
      <c r="K178" s="60"/>
      <c r="L178" s="60"/>
      <c r="M178" s="24" t="s">
        <v>664</v>
      </c>
      <c r="N178" s="55" t="s">
        <v>665</v>
      </c>
    </row>
    <row r="179" spans="1:16" ht="30" customHeight="1" x14ac:dyDescent="0.3">
      <c r="A179" s="4">
        <f t="shared" si="5"/>
        <v>160</v>
      </c>
      <c r="B179" s="4"/>
      <c r="C179" s="4"/>
      <c r="D179" s="8">
        <v>45358</v>
      </c>
      <c r="E179" s="8"/>
      <c r="F179" s="20" t="s">
        <v>662</v>
      </c>
      <c r="G179" s="19" t="s">
        <v>644</v>
      </c>
      <c r="H179" s="20" t="s">
        <v>645</v>
      </c>
      <c r="I179" s="20"/>
      <c r="J179" s="192">
        <v>904</v>
      </c>
      <c r="K179" s="60"/>
      <c r="L179" s="60"/>
      <c r="M179" s="24" t="s">
        <v>138</v>
      </c>
      <c r="N179" s="46" t="s">
        <v>663</v>
      </c>
    </row>
    <row r="180" spans="1:16" ht="30" customHeight="1" x14ac:dyDescent="0.3">
      <c r="A180" s="4">
        <f t="shared" si="5"/>
        <v>161</v>
      </c>
      <c r="B180" s="4"/>
      <c r="C180" s="4"/>
      <c r="D180" s="8">
        <v>45422</v>
      </c>
      <c r="E180" s="8"/>
      <c r="F180" s="20" t="s">
        <v>447</v>
      </c>
      <c r="G180" s="19" t="s">
        <v>666</v>
      </c>
      <c r="H180" s="20" t="s">
        <v>23</v>
      </c>
      <c r="I180" s="20"/>
      <c r="J180" s="60">
        <v>246</v>
      </c>
      <c r="K180" s="60"/>
      <c r="L180" s="60"/>
      <c r="M180" s="24" t="s">
        <v>272</v>
      </c>
      <c r="N180" s="55" t="s">
        <v>667</v>
      </c>
    </row>
    <row r="181" spans="1:16" ht="30" customHeight="1" x14ac:dyDescent="0.3">
      <c r="A181" s="4">
        <f t="shared" si="5"/>
        <v>162</v>
      </c>
      <c r="B181" s="4"/>
      <c r="C181" s="4"/>
      <c r="D181" s="8">
        <v>45434</v>
      </c>
      <c r="E181" s="8"/>
      <c r="F181" s="20" t="s">
        <v>26</v>
      </c>
      <c r="G181" s="19" t="s">
        <v>670</v>
      </c>
      <c r="H181" s="20" t="s">
        <v>23</v>
      </c>
      <c r="I181" s="20"/>
      <c r="J181" s="60">
        <v>346</v>
      </c>
      <c r="K181" s="60"/>
      <c r="L181" s="60"/>
      <c r="M181" s="24" t="s">
        <v>675</v>
      </c>
      <c r="N181" s="55" t="s">
        <v>676</v>
      </c>
    </row>
    <row r="182" spans="1:16" ht="30" customHeight="1" x14ac:dyDescent="0.3">
      <c r="A182" s="4">
        <f t="shared" si="5"/>
        <v>163</v>
      </c>
      <c r="B182" s="4"/>
      <c r="C182" s="4"/>
      <c r="D182" s="8">
        <v>45443</v>
      </c>
      <c r="E182" s="8"/>
      <c r="F182" s="20" t="s">
        <v>679</v>
      </c>
      <c r="G182" s="19" t="s">
        <v>671</v>
      </c>
      <c r="H182" s="20" t="s">
        <v>672</v>
      </c>
      <c r="I182" s="20"/>
      <c r="J182" s="201">
        <v>403</v>
      </c>
      <c r="K182" s="60"/>
      <c r="L182" s="60"/>
      <c r="M182" s="24" t="s">
        <v>678</v>
      </c>
      <c r="N182" s="55" t="s">
        <v>677</v>
      </c>
    </row>
    <row r="183" spans="1:16" ht="30" customHeight="1" x14ac:dyDescent="0.3">
      <c r="A183" s="4">
        <f t="shared" si="5"/>
        <v>164</v>
      </c>
      <c r="B183" s="4"/>
      <c r="C183" s="4"/>
      <c r="D183" s="8">
        <v>45455</v>
      </c>
      <c r="E183" s="8"/>
      <c r="F183" s="20" t="s">
        <v>243</v>
      </c>
      <c r="G183" s="19" t="s">
        <v>692</v>
      </c>
      <c r="H183" s="20" t="s">
        <v>695</v>
      </c>
      <c r="I183" s="20"/>
      <c r="J183" s="201">
        <v>258</v>
      </c>
      <c r="K183" s="60"/>
      <c r="L183" s="60"/>
      <c r="M183" s="24" t="s">
        <v>693</v>
      </c>
      <c r="N183" s="55" t="s">
        <v>694</v>
      </c>
    </row>
    <row r="184" spans="1:16" ht="30" customHeight="1" x14ac:dyDescent="0.3">
      <c r="A184" s="4">
        <f t="shared" si="5"/>
        <v>165</v>
      </c>
      <c r="B184" s="4"/>
      <c r="C184" s="4"/>
      <c r="D184" s="8">
        <v>45461</v>
      </c>
      <c r="E184" s="8"/>
      <c r="F184" s="20" t="s">
        <v>447</v>
      </c>
      <c r="G184" s="19" t="s">
        <v>681</v>
      </c>
      <c r="H184" s="20" t="s">
        <v>23</v>
      </c>
      <c r="I184" s="20"/>
      <c r="J184" s="60">
        <v>291</v>
      </c>
      <c r="K184" s="60"/>
      <c r="L184" s="60"/>
      <c r="M184" s="24" t="s">
        <v>272</v>
      </c>
      <c r="N184" s="55" t="s">
        <v>682</v>
      </c>
    </row>
    <row r="185" spans="1:16" ht="30" customHeight="1" x14ac:dyDescent="0.3">
      <c r="A185" s="4">
        <f t="shared" si="5"/>
        <v>166</v>
      </c>
      <c r="B185" s="4"/>
      <c r="C185" s="4"/>
      <c r="D185" s="8">
        <v>45464</v>
      </c>
      <c r="E185" s="8"/>
      <c r="F185" s="20" t="s">
        <v>447</v>
      </c>
      <c r="G185" s="19" t="s">
        <v>683</v>
      </c>
      <c r="H185" s="20" t="s">
        <v>23</v>
      </c>
      <c r="I185" s="20"/>
      <c r="J185" s="60">
        <v>872</v>
      </c>
      <c r="K185" s="60">
        <v>582</v>
      </c>
      <c r="L185" s="60"/>
      <c r="M185" s="24" t="s">
        <v>272</v>
      </c>
      <c r="N185" s="55" t="s">
        <v>684</v>
      </c>
    </row>
    <row r="186" spans="1:16" ht="30" customHeight="1" x14ac:dyDescent="0.3">
      <c r="A186" s="4"/>
      <c r="B186" s="4"/>
      <c r="C186" s="4"/>
      <c r="D186" s="8">
        <v>45464</v>
      </c>
      <c r="E186" s="8"/>
      <c r="F186" s="20" t="s">
        <v>26</v>
      </c>
      <c r="G186" s="19" t="s">
        <v>683</v>
      </c>
      <c r="H186" s="20" t="s">
        <v>23</v>
      </c>
      <c r="I186" s="20"/>
      <c r="J186" s="60">
        <v>872</v>
      </c>
      <c r="K186" s="60">
        <v>290</v>
      </c>
      <c r="L186" s="60"/>
      <c r="M186" s="24" t="s">
        <v>675</v>
      </c>
      <c r="N186" s="55" t="s">
        <v>684</v>
      </c>
    </row>
    <row r="187" spans="1:16" ht="30" customHeight="1" x14ac:dyDescent="0.3">
      <c r="A187" s="4">
        <v>167</v>
      </c>
      <c r="B187" s="4"/>
      <c r="C187" s="4"/>
      <c r="D187" s="8">
        <v>45477</v>
      </c>
      <c r="E187" s="8"/>
      <c r="F187" s="20" t="s">
        <v>419</v>
      </c>
      <c r="G187" s="19" t="s">
        <v>686</v>
      </c>
      <c r="H187" s="20" t="s">
        <v>23</v>
      </c>
      <c r="I187" s="20"/>
      <c r="J187" s="60">
        <v>216</v>
      </c>
      <c r="K187" s="60">
        <v>216</v>
      </c>
      <c r="L187" s="60"/>
      <c r="M187" s="24" t="s">
        <v>420</v>
      </c>
      <c r="N187" s="55" t="s">
        <v>688</v>
      </c>
    </row>
    <row r="188" spans="1:16" ht="30" customHeight="1" x14ac:dyDescent="0.3">
      <c r="A188" s="4">
        <f>A187+1</f>
        <v>168</v>
      </c>
      <c r="B188" s="4"/>
      <c r="C188" s="4"/>
      <c r="D188" s="8">
        <v>45485</v>
      </c>
      <c r="E188" s="8"/>
      <c r="F188" s="20" t="s">
        <v>26</v>
      </c>
      <c r="G188" s="19" t="s">
        <v>496</v>
      </c>
      <c r="H188" s="20" t="s">
        <v>23</v>
      </c>
      <c r="I188" s="20"/>
      <c r="J188" s="201">
        <v>297</v>
      </c>
      <c r="K188" s="60">
        <v>297</v>
      </c>
      <c r="L188" s="24"/>
      <c r="M188" s="24" t="s">
        <v>675</v>
      </c>
      <c r="N188" s="55" t="s">
        <v>689</v>
      </c>
    </row>
    <row r="189" spans="1:16" ht="30" customHeight="1" x14ac:dyDescent="0.3">
      <c r="A189" s="4">
        <f>A188+1</f>
        <v>169</v>
      </c>
      <c r="B189" s="4"/>
      <c r="C189" s="4"/>
      <c r="D189" s="8">
        <v>45492</v>
      </c>
      <c r="E189" s="8"/>
      <c r="F189" s="20" t="s">
        <v>447</v>
      </c>
      <c r="G189" s="19" t="s">
        <v>673</v>
      </c>
      <c r="H189" s="20" t="s">
        <v>23</v>
      </c>
      <c r="I189" s="20"/>
      <c r="J189" s="201">
        <v>1828</v>
      </c>
      <c r="K189" s="60">
        <v>731</v>
      </c>
      <c r="L189" s="24"/>
      <c r="M189" s="24" t="s">
        <v>272</v>
      </c>
      <c r="N189" s="55" t="s">
        <v>691</v>
      </c>
      <c r="P189" s="226"/>
    </row>
    <row r="190" spans="1:16" ht="30" customHeight="1" x14ac:dyDescent="0.3">
      <c r="A190" s="4"/>
      <c r="B190" s="4"/>
      <c r="C190" s="4"/>
      <c r="D190" s="8">
        <v>45492</v>
      </c>
      <c r="E190" s="8"/>
      <c r="F190" s="20" t="s">
        <v>26</v>
      </c>
      <c r="G190" s="19" t="s">
        <v>673</v>
      </c>
      <c r="H190" s="20" t="s">
        <v>23</v>
      </c>
      <c r="I190" s="20"/>
      <c r="J190" s="201">
        <v>1828</v>
      </c>
      <c r="K190" s="60">
        <v>703</v>
      </c>
      <c r="L190" s="60"/>
      <c r="M190" s="24" t="s">
        <v>675</v>
      </c>
      <c r="N190" s="55" t="s">
        <v>691</v>
      </c>
      <c r="P190" s="226"/>
    </row>
    <row r="191" spans="1:16" ht="30" customHeight="1" x14ac:dyDescent="0.3">
      <c r="A191" s="4"/>
      <c r="B191" s="4"/>
      <c r="C191" s="4"/>
      <c r="D191" s="8">
        <v>45492</v>
      </c>
      <c r="E191" s="8"/>
      <c r="F191" s="20" t="s">
        <v>30</v>
      </c>
      <c r="G191" s="19" t="s">
        <v>673</v>
      </c>
      <c r="H191" s="20" t="s">
        <v>23</v>
      </c>
      <c r="I191" s="20"/>
      <c r="J191" s="201">
        <v>1828</v>
      </c>
      <c r="K191" s="60">
        <v>394</v>
      </c>
      <c r="L191" s="60"/>
      <c r="M191" s="24" t="s">
        <v>53</v>
      </c>
      <c r="N191" s="55" t="s">
        <v>691</v>
      </c>
      <c r="P191" s="226"/>
    </row>
    <row r="192" spans="1:16" ht="30" customHeight="1" x14ac:dyDescent="0.3">
      <c r="A192" s="4">
        <v>170</v>
      </c>
      <c r="B192" s="4"/>
      <c r="C192" s="4"/>
      <c r="D192" s="8"/>
      <c r="E192" s="8"/>
      <c r="F192" s="20" t="s">
        <v>447</v>
      </c>
      <c r="G192" s="19" t="s">
        <v>674</v>
      </c>
      <c r="H192" s="20" t="s">
        <v>23</v>
      </c>
      <c r="I192" s="20"/>
      <c r="J192" s="201">
        <v>1265</v>
      </c>
      <c r="K192" s="60">
        <v>1265</v>
      </c>
      <c r="L192" s="60"/>
      <c r="M192" s="24" t="s">
        <v>272</v>
      </c>
      <c r="N192" s="55"/>
      <c r="P192" s="226"/>
    </row>
    <row r="193" spans="1:14" ht="30" customHeight="1" x14ac:dyDescent="0.3">
      <c r="A193" s="4">
        <f t="shared" ref="A193:A203" si="6">A192+1</f>
        <v>171</v>
      </c>
      <c r="B193" s="4"/>
      <c r="C193" s="4"/>
      <c r="D193" s="8">
        <v>45545</v>
      </c>
      <c r="E193" s="8"/>
      <c r="F193" s="20" t="s">
        <v>26</v>
      </c>
      <c r="G193" s="19" t="s">
        <v>685</v>
      </c>
      <c r="H193" s="20" t="s">
        <v>23</v>
      </c>
      <c r="I193" s="20"/>
      <c r="J193" s="201">
        <v>255</v>
      </c>
      <c r="K193" s="60">
        <v>255</v>
      </c>
      <c r="L193" s="60"/>
      <c r="M193" s="24" t="s">
        <v>675</v>
      </c>
      <c r="N193" s="55" t="s">
        <v>718</v>
      </c>
    </row>
    <row r="194" spans="1:14" ht="30" customHeight="1" x14ac:dyDescent="0.3">
      <c r="A194" s="4">
        <f t="shared" si="6"/>
        <v>172</v>
      </c>
      <c r="B194" s="4"/>
      <c r="C194" s="4"/>
      <c r="D194" s="8">
        <v>45546</v>
      </c>
      <c r="E194" s="8"/>
      <c r="F194" s="20" t="s">
        <v>719</v>
      </c>
      <c r="G194" s="19" t="s">
        <v>680</v>
      </c>
      <c r="H194" s="20" t="s">
        <v>687</v>
      </c>
      <c r="I194" s="20"/>
      <c r="J194" s="201">
        <v>1280</v>
      </c>
      <c r="K194" s="60">
        <v>1280</v>
      </c>
      <c r="L194" s="60"/>
      <c r="M194" s="24" t="s">
        <v>720</v>
      </c>
      <c r="N194" s="55" t="s">
        <v>721</v>
      </c>
    </row>
    <row r="195" spans="1:14" ht="30" customHeight="1" x14ac:dyDescent="0.3">
      <c r="A195" s="4">
        <f t="shared" si="6"/>
        <v>173</v>
      </c>
      <c r="B195" s="4"/>
      <c r="C195" s="4"/>
      <c r="D195" s="8">
        <v>45588</v>
      </c>
      <c r="E195" s="8"/>
      <c r="F195" s="20" t="s">
        <v>447</v>
      </c>
      <c r="G195" s="19" t="s">
        <v>722</v>
      </c>
      <c r="H195" s="20" t="s">
        <v>23</v>
      </c>
      <c r="I195" s="20"/>
      <c r="J195" s="60">
        <v>209</v>
      </c>
      <c r="K195" s="60">
        <v>209</v>
      </c>
      <c r="L195" s="60"/>
      <c r="M195" s="24" t="s">
        <v>272</v>
      </c>
      <c r="N195" s="55" t="s">
        <v>723</v>
      </c>
    </row>
    <row r="196" spans="1:14" ht="30" customHeight="1" x14ac:dyDescent="0.3">
      <c r="A196" s="4">
        <f t="shared" si="6"/>
        <v>174</v>
      </c>
      <c r="B196" s="4"/>
      <c r="C196" s="4"/>
      <c r="D196" s="8">
        <v>45679</v>
      </c>
      <c r="E196" s="8"/>
      <c r="F196" s="20" t="s">
        <v>447</v>
      </c>
      <c r="G196" s="19" t="s">
        <v>728</v>
      </c>
      <c r="H196" s="20" t="s">
        <v>23</v>
      </c>
      <c r="I196" s="20"/>
      <c r="J196" s="60">
        <v>310</v>
      </c>
      <c r="K196" s="60">
        <v>310</v>
      </c>
      <c r="L196" s="60"/>
      <c r="M196" s="24" t="s">
        <v>272</v>
      </c>
      <c r="N196" s="55" t="s">
        <v>729</v>
      </c>
    </row>
    <row r="197" spans="1:14" ht="30" customHeight="1" x14ac:dyDescent="0.3">
      <c r="A197" s="4">
        <f t="shared" si="6"/>
        <v>175</v>
      </c>
      <c r="B197" s="4"/>
      <c r="C197" s="4"/>
      <c r="D197" s="8">
        <v>45713</v>
      </c>
      <c r="E197" s="8"/>
      <c r="F197" s="20" t="s">
        <v>447</v>
      </c>
      <c r="G197" s="19" t="s">
        <v>724</v>
      </c>
      <c r="H197" s="20" t="s">
        <v>23</v>
      </c>
      <c r="I197" s="20"/>
      <c r="J197" s="60">
        <v>895</v>
      </c>
      <c r="K197" s="60">
        <v>895</v>
      </c>
      <c r="L197" s="60"/>
      <c r="M197" s="24" t="s">
        <v>272</v>
      </c>
      <c r="N197" s="55" t="s">
        <v>725</v>
      </c>
    </row>
    <row r="198" spans="1:14" ht="30" customHeight="1" x14ac:dyDescent="0.3">
      <c r="A198" s="4">
        <f t="shared" si="6"/>
        <v>176</v>
      </c>
      <c r="B198" s="4"/>
      <c r="C198" s="4"/>
      <c r="D198" s="8">
        <v>45723</v>
      </c>
      <c r="E198" s="8"/>
      <c r="F198" s="20" t="s">
        <v>731</v>
      </c>
      <c r="G198" s="19" t="s">
        <v>730</v>
      </c>
      <c r="H198" s="20" t="s">
        <v>732</v>
      </c>
      <c r="I198" s="20" t="s">
        <v>733</v>
      </c>
      <c r="J198" s="60">
        <v>2694</v>
      </c>
      <c r="K198" s="60">
        <v>2694</v>
      </c>
      <c r="L198" s="60"/>
      <c r="M198" s="24" t="s">
        <v>113</v>
      </c>
      <c r="N198" s="47" t="s">
        <v>734</v>
      </c>
    </row>
    <row r="199" spans="1:14" ht="30" customHeight="1" x14ac:dyDescent="0.3">
      <c r="A199" s="4">
        <f t="shared" si="6"/>
        <v>177</v>
      </c>
      <c r="B199" s="4"/>
      <c r="C199" s="4"/>
      <c r="D199" s="8">
        <v>45728</v>
      </c>
      <c r="E199" s="8"/>
      <c r="F199" s="20" t="s">
        <v>181</v>
      </c>
      <c r="G199" s="19" t="s">
        <v>728</v>
      </c>
      <c r="H199" s="20" t="s">
        <v>740</v>
      </c>
      <c r="I199" s="20"/>
      <c r="J199" s="60">
        <v>2437</v>
      </c>
      <c r="K199" s="60">
        <v>2437</v>
      </c>
      <c r="L199" s="60"/>
      <c r="M199" s="24" t="s">
        <v>735</v>
      </c>
      <c r="N199" s="55" t="s">
        <v>736</v>
      </c>
    </row>
    <row r="200" spans="1:14" ht="30" customHeight="1" x14ac:dyDescent="0.3">
      <c r="A200" s="4">
        <f t="shared" si="6"/>
        <v>178</v>
      </c>
      <c r="B200" s="4"/>
      <c r="C200" s="4"/>
      <c r="D200" s="8">
        <v>45734</v>
      </c>
      <c r="E200" s="8"/>
      <c r="F200" s="20" t="s">
        <v>447</v>
      </c>
      <c r="G200" s="19" t="s">
        <v>737</v>
      </c>
      <c r="H200" s="20" t="s">
        <v>738</v>
      </c>
      <c r="I200" s="20"/>
      <c r="J200" s="60">
        <v>585</v>
      </c>
      <c r="K200" s="60">
        <v>585</v>
      </c>
      <c r="L200" s="60"/>
      <c r="M200" s="24" t="s">
        <v>272</v>
      </c>
      <c r="N200" s="55" t="s">
        <v>739</v>
      </c>
    </row>
    <row r="201" spans="1:14" ht="30" customHeight="1" x14ac:dyDescent="0.3">
      <c r="A201" s="4">
        <f t="shared" si="6"/>
        <v>179</v>
      </c>
      <c r="B201" s="4"/>
      <c r="C201" s="4"/>
      <c r="D201" s="8">
        <v>45742</v>
      </c>
      <c r="E201" s="8"/>
      <c r="F201" s="20" t="s">
        <v>447</v>
      </c>
      <c r="G201" s="19" t="s">
        <v>741</v>
      </c>
      <c r="H201" s="20" t="s">
        <v>23</v>
      </c>
      <c r="I201" s="20"/>
      <c r="J201" s="60">
        <v>218</v>
      </c>
      <c r="K201" s="60">
        <v>218</v>
      </c>
      <c r="L201" s="60"/>
      <c r="M201" s="24" t="s">
        <v>272</v>
      </c>
      <c r="N201" s="55" t="s">
        <v>742</v>
      </c>
    </row>
    <row r="202" spans="1:14" ht="30" customHeight="1" x14ac:dyDescent="0.3">
      <c r="A202" s="4">
        <f t="shared" si="6"/>
        <v>180</v>
      </c>
      <c r="B202" s="4"/>
      <c r="C202" s="4"/>
      <c r="D202" s="8">
        <v>45744</v>
      </c>
      <c r="E202" s="8"/>
      <c r="F202" s="20" t="s">
        <v>743</v>
      </c>
      <c r="G202" s="19" t="s">
        <v>744</v>
      </c>
      <c r="H202" s="20" t="s">
        <v>358</v>
      </c>
      <c r="I202" s="20"/>
      <c r="J202" s="60">
        <v>1932</v>
      </c>
      <c r="K202" s="60">
        <v>1932</v>
      </c>
      <c r="L202" s="60"/>
      <c r="M202" s="24" t="s">
        <v>113</v>
      </c>
      <c r="N202" s="55" t="s">
        <v>745</v>
      </c>
    </row>
    <row r="203" spans="1:14" ht="30" customHeight="1" x14ac:dyDescent="0.3">
      <c r="A203" s="4">
        <f t="shared" si="6"/>
        <v>181</v>
      </c>
      <c r="B203" s="4"/>
      <c r="C203" s="4"/>
      <c r="D203" s="8">
        <v>45763</v>
      </c>
      <c r="E203" s="8"/>
      <c r="F203" s="20" t="s">
        <v>122</v>
      </c>
      <c r="G203" s="19" t="s">
        <v>747</v>
      </c>
      <c r="H203" s="20" t="s">
        <v>748</v>
      </c>
      <c r="I203" s="20"/>
      <c r="J203" s="60">
        <v>1539</v>
      </c>
      <c r="K203" s="60"/>
      <c r="L203" s="60"/>
      <c r="M203" s="24"/>
      <c r="N203" s="55" t="s">
        <v>749</v>
      </c>
    </row>
    <row r="204" spans="1:14" ht="30" customHeight="1" x14ac:dyDescent="0.3">
      <c r="A204" s="4"/>
      <c r="B204" s="4"/>
      <c r="C204" s="4"/>
      <c r="D204" s="8">
        <v>45763</v>
      </c>
      <c r="E204" s="8"/>
      <c r="F204" s="20" t="s">
        <v>746</v>
      </c>
      <c r="G204" s="19" t="s">
        <v>747</v>
      </c>
      <c r="H204" s="20" t="s">
        <v>748</v>
      </c>
      <c r="I204" s="20"/>
      <c r="J204" s="60">
        <v>1539</v>
      </c>
      <c r="K204" s="60"/>
      <c r="L204" s="60"/>
      <c r="M204" s="24"/>
      <c r="N204" s="55" t="s">
        <v>749</v>
      </c>
    </row>
    <row r="205" spans="1:14" ht="30" customHeight="1" x14ac:dyDescent="0.3">
      <c r="A205" s="4">
        <v>182</v>
      </c>
      <c r="B205" s="4"/>
      <c r="C205" s="4"/>
      <c r="D205" s="8">
        <v>45771</v>
      </c>
      <c r="E205" s="8"/>
      <c r="F205" s="20" t="s">
        <v>757</v>
      </c>
      <c r="G205" s="19" t="s">
        <v>752</v>
      </c>
      <c r="H205" s="20" t="s">
        <v>762</v>
      </c>
      <c r="I205" s="20"/>
      <c r="J205" s="60">
        <v>560</v>
      </c>
      <c r="K205" s="60"/>
      <c r="L205" s="60"/>
      <c r="M205" s="24" t="s">
        <v>759</v>
      </c>
      <c r="N205" s="55" t="s">
        <v>760</v>
      </c>
    </row>
    <row r="206" spans="1:14" ht="30" customHeight="1" x14ac:dyDescent="0.3">
      <c r="A206" s="4"/>
      <c r="B206" s="4"/>
      <c r="C206" s="4"/>
      <c r="D206" s="8">
        <v>45771</v>
      </c>
      <c r="E206" s="8"/>
      <c r="F206" s="20" t="s">
        <v>758</v>
      </c>
      <c r="G206" s="19" t="s">
        <v>752</v>
      </c>
      <c r="H206" s="20" t="s">
        <v>762</v>
      </c>
      <c r="I206" s="20"/>
      <c r="J206" s="60">
        <v>560</v>
      </c>
      <c r="K206" s="60"/>
      <c r="L206" s="60"/>
      <c r="M206" s="24" t="s">
        <v>761</v>
      </c>
      <c r="N206" s="55" t="s">
        <v>760</v>
      </c>
    </row>
    <row r="207" spans="1:14" ht="30" customHeight="1" x14ac:dyDescent="0.3">
      <c r="A207" s="4">
        <v>183</v>
      </c>
      <c r="B207" s="4"/>
      <c r="C207" s="4"/>
      <c r="D207" s="8">
        <v>45785</v>
      </c>
      <c r="E207" s="8"/>
      <c r="F207" s="20" t="s">
        <v>529</v>
      </c>
      <c r="G207" s="19" t="s">
        <v>753</v>
      </c>
      <c r="H207" s="20" t="s">
        <v>763</v>
      </c>
      <c r="I207" s="20"/>
      <c r="J207" s="60">
        <v>924</v>
      </c>
      <c r="K207" s="60"/>
      <c r="L207" s="60"/>
      <c r="M207" s="24" t="s">
        <v>530</v>
      </c>
      <c r="N207" s="55" t="s">
        <v>764</v>
      </c>
    </row>
    <row r="208" spans="1:14" ht="30" customHeight="1" x14ac:dyDescent="0.3">
      <c r="A208" s="4">
        <f>A207+1</f>
        <v>184</v>
      </c>
      <c r="B208" s="4"/>
      <c r="C208" s="4"/>
      <c r="D208" s="8">
        <v>45791</v>
      </c>
      <c r="E208" s="8"/>
      <c r="F208" s="20" t="s">
        <v>181</v>
      </c>
      <c r="G208" s="19" t="s">
        <v>754</v>
      </c>
      <c r="H208" s="20" t="s">
        <v>765</v>
      </c>
      <c r="I208" s="20"/>
      <c r="J208" s="60">
        <v>2016</v>
      </c>
      <c r="K208" s="60"/>
      <c r="L208" s="60"/>
      <c r="M208" s="24" t="s">
        <v>289</v>
      </c>
      <c r="N208" s="55" t="s">
        <v>766</v>
      </c>
    </row>
    <row r="209" spans="1:14" ht="30" customHeight="1" x14ac:dyDescent="0.3">
      <c r="A209" s="4">
        <f>A208+1</f>
        <v>185</v>
      </c>
      <c r="B209" s="4"/>
      <c r="C209" s="4"/>
      <c r="D209" s="8">
        <v>45797</v>
      </c>
      <c r="E209" s="8"/>
      <c r="F209" s="20" t="s">
        <v>447</v>
      </c>
      <c r="G209" s="19" t="s">
        <v>755</v>
      </c>
      <c r="H209" s="20" t="s">
        <v>768</v>
      </c>
      <c r="I209" s="20"/>
      <c r="J209" s="60">
        <v>2048</v>
      </c>
      <c r="K209" s="60">
        <v>1170</v>
      </c>
      <c r="L209" s="60"/>
      <c r="M209" s="24" t="s">
        <v>769</v>
      </c>
      <c r="N209" s="55" t="s">
        <v>770</v>
      </c>
    </row>
    <row r="210" spans="1:14" ht="30" customHeight="1" x14ac:dyDescent="0.3">
      <c r="A210" s="4"/>
      <c r="B210" s="4"/>
      <c r="C210" s="4"/>
      <c r="D210" s="8">
        <v>45797</v>
      </c>
      <c r="E210" s="8"/>
      <c r="F210" s="20" t="s">
        <v>767</v>
      </c>
      <c r="G210" s="19" t="s">
        <v>755</v>
      </c>
      <c r="H210" s="20" t="s">
        <v>768</v>
      </c>
      <c r="I210" s="20"/>
      <c r="J210" s="60">
        <v>2048</v>
      </c>
      <c r="K210" s="60">
        <v>877</v>
      </c>
      <c r="L210" s="60"/>
      <c r="M210" s="24" t="s">
        <v>276</v>
      </c>
      <c r="N210" s="55" t="s">
        <v>770</v>
      </c>
    </row>
    <row r="211" spans="1:14" ht="30" customHeight="1" x14ac:dyDescent="0.3">
      <c r="A211" s="4">
        <v>186</v>
      </c>
      <c r="B211" s="4"/>
      <c r="C211" s="4"/>
      <c r="D211" s="8">
        <v>45806</v>
      </c>
      <c r="E211" s="8"/>
      <c r="F211" s="20" t="s">
        <v>743</v>
      </c>
      <c r="G211" s="19" t="s">
        <v>756</v>
      </c>
      <c r="H211" s="20" t="s">
        <v>771</v>
      </c>
      <c r="I211" s="20" t="s">
        <v>772</v>
      </c>
      <c r="J211" s="60">
        <v>851</v>
      </c>
      <c r="K211" s="60"/>
      <c r="L211" s="60"/>
      <c r="M211" s="24" t="s">
        <v>113</v>
      </c>
      <c r="N211" s="55" t="s">
        <v>773</v>
      </c>
    </row>
    <row r="212" spans="1:14" ht="30" customHeight="1" x14ac:dyDescent="0.3">
      <c r="A212" s="4">
        <f t="shared" ref="A212:A219" si="7">A211+1</f>
        <v>187</v>
      </c>
      <c r="B212" s="4"/>
      <c r="C212" s="4"/>
      <c r="D212" s="8"/>
      <c r="E212" s="8"/>
      <c r="F212" s="20"/>
      <c r="G212" s="19"/>
      <c r="H212" s="20"/>
      <c r="I212" s="20"/>
      <c r="J212" s="60"/>
      <c r="K212" s="60"/>
      <c r="L212" s="60"/>
      <c r="M212" s="24"/>
      <c r="N212" s="55"/>
    </row>
    <row r="213" spans="1:14" ht="30" customHeight="1" x14ac:dyDescent="0.3">
      <c r="A213" s="4">
        <f t="shared" si="7"/>
        <v>188</v>
      </c>
      <c r="B213" s="4"/>
      <c r="C213" s="4"/>
      <c r="D213" s="8"/>
      <c r="E213" s="8"/>
      <c r="F213" s="20"/>
      <c r="G213" s="19"/>
      <c r="H213" s="20"/>
      <c r="I213" s="20"/>
      <c r="J213" s="60"/>
      <c r="K213" s="60"/>
      <c r="L213" s="60"/>
      <c r="M213" s="24"/>
      <c r="N213" s="55"/>
    </row>
    <row r="214" spans="1:14" ht="30" customHeight="1" x14ac:dyDescent="0.3">
      <c r="A214" s="4">
        <f t="shared" si="7"/>
        <v>189</v>
      </c>
      <c r="B214" s="4"/>
      <c r="C214" s="4"/>
      <c r="D214" s="8"/>
      <c r="E214" s="8"/>
      <c r="F214" s="20"/>
      <c r="G214" s="19"/>
      <c r="H214" s="20"/>
      <c r="I214" s="20"/>
      <c r="J214" s="60"/>
      <c r="K214" s="60"/>
      <c r="L214" s="60"/>
      <c r="M214" s="24"/>
      <c r="N214" s="55"/>
    </row>
    <row r="215" spans="1:14" ht="30" customHeight="1" x14ac:dyDescent="0.3">
      <c r="A215" s="4">
        <f t="shared" si="7"/>
        <v>190</v>
      </c>
      <c r="B215" s="4"/>
      <c r="C215" s="4"/>
      <c r="D215" s="8"/>
      <c r="E215" s="8"/>
      <c r="F215" s="20"/>
      <c r="G215" s="19"/>
      <c r="H215" s="20"/>
      <c r="I215" s="20"/>
      <c r="J215" s="60"/>
      <c r="K215" s="60"/>
      <c r="L215" s="60"/>
      <c r="M215" s="24"/>
      <c r="N215" s="55"/>
    </row>
    <row r="216" spans="1:14" ht="30" customHeight="1" x14ac:dyDescent="0.3">
      <c r="A216" s="4">
        <f t="shared" si="7"/>
        <v>191</v>
      </c>
      <c r="B216" s="4"/>
      <c r="C216" s="4"/>
      <c r="D216" s="8"/>
      <c r="E216" s="8"/>
      <c r="F216" s="20"/>
      <c r="G216" s="19"/>
      <c r="H216" s="20"/>
      <c r="I216" s="20"/>
      <c r="J216" s="60"/>
      <c r="K216" s="60"/>
      <c r="L216" s="60"/>
      <c r="M216" s="24"/>
      <c r="N216" s="55"/>
    </row>
    <row r="217" spans="1:14" ht="30" customHeight="1" x14ac:dyDescent="0.3">
      <c r="A217" s="4">
        <f t="shared" si="7"/>
        <v>192</v>
      </c>
      <c r="B217" s="4"/>
      <c r="C217" s="4"/>
      <c r="D217" s="8"/>
      <c r="E217" s="8"/>
      <c r="F217" s="20"/>
      <c r="G217" s="19"/>
      <c r="H217" s="20"/>
      <c r="I217" s="20"/>
      <c r="J217" s="60"/>
      <c r="K217" s="60"/>
      <c r="L217" s="60"/>
      <c r="M217" s="24"/>
      <c r="N217" s="20"/>
    </row>
    <row r="218" spans="1:14" ht="30" customHeight="1" x14ac:dyDescent="0.3">
      <c r="A218" s="4">
        <f t="shared" si="7"/>
        <v>193</v>
      </c>
      <c r="B218" s="4"/>
      <c r="C218" s="4"/>
      <c r="D218" s="8"/>
      <c r="E218" s="8"/>
      <c r="F218" s="20"/>
      <c r="G218" s="19"/>
      <c r="H218" s="20"/>
      <c r="I218" s="20"/>
      <c r="J218" s="60"/>
      <c r="K218" s="60"/>
      <c r="L218" s="60"/>
      <c r="M218" s="24"/>
      <c r="N218" s="20"/>
    </row>
    <row r="219" spans="1:14" ht="30" customHeight="1" x14ac:dyDescent="0.3">
      <c r="A219" s="4">
        <f t="shared" si="7"/>
        <v>194</v>
      </c>
      <c r="B219" s="4"/>
      <c r="C219" s="4"/>
      <c r="D219" s="8"/>
      <c r="E219" s="8"/>
      <c r="F219" s="20"/>
      <c r="G219" s="19"/>
      <c r="H219" s="20"/>
      <c r="I219" s="20"/>
      <c r="J219" s="60"/>
      <c r="K219" s="60"/>
      <c r="L219" s="60"/>
      <c r="M219" s="24"/>
      <c r="N219" s="20"/>
    </row>
    <row r="220" spans="1:14" ht="30" customHeight="1" x14ac:dyDescent="0.3">
      <c r="A220" s="4">
        <f t="shared" ref="A220:A246" si="8">A219+1</f>
        <v>195</v>
      </c>
      <c r="B220" s="4"/>
      <c r="C220" s="4"/>
      <c r="D220" s="8"/>
      <c r="E220" s="8"/>
      <c r="F220" s="20"/>
      <c r="G220" s="19"/>
      <c r="H220" s="20"/>
      <c r="I220" s="20"/>
      <c r="J220" s="60"/>
      <c r="K220" s="60"/>
      <c r="L220" s="60"/>
      <c r="M220" s="24"/>
      <c r="N220" s="20"/>
    </row>
    <row r="221" spans="1:14" ht="30" customHeight="1" x14ac:dyDescent="0.3">
      <c r="A221" s="4">
        <f t="shared" si="8"/>
        <v>196</v>
      </c>
      <c r="B221" s="4"/>
      <c r="C221" s="4"/>
      <c r="D221" s="8"/>
      <c r="E221" s="8"/>
      <c r="F221" s="20"/>
      <c r="G221" s="19"/>
      <c r="H221" s="20"/>
      <c r="I221" s="20"/>
      <c r="J221" s="60"/>
      <c r="K221" s="60"/>
      <c r="L221" s="60"/>
      <c r="M221" s="24"/>
      <c r="N221" s="20"/>
    </row>
    <row r="222" spans="1:14" ht="30" customHeight="1" x14ac:dyDescent="0.3">
      <c r="A222" s="4">
        <f t="shared" si="8"/>
        <v>197</v>
      </c>
      <c r="B222" s="4"/>
      <c r="C222" s="4"/>
      <c r="D222" s="8"/>
      <c r="E222" s="8"/>
      <c r="F222" s="20"/>
      <c r="G222" s="19"/>
      <c r="H222" s="20"/>
      <c r="I222" s="20"/>
      <c r="J222" s="60"/>
      <c r="K222" s="60"/>
      <c r="L222" s="60"/>
      <c r="M222" s="24"/>
      <c r="N222" s="20"/>
    </row>
    <row r="223" spans="1:14" ht="30" customHeight="1" x14ac:dyDescent="0.3">
      <c r="A223" s="4">
        <f t="shared" si="8"/>
        <v>198</v>
      </c>
      <c r="B223" s="4"/>
      <c r="C223" s="4"/>
      <c r="D223" s="8"/>
      <c r="E223" s="8"/>
      <c r="F223" s="20"/>
      <c r="G223" s="19"/>
      <c r="H223" s="20"/>
      <c r="I223" s="20"/>
      <c r="J223" s="60"/>
      <c r="K223" s="60"/>
      <c r="L223" s="60"/>
      <c r="M223" s="24"/>
      <c r="N223" s="20"/>
    </row>
    <row r="224" spans="1:14" ht="30" customHeight="1" x14ac:dyDescent="0.3">
      <c r="A224" s="4">
        <f t="shared" si="8"/>
        <v>199</v>
      </c>
      <c r="B224" s="4"/>
      <c r="C224" s="4"/>
      <c r="D224" s="8"/>
      <c r="E224" s="8"/>
      <c r="F224" s="20"/>
      <c r="G224" s="19"/>
      <c r="H224" s="20"/>
      <c r="I224" s="20"/>
      <c r="J224" s="60"/>
      <c r="K224" s="60"/>
      <c r="L224" s="60"/>
      <c r="M224" s="24"/>
      <c r="N224" s="20"/>
    </row>
    <row r="225" spans="1:14" ht="30" customHeight="1" x14ac:dyDescent="0.3">
      <c r="A225" s="4">
        <f t="shared" si="8"/>
        <v>200</v>
      </c>
      <c r="B225" s="4"/>
      <c r="C225" s="4"/>
      <c r="D225" s="8"/>
      <c r="E225" s="8"/>
      <c r="F225" s="20"/>
      <c r="G225" s="19"/>
      <c r="H225" s="20"/>
      <c r="I225" s="20"/>
      <c r="J225" s="60"/>
      <c r="K225" s="60"/>
      <c r="L225" s="60"/>
      <c r="M225" s="24"/>
      <c r="N225" s="20"/>
    </row>
    <row r="226" spans="1:14" ht="30" customHeight="1" x14ac:dyDescent="0.3">
      <c r="A226" s="4">
        <f t="shared" si="8"/>
        <v>201</v>
      </c>
      <c r="B226" s="4"/>
      <c r="C226" s="4"/>
      <c r="D226" s="8"/>
      <c r="E226" s="8"/>
      <c r="F226" s="20"/>
      <c r="G226" s="19"/>
      <c r="H226" s="20"/>
      <c r="I226" s="20"/>
      <c r="J226" s="60"/>
      <c r="K226" s="60"/>
      <c r="L226" s="60"/>
      <c r="M226" s="24"/>
      <c r="N226" s="20"/>
    </row>
    <row r="227" spans="1:14" ht="30" customHeight="1" x14ac:dyDescent="0.3">
      <c r="A227" s="4">
        <f t="shared" si="8"/>
        <v>202</v>
      </c>
      <c r="B227" s="4"/>
      <c r="C227" s="4"/>
      <c r="D227" s="8"/>
      <c r="E227" s="8"/>
      <c r="F227" s="20"/>
      <c r="G227" s="19"/>
      <c r="H227" s="20"/>
      <c r="I227" s="20"/>
      <c r="J227" s="60"/>
      <c r="K227" s="60"/>
      <c r="L227" s="60"/>
      <c r="M227" s="24"/>
      <c r="N227" s="20"/>
    </row>
    <row r="228" spans="1:14" ht="30" customHeight="1" x14ac:dyDescent="0.3">
      <c r="A228" s="4">
        <f t="shared" si="8"/>
        <v>203</v>
      </c>
      <c r="B228" s="4"/>
      <c r="C228" s="4"/>
      <c r="D228" s="8"/>
      <c r="E228" s="8"/>
      <c r="F228" s="20"/>
      <c r="G228" s="19"/>
      <c r="H228" s="20"/>
      <c r="I228" s="20"/>
      <c r="J228" s="60"/>
      <c r="K228" s="60"/>
      <c r="L228" s="60"/>
      <c r="M228" s="24"/>
      <c r="N228" s="20"/>
    </row>
    <row r="229" spans="1:14" ht="30" customHeight="1" x14ac:dyDescent="0.3">
      <c r="A229" s="4">
        <f t="shared" si="8"/>
        <v>204</v>
      </c>
      <c r="B229" s="4"/>
      <c r="C229" s="4"/>
      <c r="D229" s="8"/>
      <c r="E229" s="8"/>
      <c r="F229" s="20"/>
      <c r="G229" s="19"/>
      <c r="H229" s="20"/>
      <c r="I229" s="20"/>
      <c r="J229" s="60"/>
      <c r="K229" s="60"/>
      <c r="L229" s="60"/>
      <c r="M229" s="24"/>
      <c r="N229" s="20"/>
    </row>
    <row r="230" spans="1:14" ht="30" customHeight="1" x14ac:dyDescent="0.3">
      <c r="A230" s="4">
        <f t="shared" si="8"/>
        <v>205</v>
      </c>
      <c r="B230" s="4"/>
      <c r="C230" s="4"/>
      <c r="D230" s="8"/>
      <c r="E230" s="8"/>
      <c r="F230" s="20"/>
      <c r="G230" s="19"/>
      <c r="H230" s="20"/>
      <c r="I230" s="20"/>
      <c r="J230" s="60"/>
      <c r="K230" s="60"/>
      <c r="L230" s="60"/>
      <c r="M230" s="24"/>
      <c r="N230" s="20"/>
    </row>
    <row r="231" spans="1:14" ht="30" customHeight="1" x14ac:dyDescent="0.3">
      <c r="A231" s="4">
        <f t="shared" si="8"/>
        <v>206</v>
      </c>
      <c r="B231" s="4"/>
      <c r="C231" s="4"/>
      <c r="D231" s="8"/>
      <c r="E231" s="8"/>
      <c r="F231" s="20"/>
      <c r="G231" s="19"/>
      <c r="H231" s="20"/>
      <c r="I231" s="20"/>
      <c r="J231" s="60"/>
      <c r="K231" s="60"/>
      <c r="L231" s="60"/>
      <c r="M231" s="24"/>
      <c r="N231" s="20"/>
    </row>
    <row r="232" spans="1:14" ht="30" customHeight="1" x14ac:dyDescent="0.3">
      <c r="A232" s="4">
        <f t="shared" si="8"/>
        <v>207</v>
      </c>
      <c r="B232" s="4"/>
      <c r="C232" s="4"/>
      <c r="D232" s="8"/>
      <c r="E232" s="8"/>
      <c r="F232" s="20"/>
      <c r="G232" s="19"/>
      <c r="H232" s="20"/>
      <c r="I232" s="20"/>
      <c r="J232" s="60"/>
      <c r="K232" s="60"/>
      <c r="L232" s="60"/>
      <c r="M232" s="24"/>
      <c r="N232" s="20"/>
    </row>
    <row r="233" spans="1:14" ht="30" customHeight="1" x14ac:dyDescent="0.3">
      <c r="A233" s="4">
        <f t="shared" si="8"/>
        <v>208</v>
      </c>
      <c r="B233" s="4"/>
      <c r="C233" s="4"/>
      <c r="D233" s="8"/>
      <c r="E233" s="8"/>
      <c r="F233" s="20"/>
      <c r="G233" s="19"/>
      <c r="H233" s="20"/>
      <c r="I233" s="20"/>
      <c r="J233" s="60"/>
      <c r="K233" s="60"/>
      <c r="L233" s="60"/>
      <c r="M233" s="24"/>
      <c r="N233" s="20"/>
    </row>
    <row r="234" spans="1:14" ht="30" customHeight="1" x14ac:dyDescent="0.3">
      <c r="A234" s="4">
        <f t="shared" si="8"/>
        <v>209</v>
      </c>
      <c r="B234" s="4"/>
      <c r="C234" s="4"/>
      <c r="D234" s="8"/>
      <c r="E234" s="8"/>
      <c r="F234" s="20"/>
      <c r="G234" s="19"/>
      <c r="H234" s="20"/>
      <c r="I234" s="20"/>
      <c r="J234" s="60"/>
      <c r="K234" s="60"/>
      <c r="L234" s="60"/>
      <c r="M234" s="24"/>
      <c r="N234" s="20"/>
    </row>
    <row r="235" spans="1:14" ht="30" customHeight="1" x14ac:dyDescent="0.3">
      <c r="A235" s="4">
        <f t="shared" si="8"/>
        <v>210</v>
      </c>
      <c r="B235" s="4"/>
      <c r="C235" s="4"/>
      <c r="D235" s="8"/>
      <c r="E235" s="8"/>
      <c r="F235" s="20"/>
      <c r="G235" s="19"/>
      <c r="H235" s="20"/>
      <c r="I235" s="20"/>
      <c r="J235" s="60"/>
      <c r="K235" s="60"/>
      <c r="L235" s="60"/>
      <c r="M235" s="24"/>
      <c r="N235" s="20"/>
    </row>
    <row r="236" spans="1:14" ht="30" customHeight="1" x14ac:dyDescent="0.3">
      <c r="A236" s="4">
        <f t="shared" si="8"/>
        <v>211</v>
      </c>
      <c r="B236" s="4"/>
      <c r="C236" s="4"/>
      <c r="D236" s="8"/>
      <c r="E236" s="8"/>
      <c r="F236" s="20"/>
      <c r="G236" s="19"/>
      <c r="H236" s="20"/>
      <c r="I236" s="20"/>
      <c r="J236" s="60"/>
      <c r="K236" s="60"/>
      <c r="L236" s="60"/>
      <c r="M236" s="24"/>
      <c r="N236" s="20"/>
    </row>
    <row r="237" spans="1:14" ht="30" customHeight="1" x14ac:dyDescent="0.3">
      <c r="A237" s="4">
        <f t="shared" si="8"/>
        <v>212</v>
      </c>
      <c r="B237" s="4"/>
      <c r="C237" s="4"/>
      <c r="D237" s="8"/>
      <c r="E237" s="8"/>
      <c r="F237" s="20"/>
      <c r="G237" s="19"/>
      <c r="H237" s="20"/>
      <c r="I237" s="20"/>
      <c r="J237" s="60"/>
      <c r="K237" s="60"/>
      <c r="L237" s="60"/>
      <c r="M237" s="24"/>
      <c r="N237" s="20"/>
    </row>
    <row r="238" spans="1:14" ht="30" customHeight="1" x14ac:dyDescent="0.3">
      <c r="A238" s="4">
        <f>A237+1</f>
        <v>213</v>
      </c>
      <c r="B238" s="4"/>
      <c r="C238" s="4"/>
      <c r="D238" s="8"/>
      <c r="E238" s="8"/>
      <c r="F238" s="20"/>
      <c r="G238" s="19"/>
      <c r="H238" s="20"/>
      <c r="I238" s="20"/>
      <c r="J238" s="60"/>
      <c r="K238" s="60"/>
      <c r="L238" s="60"/>
      <c r="M238" s="24"/>
      <c r="N238" s="20"/>
    </row>
    <row r="239" spans="1:14" ht="30" customHeight="1" x14ac:dyDescent="0.3">
      <c r="A239" s="4">
        <f t="shared" si="8"/>
        <v>214</v>
      </c>
      <c r="B239" s="4"/>
      <c r="C239" s="4"/>
      <c r="D239" s="8"/>
      <c r="E239" s="8"/>
      <c r="F239" s="20"/>
      <c r="G239" s="19"/>
      <c r="H239" s="20"/>
      <c r="I239" s="20"/>
      <c r="J239" s="60"/>
      <c r="K239" s="60"/>
      <c r="L239" s="60"/>
      <c r="M239" s="24"/>
      <c r="N239" s="20"/>
    </row>
    <row r="240" spans="1:14" ht="30" customHeight="1" x14ac:dyDescent="0.3">
      <c r="A240" s="4">
        <f t="shared" si="8"/>
        <v>215</v>
      </c>
      <c r="B240" s="4"/>
      <c r="C240" s="4"/>
      <c r="D240" s="8"/>
      <c r="E240" s="8"/>
      <c r="F240" s="20"/>
      <c r="G240" s="19"/>
      <c r="H240" s="20"/>
      <c r="I240" s="20"/>
      <c r="J240" s="60"/>
      <c r="K240" s="60"/>
      <c r="L240" s="60"/>
      <c r="M240" s="24"/>
      <c r="N240" s="20"/>
    </row>
    <row r="241" spans="1:14" ht="30" customHeight="1" x14ac:dyDescent="0.3">
      <c r="A241" s="4">
        <f t="shared" si="8"/>
        <v>216</v>
      </c>
      <c r="B241" s="4"/>
      <c r="C241" s="4"/>
      <c r="D241" s="8"/>
      <c r="E241" s="8"/>
      <c r="F241" s="20"/>
      <c r="G241" s="19"/>
      <c r="H241" s="20"/>
      <c r="I241" s="20"/>
      <c r="J241" s="60"/>
      <c r="K241" s="60"/>
      <c r="L241" s="60"/>
      <c r="M241" s="24"/>
      <c r="N241" s="20"/>
    </row>
    <row r="242" spans="1:14" ht="30" customHeight="1" x14ac:dyDescent="0.3">
      <c r="A242" s="4">
        <f t="shared" si="8"/>
        <v>217</v>
      </c>
      <c r="B242" s="4"/>
      <c r="C242" s="4"/>
      <c r="D242" s="8"/>
      <c r="E242" s="8"/>
      <c r="F242" s="20"/>
      <c r="G242" s="19"/>
      <c r="H242" s="20"/>
      <c r="I242" s="20"/>
      <c r="J242" s="60"/>
      <c r="K242" s="60"/>
      <c r="L242" s="60"/>
      <c r="M242" s="24"/>
      <c r="N242" s="20"/>
    </row>
    <row r="243" spans="1:14" ht="30" customHeight="1" x14ac:dyDescent="0.3">
      <c r="A243" s="4">
        <f t="shared" si="8"/>
        <v>218</v>
      </c>
      <c r="B243" s="4"/>
      <c r="C243" s="4"/>
      <c r="D243" s="8"/>
      <c r="E243" s="8"/>
      <c r="F243" s="20"/>
      <c r="G243" s="19"/>
      <c r="H243" s="20"/>
      <c r="I243" s="20"/>
      <c r="J243" s="60"/>
      <c r="K243" s="60"/>
      <c r="L243" s="60"/>
      <c r="M243" s="24"/>
      <c r="N243" s="20"/>
    </row>
    <row r="244" spans="1:14" ht="30" customHeight="1" x14ac:dyDescent="0.3">
      <c r="A244" s="4">
        <f t="shared" si="8"/>
        <v>219</v>
      </c>
      <c r="B244" s="4"/>
      <c r="C244" s="4"/>
      <c r="D244" s="8"/>
      <c r="E244" s="8"/>
      <c r="F244" s="20"/>
      <c r="G244" s="19"/>
      <c r="H244" s="20"/>
      <c r="I244" s="20"/>
      <c r="J244" s="60"/>
      <c r="K244" s="60"/>
      <c r="L244" s="60"/>
      <c r="M244" s="24"/>
      <c r="N244" s="20"/>
    </row>
    <row r="245" spans="1:14" ht="30" customHeight="1" x14ac:dyDescent="0.3">
      <c r="A245" s="4">
        <f t="shared" si="8"/>
        <v>220</v>
      </c>
      <c r="B245" s="4"/>
      <c r="C245" s="4"/>
      <c r="D245" s="8"/>
      <c r="E245" s="8"/>
      <c r="F245" s="20"/>
      <c r="G245" s="19"/>
      <c r="H245" s="20"/>
      <c r="I245" s="20"/>
      <c r="J245" s="60"/>
      <c r="K245" s="60"/>
      <c r="L245" s="60"/>
      <c r="M245" s="24"/>
      <c r="N245" s="20"/>
    </row>
    <row r="246" spans="1:14" ht="30" customHeight="1" x14ac:dyDescent="0.3">
      <c r="A246" s="4">
        <f t="shared" si="8"/>
        <v>221</v>
      </c>
      <c r="B246" s="4"/>
      <c r="C246" s="4"/>
      <c r="D246" s="8"/>
      <c r="E246" s="8"/>
      <c r="F246" s="20"/>
      <c r="G246" s="19"/>
      <c r="H246" s="20"/>
      <c r="I246" s="20"/>
      <c r="J246" s="60"/>
      <c r="K246" s="60"/>
      <c r="L246" s="60"/>
      <c r="M246" s="24"/>
      <c r="N246" s="20"/>
    </row>
    <row r="1048576" spans="1:1" ht="30" customHeight="1" x14ac:dyDescent="0.3">
      <c r="A1048576" s="4"/>
    </row>
  </sheetData>
  <autoFilter ref="A2:P197" xr:uid="{00000000-0009-0000-0000-000001000000}"/>
  <mergeCells count="12">
    <mergeCell ref="K1:K2"/>
    <mergeCell ref="M1:M2"/>
    <mergeCell ref="N1:N2"/>
    <mergeCell ref="A1:A2"/>
    <mergeCell ref="D1:D2"/>
    <mergeCell ref="F1:F2"/>
    <mergeCell ref="G1:G2"/>
    <mergeCell ref="H1:I1"/>
    <mergeCell ref="J1:J2"/>
    <mergeCell ref="B1:B2"/>
    <mergeCell ref="C1:C2"/>
    <mergeCell ref="E1:E2"/>
  </mergeCells>
  <phoneticPr fontId="1" type="noConversion"/>
  <conditionalFormatting sqref="A3:C246">
    <cfRule type="containsText" dxfId="36" priority="5" operator="containsText" text="원도급">
      <formula>NOT(ISERROR(SEARCH("원도급",A3)))</formula>
    </cfRule>
    <cfRule type="containsText" dxfId="35" priority="6" operator="containsText" text="하도급">
      <formula>NOT(ISERROR(SEARCH("하도급",A3)))</formula>
    </cfRule>
  </conditionalFormatting>
  <conditionalFormatting sqref="A1048576:C1048576">
    <cfRule type="containsText" dxfId="34" priority="1" operator="containsText" text="원도급">
      <formula>NOT(ISERROR(SEARCH("원도급",A1048576)))</formula>
    </cfRule>
    <cfRule type="containsText" dxfId="33" priority="2" operator="containsText" text="하도급">
      <formula>NOT(ISERROR(SEARCH("하도급",A1048576)))</formula>
    </cfRule>
  </conditionalFormatting>
  <conditionalFormatting sqref="J1:J186 J188:J1048576">
    <cfRule type="cellIs" dxfId="32" priority="59" operator="greaterThanOrEqual">
      <formula>500</formula>
    </cfRule>
  </conditionalFormatting>
  <pageMargins left="0.70866141732283472" right="0.70866141732283472" top="0.74803149606299213" bottom="0.74803149606299213" header="0.31496062992125984" footer="0.31496062992125984"/>
  <pageSetup paperSize="9" scale="32" orientation="portrait" r:id="rId1"/>
  <rowBreaks count="1" manualBreakCount="1">
    <brk id="80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8"/>
  <sheetViews>
    <sheetView view="pageBreakPreview" zoomScaleNormal="100" zoomScaleSheetLayoutView="100" workbookViewId="0">
      <pane ySplit="1" topLeftCell="A107" activePane="bottomLeft" state="frozen"/>
      <selection activeCell="K99" sqref="K99"/>
      <selection pane="bottomLeft" activeCell="K99" sqref="K99"/>
    </sheetView>
  </sheetViews>
  <sheetFormatPr defaultRowHeight="30" customHeight="1" x14ac:dyDescent="0.3"/>
  <cols>
    <col min="1" max="1" width="36.125" style="26" customWidth="1"/>
    <col min="2" max="2" width="14.625" style="26" bestFit="1" customWidth="1"/>
    <col min="3" max="3" width="18.125" style="26" customWidth="1"/>
    <col min="4" max="4" width="9" style="5"/>
  </cols>
  <sheetData>
    <row r="1" spans="1:4" ht="30" customHeight="1" x14ac:dyDescent="0.3">
      <c r="A1" s="42" t="s">
        <v>300</v>
      </c>
      <c r="B1" s="66" t="s">
        <v>301</v>
      </c>
      <c r="C1" s="69" t="s">
        <v>0</v>
      </c>
      <c r="D1" s="42" t="s">
        <v>2</v>
      </c>
    </row>
    <row r="2" spans="1:4" ht="30" customHeight="1" x14ac:dyDescent="0.3">
      <c r="A2" s="20" t="s">
        <v>355</v>
      </c>
      <c r="B2" s="67"/>
      <c r="C2" s="70"/>
      <c r="D2" s="8">
        <v>44643</v>
      </c>
    </row>
    <row r="3" spans="1:4" ht="30" customHeight="1" x14ac:dyDescent="0.3">
      <c r="A3" s="20" t="s">
        <v>299</v>
      </c>
      <c r="B3" s="67"/>
      <c r="C3" s="70" t="s">
        <v>330</v>
      </c>
      <c r="D3" s="8">
        <v>44861</v>
      </c>
    </row>
    <row r="4" spans="1:4" ht="30" customHeight="1" x14ac:dyDescent="0.3">
      <c r="A4" s="4" t="s">
        <v>225</v>
      </c>
      <c r="B4" s="67"/>
      <c r="C4" s="70" t="s">
        <v>331</v>
      </c>
      <c r="D4" s="8">
        <v>44861</v>
      </c>
    </row>
    <row r="5" spans="1:4" ht="30" customHeight="1" x14ac:dyDescent="0.3">
      <c r="A5" s="4" t="s">
        <v>307</v>
      </c>
      <c r="B5" s="67" t="s">
        <v>306</v>
      </c>
      <c r="C5" s="70" t="s">
        <v>332</v>
      </c>
      <c r="D5" s="8">
        <v>44761</v>
      </c>
    </row>
    <row r="6" spans="1:4" ht="30" customHeight="1" x14ac:dyDescent="0.3">
      <c r="A6" s="4" t="s">
        <v>214</v>
      </c>
      <c r="B6" s="67"/>
      <c r="C6" s="48" t="s">
        <v>61</v>
      </c>
      <c r="D6" s="8">
        <v>44714</v>
      </c>
    </row>
    <row r="7" spans="1:4" ht="30" customHeight="1" x14ac:dyDescent="0.3">
      <c r="A7" s="310" t="s">
        <v>520</v>
      </c>
      <c r="B7" s="67"/>
      <c r="C7" s="48" t="s">
        <v>499</v>
      </c>
      <c r="D7" s="8">
        <v>45154</v>
      </c>
    </row>
    <row r="8" spans="1:4" ht="30" customHeight="1" x14ac:dyDescent="0.3">
      <c r="A8" s="311"/>
      <c r="B8" s="67"/>
      <c r="C8" s="48" t="s">
        <v>625</v>
      </c>
      <c r="D8" s="8">
        <v>45265</v>
      </c>
    </row>
    <row r="9" spans="1:4" ht="30" customHeight="1" x14ac:dyDescent="0.3">
      <c r="A9" s="4" t="s">
        <v>305</v>
      </c>
      <c r="B9" s="67" t="s">
        <v>304</v>
      </c>
      <c r="C9" s="48" t="s">
        <v>20</v>
      </c>
      <c r="D9" s="8">
        <v>44664</v>
      </c>
    </row>
    <row r="10" spans="1:4" ht="30" customHeight="1" x14ac:dyDescent="0.3">
      <c r="A10" s="4" t="s">
        <v>303</v>
      </c>
      <c r="B10" s="67" t="s">
        <v>302</v>
      </c>
      <c r="C10" s="48" t="s">
        <v>65</v>
      </c>
      <c r="D10" s="8">
        <v>44720</v>
      </c>
    </row>
    <row r="11" spans="1:4" ht="30" customHeight="1" x14ac:dyDescent="0.3">
      <c r="A11" s="310" t="s">
        <v>264</v>
      </c>
      <c r="B11" s="312"/>
      <c r="C11" s="48" t="s">
        <v>122</v>
      </c>
      <c r="D11" s="8">
        <v>44965</v>
      </c>
    </row>
    <row r="12" spans="1:4" ht="30" customHeight="1" x14ac:dyDescent="0.3">
      <c r="A12" s="317"/>
      <c r="B12" s="313"/>
      <c r="C12" s="48" t="s">
        <v>122</v>
      </c>
      <c r="D12" s="8">
        <v>44971</v>
      </c>
    </row>
    <row r="13" spans="1:4" ht="30" customHeight="1" x14ac:dyDescent="0.3">
      <c r="A13" s="317"/>
      <c r="B13" s="313"/>
      <c r="C13" s="48" t="s">
        <v>122</v>
      </c>
      <c r="D13" s="8">
        <v>45244</v>
      </c>
    </row>
    <row r="14" spans="1:4" ht="30" customHeight="1" x14ac:dyDescent="0.3">
      <c r="A14" s="317"/>
      <c r="B14" s="313"/>
      <c r="C14" s="48" t="s">
        <v>122</v>
      </c>
      <c r="D14" s="8">
        <v>45246</v>
      </c>
    </row>
    <row r="15" spans="1:4" ht="30" customHeight="1" x14ac:dyDescent="0.3">
      <c r="A15" s="317"/>
      <c r="B15" s="313"/>
      <c r="C15" s="48" t="s">
        <v>578</v>
      </c>
      <c r="D15" s="8">
        <v>45253</v>
      </c>
    </row>
    <row r="16" spans="1:4" ht="30" customHeight="1" x14ac:dyDescent="0.3">
      <c r="A16" s="317"/>
      <c r="B16" s="313"/>
      <c r="C16" s="48" t="s">
        <v>122</v>
      </c>
      <c r="D16" s="8">
        <v>45254</v>
      </c>
    </row>
    <row r="17" spans="1:4" ht="30" customHeight="1" x14ac:dyDescent="0.3">
      <c r="A17" s="317"/>
      <c r="B17" s="313"/>
      <c r="C17" s="48" t="s">
        <v>122</v>
      </c>
      <c r="D17" s="8">
        <v>45258</v>
      </c>
    </row>
    <row r="18" spans="1:4" ht="30" customHeight="1" x14ac:dyDescent="0.3">
      <c r="A18" s="317"/>
      <c r="B18" s="313"/>
      <c r="C18" s="48" t="s">
        <v>128</v>
      </c>
      <c r="D18" s="8">
        <v>45259</v>
      </c>
    </row>
    <row r="19" spans="1:4" ht="30" customHeight="1" x14ac:dyDescent="0.3">
      <c r="A19" s="317"/>
      <c r="B19" s="313"/>
      <c r="C19" s="48" t="s">
        <v>122</v>
      </c>
      <c r="D19" s="8">
        <v>45266</v>
      </c>
    </row>
    <row r="20" spans="1:4" ht="30" customHeight="1" x14ac:dyDescent="0.3">
      <c r="A20" s="317"/>
      <c r="B20" s="314"/>
      <c r="C20" s="48"/>
      <c r="D20" s="8"/>
    </row>
    <row r="21" spans="1:4" ht="30" customHeight="1" x14ac:dyDescent="0.3">
      <c r="A21" s="317"/>
      <c r="B21" s="312" t="s">
        <v>311</v>
      </c>
      <c r="C21" s="48" t="s">
        <v>122</v>
      </c>
      <c r="D21" s="8">
        <v>44830</v>
      </c>
    </row>
    <row r="22" spans="1:4" ht="30" customHeight="1" x14ac:dyDescent="0.3">
      <c r="A22" s="317"/>
      <c r="B22" s="313"/>
      <c r="C22" s="48" t="s">
        <v>122</v>
      </c>
      <c r="D22" s="8">
        <v>45245</v>
      </c>
    </row>
    <row r="23" spans="1:4" ht="30" customHeight="1" x14ac:dyDescent="0.3">
      <c r="A23" s="317"/>
      <c r="B23" s="314"/>
      <c r="C23" s="48" t="s">
        <v>122</v>
      </c>
      <c r="D23" s="8">
        <v>45260</v>
      </c>
    </row>
    <row r="24" spans="1:4" ht="30" customHeight="1" x14ac:dyDescent="0.3">
      <c r="A24" s="317"/>
      <c r="B24" s="67" t="s">
        <v>312</v>
      </c>
      <c r="C24" s="48" t="s">
        <v>122</v>
      </c>
      <c r="D24" s="8">
        <v>44833</v>
      </c>
    </row>
    <row r="25" spans="1:4" ht="30" customHeight="1" x14ac:dyDescent="0.3">
      <c r="A25" s="317"/>
      <c r="B25" s="67" t="s">
        <v>313</v>
      </c>
      <c r="C25" s="48" t="s">
        <v>128</v>
      </c>
      <c r="D25" s="8">
        <v>44839</v>
      </c>
    </row>
    <row r="26" spans="1:4" ht="30" customHeight="1" x14ac:dyDescent="0.3">
      <c r="A26" s="4" t="s">
        <v>314</v>
      </c>
      <c r="B26" s="67"/>
      <c r="C26" s="48" t="s">
        <v>65</v>
      </c>
      <c r="D26" s="8">
        <v>44970</v>
      </c>
    </row>
    <row r="27" spans="1:4" ht="30" customHeight="1" x14ac:dyDescent="0.3">
      <c r="A27" s="4" t="s">
        <v>315</v>
      </c>
      <c r="B27" s="67" t="s">
        <v>316</v>
      </c>
      <c r="C27" s="48" t="s">
        <v>75</v>
      </c>
      <c r="D27" s="8">
        <v>44798</v>
      </c>
    </row>
    <row r="28" spans="1:4" ht="30" customHeight="1" x14ac:dyDescent="0.3">
      <c r="A28" s="310" t="s">
        <v>236</v>
      </c>
      <c r="B28" s="312"/>
      <c r="C28" s="48" t="s">
        <v>200</v>
      </c>
      <c r="D28" s="8">
        <v>44875</v>
      </c>
    </row>
    <row r="29" spans="1:4" ht="30" customHeight="1" x14ac:dyDescent="0.3">
      <c r="A29" s="317"/>
      <c r="B29" s="313"/>
      <c r="C29" s="48" t="s">
        <v>200</v>
      </c>
      <c r="D29" s="8">
        <v>44994</v>
      </c>
    </row>
    <row r="30" spans="1:4" ht="30" customHeight="1" x14ac:dyDescent="0.3">
      <c r="A30" s="317"/>
      <c r="B30" s="313"/>
      <c r="C30" s="48" t="s">
        <v>366</v>
      </c>
      <c r="D30" s="8">
        <v>44995</v>
      </c>
    </row>
    <row r="31" spans="1:4" ht="30" customHeight="1" x14ac:dyDescent="0.3">
      <c r="A31" s="317"/>
      <c r="B31" s="313"/>
      <c r="C31" s="48" t="s">
        <v>366</v>
      </c>
      <c r="D31" s="8">
        <v>44998</v>
      </c>
    </row>
    <row r="32" spans="1:4" ht="30" customHeight="1" x14ac:dyDescent="0.3">
      <c r="A32" s="311"/>
      <c r="B32" s="314"/>
      <c r="C32" s="48" t="s">
        <v>366</v>
      </c>
      <c r="D32" s="8">
        <v>44999</v>
      </c>
    </row>
    <row r="33" spans="1:4" ht="30" customHeight="1" x14ac:dyDescent="0.3">
      <c r="A33" s="310" t="s">
        <v>317</v>
      </c>
      <c r="B33" s="67" t="s">
        <v>318</v>
      </c>
      <c r="C33" s="48" t="s">
        <v>152</v>
      </c>
      <c r="D33" s="8">
        <v>44875</v>
      </c>
    </row>
    <row r="34" spans="1:4" ht="30" customHeight="1" x14ac:dyDescent="0.3">
      <c r="A34" s="311"/>
      <c r="B34" s="67" t="s">
        <v>319</v>
      </c>
      <c r="C34" s="48" t="s">
        <v>187</v>
      </c>
      <c r="D34" s="8">
        <v>44887</v>
      </c>
    </row>
    <row r="35" spans="1:4" ht="30" customHeight="1" x14ac:dyDescent="0.3">
      <c r="A35" s="310" t="s">
        <v>23</v>
      </c>
      <c r="B35" s="312"/>
      <c r="C35" s="48" t="s">
        <v>25</v>
      </c>
      <c r="D35" s="318">
        <v>44665</v>
      </c>
    </row>
    <row r="36" spans="1:4" ht="30" customHeight="1" x14ac:dyDescent="0.3">
      <c r="A36" s="317"/>
      <c r="B36" s="313"/>
      <c r="C36" s="48" t="s">
        <v>26</v>
      </c>
      <c r="D36" s="318"/>
    </row>
    <row r="37" spans="1:4" ht="30" customHeight="1" x14ac:dyDescent="0.3">
      <c r="A37" s="317"/>
      <c r="B37" s="313"/>
      <c r="C37" s="48" t="s">
        <v>30</v>
      </c>
      <c r="D37" s="318">
        <v>44670</v>
      </c>
    </row>
    <row r="38" spans="1:4" ht="30" customHeight="1" x14ac:dyDescent="0.3">
      <c r="A38" s="317"/>
      <c r="B38" s="313"/>
      <c r="C38" s="48" t="s">
        <v>26</v>
      </c>
      <c r="D38" s="318"/>
    </row>
    <row r="39" spans="1:4" ht="30" customHeight="1" x14ac:dyDescent="0.3">
      <c r="A39" s="317"/>
      <c r="B39" s="313"/>
      <c r="C39" s="48" t="s">
        <v>25</v>
      </c>
      <c r="D39" s="8">
        <v>44698</v>
      </c>
    </row>
    <row r="40" spans="1:4" ht="30" customHeight="1" x14ac:dyDescent="0.3">
      <c r="A40" s="317"/>
      <c r="B40" s="313"/>
      <c r="C40" s="48" t="s">
        <v>26</v>
      </c>
      <c r="D40" s="318">
        <v>44741</v>
      </c>
    </row>
    <row r="41" spans="1:4" ht="30" customHeight="1" x14ac:dyDescent="0.3">
      <c r="A41" s="317"/>
      <c r="B41" s="313"/>
      <c r="C41" s="48" t="s">
        <v>30</v>
      </c>
      <c r="D41" s="318"/>
    </row>
    <row r="42" spans="1:4" ht="30" customHeight="1" x14ac:dyDescent="0.3">
      <c r="A42" s="317"/>
      <c r="B42" s="313"/>
      <c r="C42" s="48" t="s">
        <v>25</v>
      </c>
      <c r="D42" s="8">
        <v>44748</v>
      </c>
    </row>
    <row r="43" spans="1:4" ht="30" customHeight="1" x14ac:dyDescent="0.3">
      <c r="A43" s="317"/>
      <c r="B43" s="313"/>
      <c r="C43" s="48" t="s">
        <v>26</v>
      </c>
      <c r="D43" s="318">
        <v>44754</v>
      </c>
    </row>
    <row r="44" spans="1:4" ht="30" customHeight="1" x14ac:dyDescent="0.3">
      <c r="A44" s="317"/>
      <c r="B44" s="313"/>
      <c r="C44" s="48" t="s">
        <v>25</v>
      </c>
      <c r="D44" s="318"/>
    </row>
    <row r="45" spans="1:4" ht="30" customHeight="1" x14ac:dyDescent="0.3">
      <c r="A45" s="317"/>
      <c r="B45" s="313"/>
      <c r="C45" s="48" t="s">
        <v>25</v>
      </c>
      <c r="D45" s="8">
        <v>44804</v>
      </c>
    </row>
    <row r="46" spans="1:4" ht="30" customHeight="1" x14ac:dyDescent="0.3">
      <c r="A46" s="317"/>
      <c r="B46" s="313"/>
      <c r="C46" s="48" t="s">
        <v>26</v>
      </c>
      <c r="D46" s="318">
        <v>44888</v>
      </c>
    </row>
    <row r="47" spans="1:4" ht="30" customHeight="1" x14ac:dyDescent="0.3">
      <c r="A47" s="317"/>
      <c r="B47" s="313"/>
      <c r="C47" s="48" t="s">
        <v>25</v>
      </c>
      <c r="D47" s="318"/>
    </row>
    <row r="48" spans="1:4" ht="30" customHeight="1" x14ac:dyDescent="0.3">
      <c r="A48" s="317"/>
      <c r="B48" s="313"/>
      <c r="C48" s="48" t="s">
        <v>26</v>
      </c>
      <c r="D48" s="8">
        <v>44910</v>
      </c>
    </row>
    <row r="49" spans="1:4" ht="30" customHeight="1" x14ac:dyDescent="0.3">
      <c r="A49" s="317"/>
      <c r="B49" s="313"/>
      <c r="C49" s="48" t="s">
        <v>25</v>
      </c>
      <c r="D49" s="8">
        <v>44917</v>
      </c>
    </row>
    <row r="50" spans="1:4" ht="30" customHeight="1" x14ac:dyDescent="0.3">
      <c r="A50" s="317"/>
      <c r="B50" s="313"/>
      <c r="C50" s="48" t="s">
        <v>25</v>
      </c>
      <c r="D50" s="8">
        <v>44971</v>
      </c>
    </row>
    <row r="51" spans="1:4" ht="30" customHeight="1" x14ac:dyDescent="0.3">
      <c r="A51" s="317"/>
      <c r="B51" s="313"/>
      <c r="C51" s="48" t="s">
        <v>25</v>
      </c>
      <c r="D51" s="318">
        <v>44973</v>
      </c>
    </row>
    <row r="52" spans="1:4" ht="30" customHeight="1" x14ac:dyDescent="0.3">
      <c r="A52" s="317"/>
      <c r="B52" s="313"/>
      <c r="C52" s="48" t="s">
        <v>26</v>
      </c>
      <c r="D52" s="318"/>
    </row>
    <row r="53" spans="1:4" ht="30" customHeight="1" x14ac:dyDescent="0.3">
      <c r="A53" s="317"/>
      <c r="B53" s="313"/>
      <c r="C53" s="48" t="s">
        <v>26</v>
      </c>
      <c r="D53" s="8">
        <v>44980</v>
      </c>
    </row>
    <row r="54" spans="1:4" ht="30" customHeight="1" x14ac:dyDescent="0.3">
      <c r="A54" s="317"/>
      <c r="B54" s="313"/>
      <c r="C54" s="48" t="s">
        <v>25</v>
      </c>
      <c r="D54" s="8">
        <v>44991</v>
      </c>
    </row>
    <row r="55" spans="1:4" ht="30" customHeight="1" x14ac:dyDescent="0.3">
      <c r="A55" s="317"/>
      <c r="B55" s="313"/>
      <c r="C55" s="48" t="s">
        <v>25</v>
      </c>
      <c r="D55" s="8">
        <v>44993</v>
      </c>
    </row>
    <row r="56" spans="1:4" ht="30" customHeight="1" x14ac:dyDescent="0.3">
      <c r="A56" s="317"/>
      <c r="B56" s="313"/>
      <c r="C56" s="48" t="s">
        <v>25</v>
      </c>
      <c r="D56" s="315">
        <v>45006</v>
      </c>
    </row>
    <row r="57" spans="1:4" ht="30" customHeight="1" x14ac:dyDescent="0.3">
      <c r="A57" s="317"/>
      <c r="B57" s="313"/>
      <c r="C57" s="48" t="s">
        <v>26</v>
      </c>
      <c r="D57" s="316"/>
    </row>
    <row r="58" spans="1:4" ht="30" customHeight="1" x14ac:dyDescent="0.3">
      <c r="A58" s="317"/>
      <c r="B58" s="313"/>
      <c r="C58" s="48" t="s">
        <v>25</v>
      </c>
      <c r="D58" s="315">
        <v>45029</v>
      </c>
    </row>
    <row r="59" spans="1:4" ht="30" customHeight="1" x14ac:dyDescent="0.3">
      <c r="A59" s="317"/>
      <c r="B59" s="313"/>
      <c r="C59" s="48" t="s">
        <v>393</v>
      </c>
      <c r="D59" s="316"/>
    </row>
    <row r="60" spans="1:4" ht="30" customHeight="1" x14ac:dyDescent="0.3">
      <c r="A60" s="317"/>
      <c r="B60" s="313"/>
      <c r="C60" s="48" t="s">
        <v>419</v>
      </c>
      <c r="D60" s="8">
        <v>45062</v>
      </c>
    </row>
    <row r="61" spans="1:4" ht="30" customHeight="1" x14ac:dyDescent="0.3">
      <c r="A61" s="317"/>
      <c r="B61" s="313"/>
      <c r="C61" s="48" t="s">
        <v>25</v>
      </c>
      <c r="D61" s="7">
        <v>45100</v>
      </c>
    </row>
    <row r="62" spans="1:4" ht="30" customHeight="1" x14ac:dyDescent="0.3">
      <c r="A62" s="317"/>
      <c r="B62" s="313"/>
      <c r="C62" s="48" t="s">
        <v>419</v>
      </c>
      <c r="D62" s="7">
        <v>45126</v>
      </c>
    </row>
    <row r="63" spans="1:4" ht="30" customHeight="1" x14ac:dyDescent="0.3">
      <c r="A63" s="317"/>
      <c r="B63" s="313"/>
      <c r="C63" s="48" t="s">
        <v>25</v>
      </c>
      <c r="D63" s="7">
        <v>45133</v>
      </c>
    </row>
    <row r="64" spans="1:4" ht="30" customHeight="1" x14ac:dyDescent="0.3">
      <c r="A64" s="317"/>
      <c r="B64" s="313"/>
      <c r="C64" s="48" t="s">
        <v>25</v>
      </c>
      <c r="D64" s="315">
        <v>45139</v>
      </c>
    </row>
    <row r="65" spans="1:4" ht="30" customHeight="1" x14ac:dyDescent="0.3">
      <c r="A65" s="317"/>
      <c r="B65" s="313"/>
      <c r="C65" s="48" t="s">
        <v>26</v>
      </c>
      <c r="D65" s="316"/>
    </row>
    <row r="66" spans="1:4" ht="30" customHeight="1" x14ac:dyDescent="0.3">
      <c r="A66" s="317"/>
      <c r="B66" s="313"/>
      <c r="C66" s="48" t="s">
        <v>25</v>
      </c>
      <c r="D66" s="7">
        <v>45134</v>
      </c>
    </row>
    <row r="67" spans="1:4" ht="30" customHeight="1" x14ac:dyDescent="0.3">
      <c r="A67" s="317"/>
      <c r="B67" s="313"/>
      <c r="C67" s="48" t="s">
        <v>419</v>
      </c>
      <c r="D67" s="7">
        <v>45156</v>
      </c>
    </row>
    <row r="68" spans="1:4" ht="30" customHeight="1" x14ac:dyDescent="0.3">
      <c r="A68" s="317"/>
      <c r="B68" s="313"/>
      <c r="C68" s="48" t="s">
        <v>26</v>
      </c>
      <c r="D68" s="7">
        <v>45167</v>
      </c>
    </row>
    <row r="69" spans="1:4" ht="30" customHeight="1" x14ac:dyDescent="0.3">
      <c r="A69" s="317"/>
      <c r="B69" s="313"/>
      <c r="C69" s="48" t="s">
        <v>25</v>
      </c>
      <c r="D69" s="7">
        <v>45175</v>
      </c>
    </row>
    <row r="70" spans="1:4" ht="30" customHeight="1" x14ac:dyDescent="0.3">
      <c r="A70" s="317"/>
      <c r="B70" s="313"/>
      <c r="C70" s="48" t="s">
        <v>25</v>
      </c>
      <c r="D70" s="7">
        <v>45177</v>
      </c>
    </row>
    <row r="71" spans="1:4" ht="30" customHeight="1" x14ac:dyDescent="0.3">
      <c r="A71" s="317"/>
      <c r="B71" s="313"/>
      <c r="C71" s="48" t="s">
        <v>25</v>
      </c>
      <c r="D71" s="7">
        <v>45188</v>
      </c>
    </row>
    <row r="72" spans="1:4" ht="30" customHeight="1" x14ac:dyDescent="0.3">
      <c r="A72" s="317"/>
      <c r="B72" s="313"/>
      <c r="C72" s="48" t="s">
        <v>25</v>
      </c>
      <c r="D72" s="7">
        <v>45210</v>
      </c>
    </row>
    <row r="73" spans="1:4" ht="30" customHeight="1" x14ac:dyDescent="0.3">
      <c r="A73" s="317"/>
      <c r="B73" s="313"/>
      <c r="C73" s="48" t="s">
        <v>25</v>
      </c>
      <c r="D73" s="7">
        <v>45223</v>
      </c>
    </row>
    <row r="74" spans="1:4" ht="30" customHeight="1" x14ac:dyDescent="0.3">
      <c r="A74" s="317"/>
      <c r="B74" s="313"/>
      <c r="C74" s="48" t="s">
        <v>26</v>
      </c>
      <c r="D74" s="7">
        <v>45233</v>
      </c>
    </row>
    <row r="75" spans="1:4" ht="30" customHeight="1" x14ac:dyDescent="0.3">
      <c r="A75" s="317"/>
      <c r="B75" s="313"/>
      <c r="C75" s="48" t="s">
        <v>25</v>
      </c>
      <c r="D75" s="7">
        <v>45271</v>
      </c>
    </row>
    <row r="76" spans="1:4" ht="30" customHeight="1" x14ac:dyDescent="0.3">
      <c r="A76" s="317"/>
      <c r="B76" s="313"/>
      <c r="C76" s="48"/>
      <c r="D76" s="7"/>
    </row>
    <row r="77" spans="1:4" ht="30" customHeight="1" x14ac:dyDescent="0.3">
      <c r="A77" s="311"/>
      <c r="B77" s="314"/>
      <c r="C77" s="48"/>
      <c r="D77" s="7"/>
    </row>
    <row r="78" spans="1:4" ht="30" customHeight="1" x14ac:dyDescent="0.3">
      <c r="A78" s="310" t="s">
        <v>242</v>
      </c>
      <c r="B78" s="319"/>
      <c r="C78" s="48" t="s">
        <v>36</v>
      </c>
      <c r="D78" s="318">
        <v>44678</v>
      </c>
    </row>
    <row r="79" spans="1:4" ht="30" customHeight="1" x14ac:dyDescent="0.3">
      <c r="A79" s="317"/>
      <c r="B79" s="319"/>
      <c r="C79" s="48" t="s">
        <v>37</v>
      </c>
      <c r="D79" s="318"/>
    </row>
    <row r="80" spans="1:4" ht="30" customHeight="1" x14ac:dyDescent="0.3">
      <c r="A80" s="317"/>
      <c r="B80" s="319" t="s">
        <v>320</v>
      </c>
      <c r="C80" s="48" t="s">
        <v>36</v>
      </c>
      <c r="D80" s="318">
        <v>44910</v>
      </c>
    </row>
    <row r="81" spans="1:4" ht="30" customHeight="1" x14ac:dyDescent="0.3">
      <c r="A81" s="317"/>
      <c r="B81" s="319"/>
      <c r="C81" s="48" t="s">
        <v>170</v>
      </c>
      <c r="D81" s="318"/>
    </row>
    <row r="82" spans="1:4" ht="30" customHeight="1" x14ac:dyDescent="0.3">
      <c r="A82" s="317"/>
      <c r="B82" s="319" t="s">
        <v>321</v>
      </c>
      <c r="C82" s="48" t="s">
        <v>37</v>
      </c>
      <c r="D82" s="318">
        <v>44910</v>
      </c>
    </row>
    <row r="83" spans="1:4" ht="30" customHeight="1" x14ac:dyDescent="0.3">
      <c r="A83" s="311"/>
      <c r="B83" s="319"/>
      <c r="C83" s="48" t="s">
        <v>174</v>
      </c>
      <c r="D83" s="318"/>
    </row>
    <row r="84" spans="1:4" ht="30" customHeight="1" x14ac:dyDescent="0.3">
      <c r="A84" s="310" t="s">
        <v>207</v>
      </c>
      <c r="B84" s="319"/>
      <c r="C84" s="48" t="s">
        <v>7</v>
      </c>
      <c r="D84" s="8">
        <v>44649</v>
      </c>
    </row>
    <row r="85" spans="1:4" ht="30" customHeight="1" x14ac:dyDescent="0.3">
      <c r="A85" s="317"/>
      <c r="B85" s="319"/>
      <c r="C85" s="48" t="s">
        <v>33</v>
      </c>
      <c r="D85" s="8">
        <v>44672</v>
      </c>
    </row>
    <row r="86" spans="1:4" ht="30" customHeight="1" x14ac:dyDescent="0.3">
      <c r="A86" s="317"/>
      <c r="B86" s="319"/>
      <c r="C86" s="48" t="s">
        <v>7</v>
      </c>
      <c r="D86" s="318">
        <v>44684</v>
      </c>
    </row>
    <row r="87" spans="1:4" ht="30" customHeight="1" x14ac:dyDescent="0.3">
      <c r="A87" s="317"/>
      <c r="B87" s="319"/>
      <c r="C87" s="48" t="s">
        <v>33</v>
      </c>
      <c r="D87" s="318"/>
    </row>
    <row r="88" spans="1:4" ht="30" customHeight="1" x14ac:dyDescent="0.3">
      <c r="A88" s="317"/>
      <c r="B88" s="319" t="s">
        <v>322</v>
      </c>
      <c r="C88" s="48" t="s">
        <v>84</v>
      </c>
      <c r="D88" s="8">
        <v>44743</v>
      </c>
    </row>
    <row r="89" spans="1:4" ht="30" customHeight="1" x14ac:dyDescent="0.3">
      <c r="A89" s="317"/>
      <c r="B89" s="319"/>
      <c r="C89" s="48" t="s">
        <v>144</v>
      </c>
      <c r="D89" s="8">
        <v>44866</v>
      </c>
    </row>
    <row r="90" spans="1:4" ht="30" customHeight="1" x14ac:dyDescent="0.3">
      <c r="A90" s="317"/>
      <c r="B90" s="319"/>
      <c r="C90" s="48" t="s">
        <v>144</v>
      </c>
      <c r="D90" s="8">
        <v>44902</v>
      </c>
    </row>
    <row r="91" spans="1:4" ht="30" customHeight="1" x14ac:dyDescent="0.3">
      <c r="A91" s="317"/>
      <c r="B91" s="312" t="s">
        <v>323</v>
      </c>
      <c r="C91" s="48" t="s">
        <v>191</v>
      </c>
      <c r="D91" s="8">
        <v>44879</v>
      </c>
    </row>
    <row r="92" spans="1:4" ht="30" customHeight="1" x14ac:dyDescent="0.3">
      <c r="A92" s="317"/>
      <c r="B92" s="313"/>
      <c r="C92" s="48" t="s">
        <v>191</v>
      </c>
      <c r="D92" s="8">
        <v>45058</v>
      </c>
    </row>
    <row r="93" spans="1:4" ht="30" customHeight="1" x14ac:dyDescent="0.3">
      <c r="A93" s="317"/>
      <c r="B93" s="313"/>
      <c r="C93" s="48" t="s">
        <v>144</v>
      </c>
      <c r="D93" s="8">
        <v>45042</v>
      </c>
    </row>
    <row r="94" spans="1:4" ht="30" customHeight="1" x14ac:dyDescent="0.3">
      <c r="A94" s="317"/>
      <c r="B94" s="313"/>
      <c r="C94" s="48" t="s">
        <v>427</v>
      </c>
      <c r="D94" s="8">
        <v>45077</v>
      </c>
    </row>
    <row r="95" spans="1:4" ht="30" customHeight="1" x14ac:dyDescent="0.3">
      <c r="A95" s="317"/>
      <c r="B95" s="314"/>
      <c r="C95" s="20"/>
      <c r="D95" s="8"/>
    </row>
    <row r="96" spans="1:4" ht="30" customHeight="1" x14ac:dyDescent="0.3">
      <c r="A96" s="317"/>
      <c r="B96" s="312" t="s">
        <v>324</v>
      </c>
      <c r="C96" s="48" t="s">
        <v>33</v>
      </c>
      <c r="D96" s="8">
        <v>44910</v>
      </c>
    </row>
    <row r="97" spans="1:4" ht="30" customHeight="1" x14ac:dyDescent="0.3">
      <c r="A97" s="317"/>
      <c r="B97" s="313"/>
      <c r="C97" s="48" t="s">
        <v>335</v>
      </c>
      <c r="D97" s="8">
        <v>44978</v>
      </c>
    </row>
    <row r="98" spans="1:4" ht="30" customHeight="1" x14ac:dyDescent="0.3">
      <c r="A98" s="317"/>
      <c r="B98" s="313"/>
      <c r="C98" s="48" t="s">
        <v>33</v>
      </c>
      <c r="D98" s="8">
        <v>45036</v>
      </c>
    </row>
    <row r="99" spans="1:4" ht="30" customHeight="1" x14ac:dyDescent="0.3">
      <c r="A99" s="317"/>
      <c r="B99" s="313"/>
      <c r="C99" s="48" t="s">
        <v>193</v>
      </c>
      <c r="D99" s="8">
        <v>45048</v>
      </c>
    </row>
    <row r="100" spans="1:4" ht="30" customHeight="1" x14ac:dyDescent="0.3">
      <c r="A100" s="317"/>
      <c r="B100" s="313"/>
      <c r="C100" s="48" t="s">
        <v>387</v>
      </c>
      <c r="D100" s="8">
        <v>45062</v>
      </c>
    </row>
    <row r="101" spans="1:4" ht="30" customHeight="1" x14ac:dyDescent="0.3">
      <c r="A101" s="317"/>
      <c r="B101" s="313"/>
      <c r="C101" s="48" t="s">
        <v>193</v>
      </c>
      <c r="D101" s="8">
        <v>45079</v>
      </c>
    </row>
    <row r="102" spans="1:4" ht="30" customHeight="1" x14ac:dyDescent="0.3">
      <c r="A102" s="317"/>
      <c r="B102" s="313"/>
      <c r="C102" s="48" t="s">
        <v>193</v>
      </c>
      <c r="D102" s="8">
        <v>45132</v>
      </c>
    </row>
    <row r="103" spans="1:4" ht="30" customHeight="1" x14ac:dyDescent="0.3">
      <c r="A103" s="317"/>
      <c r="B103" s="313"/>
      <c r="C103" s="48" t="s">
        <v>387</v>
      </c>
      <c r="D103" s="8">
        <v>45169</v>
      </c>
    </row>
    <row r="104" spans="1:4" ht="30" customHeight="1" x14ac:dyDescent="0.3">
      <c r="A104" s="317"/>
      <c r="B104" s="314"/>
      <c r="C104" s="48" t="s">
        <v>512</v>
      </c>
      <c r="D104" s="8">
        <v>45175</v>
      </c>
    </row>
    <row r="105" spans="1:4" ht="30" customHeight="1" x14ac:dyDescent="0.3">
      <c r="A105" s="317"/>
      <c r="B105" s="312" t="s">
        <v>325</v>
      </c>
      <c r="C105" s="48" t="s">
        <v>112</v>
      </c>
      <c r="D105" s="8">
        <v>44805</v>
      </c>
    </row>
    <row r="106" spans="1:4" ht="30" customHeight="1" x14ac:dyDescent="0.3">
      <c r="A106" s="317"/>
      <c r="B106" s="313"/>
      <c r="C106" s="48" t="s">
        <v>112</v>
      </c>
      <c r="D106" s="8">
        <v>44811</v>
      </c>
    </row>
    <row r="107" spans="1:4" ht="30" customHeight="1" x14ac:dyDescent="0.3">
      <c r="A107" s="317"/>
      <c r="B107" s="313"/>
      <c r="C107" s="48" t="s">
        <v>196</v>
      </c>
      <c r="D107" s="8">
        <v>44840</v>
      </c>
    </row>
    <row r="108" spans="1:4" ht="30" customHeight="1" x14ac:dyDescent="0.3">
      <c r="A108" s="317"/>
      <c r="B108" s="313"/>
      <c r="C108" s="48" t="s">
        <v>112</v>
      </c>
      <c r="D108" s="8">
        <v>44897</v>
      </c>
    </row>
    <row r="109" spans="1:4" ht="30" customHeight="1" x14ac:dyDescent="0.3">
      <c r="A109" s="317"/>
      <c r="B109" s="313"/>
      <c r="C109" s="48" t="s">
        <v>196</v>
      </c>
      <c r="D109" s="8">
        <v>45064</v>
      </c>
    </row>
    <row r="110" spans="1:4" ht="30" customHeight="1" x14ac:dyDescent="0.3">
      <c r="A110" s="317"/>
      <c r="B110" s="313"/>
      <c r="C110" s="48" t="s">
        <v>112</v>
      </c>
      <c r="D110" s="8">
        <v>45072</v>
      </c>
    </row>
    <row r="111" spans="1:4" ht="30" customHeight="1" x14ac:dyDescent="0.3">
      <c r="A111" s="317"/>
      <c r="B111" s="313"/>
      <c r="C111" s="48" t="s">
        <v>462</v>
      </c>
      <c r="D111" s="8">
        <v>45097</v>
      </c>
    </row>
    <row r="112" spans="1:4" ht="30" customHeight="1" x14ac:dyDescent="0.3">
      <c r="A112" s="317"/>
      <c r="B112" s="313"/>
      <c r="C112" s="48" t="s">
        <v>427</v>
      </c>
      <c r="D112" s="8">
        <v>45163</v>
      </c>
    </row>
    <row r="113" spans="1:4" ht="30" customHeight="1" x14ac:dyDescent="0.3">
      <c r="A113" s="317"/>
      <c r="B113" s="313"/>
      <c r="C113" s="48" t="s">
        <v>494</v>
      </c>
      <c r="D113" s="8">
        <v>45194</v>
      </c>
    </row>
    <row r="114" spans="1:4" ht="30" customHeight="1" x14ac:dyDescent="0.3">
      <c r="A114" s="317"/>
      <c r="B114" s="313"/>
      <c r="C114" s="20" t="s">
        <v>427</v>
      </c>
      <c r="D114" s="8">
        <v>45282</v>
      </c>
    </row>
    <row r="115" spans="1:4" ht="30" customHeight="1" x14ac:dyDescent="0.3">
      <c r="A115" s="317"/>
      <c r="B115" s="313"/>
      <c r="C115" s="20" t="s">
        <v>636</v>
      </c>
      <c r="D115" s="8">
        <v>45299</v>
      </c>
    </row>
    <row r="116" spans="1:4" ht="30" customHeight="1" x14ac:dyDescent="0.3">
      <c r="A116" s="317"/>
      <c r="B116" s="314"/>
      <c r="C116" s="20" t="s">
        <v>427</v>
      </c>
      <c r="D116" s="8">
        <v>45301</v>
      </c>
    </row>
    <row r="117" spans="1:4" ht="30" customHeight="1" x14ac:dyDescent="0.3">
      <c r="A117" s="317"/>
      <c r="B117" s="67" t="s">
        <v>485</v>
      </c>
      <c r="C117" s="48" t="s">
        <v>486</v>
      </c>
      <c r="D117" s="8">
        <v>45128</v>
      </c>
    </row>
    <row r="118" spans="1:4" ht="30" customHeight="1" x14ac:dyDescent="0.3">
      <c r="A118" s="317"/>
      <c r="B118" s="312" t="s">
        <v>326</v>
      </c>
      <c r="C118" s="48" t="s">
        <v>181</v>
      </c>
      <c r="D118" s="8">
        <v>44879</v>
      </c>
    </row>
    <row r="119" spans="1:4" ht="30" customHeight="1" x14ac:dyDescent="0.3">
      <c r="A119" s="317"/>
      <c r="B119" s="313"/>
      <c r="C119" s="48" t="s">
        <v>193</v>
      </c>
      <c r="D119" s="8">
        <v>45244</v>
      </c>
    </row>
    <row r="120" spans="1:4" ht="30" customHeight="1" x14ac:dyDescent="0.3">
      <c r="A120" s="317"/>
      <c r="B120" s="313"/>
      <c r="C120" s="48" t="s">
        <v>556</v>
      </c>
      <c r="D120" s="8">
        <v>45247</v>
      </c>
    </row>
    <row r="121" spans="1:4" ht="30" customHeight="1" x14ac:dyDescent="0.3">
      <c r="A121" s="317"/>
      <c r="B121" s="67" t="s">
        <v>327</v>
      </c>
      <c r="C121" s="48" t="s">
        <v>193</v>
      </c>
      <c r="D121" s="8">
        <v>44880</v>
      </c>
    </row>
    <row r="122" spans="1:4" ht="30" customHeight="1" x14ac:dyDescent="0.3">
      <c r="A122" s="311"/>
      <c r="B122" s="67" t="s">
        <v>434</v>
      </c>
      <c r="C122" s="48" t="s">
        <v>400</v>
      </c>
      <c r="D122" s="8">
        <v>45041</v>
      </c>
    </row>
    <row r="123" spans="1:4" ht="30" customHeight="1" x14ac:dyDescent="0.3">
      <c r="A123" s="310" t="s">
        <v>358</v>
      </c>
      <c r="B123" s="312"/>
      <c r="C123" s="48" t="s">
        <v>33</v>
      </c>
      <c r="D123" s="8">
        <v>44992</v>
      </c>
    </row>
    <row r="124" spans="1:4" ht="30" customHeight="1" x14ac:dyDescent="0.3">
      <c r="A124" s="317"/>
      <c r="B124" s="313"/>
      <c r="C124" s="48" t="s">
        <v>193</v>
      </c>
      <c r="D124" s="8">
        <v>45007</v>
      </c>
    </row>
    <row r="125" spans="1:4" ht="30" customHeight="1" x14ac:dyDescent="0.3">
      <c r="A125" s="317"/>
      <c r="B125" s="313"/>
      <c r="C125" s="48" t="s">
        <v>387</v>
      </c>
      <c r="D125" s="8">
        <v>45007</v>
      </c>
    </row>
    <row r="126" spans="1:4" ht="30" customHeight="1" x14ac:dyDescent="0.3">
      <c r="A126" s="317"/>
      <c r="B126" s="313"/>
      <c r="C126" s="48" t="s">
        <v>193</v>
      </c>
      <c r="D126" s="8">
        <v>45007</v>
      </c>
    </row>
    <row r="127" spans="1:4" ht="30" customHeight="1" x14ac:dyDescent="0.3">
      <c r="A127" s="317"/>
      <c r="B127" s="313"/>
      <c r="C127" s="48" t="s">
        <v>494</v>
      </c>
      <c r="D127" s="8">
        <v>45149</v>
      </c>
    </row>
    <row r="128" spans="1:4" ht="30" customHeight="1" x14ac:dyDescent="0.3">
      <c r="A128" s="311"/>
      <c r="B128" s="314"/>
      <c r="C128" s="48" t="s">
        <v>196</v>
      </c>
      <c r="D128" s="8">
        <v>45156</v>
      </c>
    </row>
    <row r="129" spans="1:4" ht="30" customHeight="1" x14ac:dyDescent="0.3">
      <c r="A129" s="4" t="s">
        <v>218</v>
      </c>
      <c r="B129" s="67"/>
      <c r="C129" s="48" t="s">
        <v>93</v>
      </c>
      <c r="D129" s="8">
        <v>44757</v>
      </c>
    </row>
    <row r="130" spans="1:4" ht="30" customHeight="1" x14ac:dyDescent="0.3">
      <c r="A130" s="4" t="s">
        <v>463</v>
      </c>
      <c r="B130" s="67" t="s">
        <v>464</v>
      </c>
      <c r="C130" s="48" t="s">
        <v>465</v>
      </c>
      <c r="D130" s="8">
        <v>45104</v>
      </c>
    </row>
    <row r="131" spans="1:4" ht="30" customHeight="1" x14ac:dyDescent="0.3">
      <c r="A131" s="4" t="s">
        <v>459</v>
      </c>
      <c r="B131" s="67" t="s">
        <v>460</v>
      </c>
      <c r="C131" s="48" t="s">
        <v>461</v>
      </c>
      <c r="D131" s="8">
        <v>45091</v>
      </c>
    </row>
    <row r="132" spans="1:4" ht="30" customHeight="1" x14ac:dyDescent="0.3">
      <c r="A132" s="4" t="s">
        <v>227</v>
      </c>
      <c r="B132" s="67"/>
      <c r="C132" s="48" t="s">
        <v>148</v>
      </c>
      <c r="D132" s="8">
        <v>44867</v>
      </c>
    </row>
    <row r="133" spans="1:4" ht="30" customHeight="1" x14ac:dyDescent="0.3">
      <c r="A133" s="320" t="s">
        <v>208</v>
      </c>
      <c r="B133" s="319"/>
      <c r="C133" s="48" t="s">
        <v>349</v>
      </c>
      <c r="D133" s="8">
        <v>44651</v>
      </c>
    </row>
    <row r="134" spans="1:4" ht="30" customHeight="1" x14ac:dyDescent="0.3">
      <c r="A134" s="320"/>
      <c r="B134" s="319"/>
      <c r="C134" s="48" t="s">
        <v>349</v>
      </c>
      <c r="D134" s="8">
        <v>44656</v>
      </c>
    </row>
    <row r="135" spans="1:4" ht="30" customHeight="1" x14ac:dyDescent="0.3">
      <c r="A135" s="320"/>
      <c r="B135" s="319"/>
      <c r="C135" s="48" t="s">
        <v>16</v>
      </c>
      <c r="D135" s="8">
        <v>44658</v>
      </c>
    </row>
    <row r="136" spans="1:4" ht="30" customHeight="1" x14ac:dyDescent="0.3">
      <c r="A136" s="320"/>
      <c r="B136" s="319"/>
      <c r="C136" s="48" t="s">
        <v>349</v>
      </c>
      <c r="D136" s="8">
        <v>44727</v>
      </c>
    </row>
    <row r="137" spans="1:4" ht="30" customHeight="1" x14ac:dyDescent="0.3">
      <c r="A137" s="320"/>
      <c r="B137" s="319"/>
      <c r="C137" s="48" t="s">
        <v>16</v>
      </c>
      <c r="D137" s="8">
        <v>44743</v>
      </c>
    </row>
    <row r="138" spans="1:4" ht="30" customHeight="1" x14ac:dyDescent="0.3">
      <c r="A138" s="320"/>
      <c r="B138" s="319"/>
      <c r="C138" s="48" t="s">
        <v>112</v>
      </c>
      <c r="D138" s="8">
        <v>44880</v>
      </c>
    </row>
    <row r="139" spans="1:4" ht="30" customHeight="1" x14ac:dyDescent="0.3">
      <c r="A139" s="320"/>
      <c r="B139" s="319"/>
      <c r="C139" s="48" t="s">
        <v>181</v>
      </c>
      <c r="D139" s="8">
        <v>44888</v>
      </c>
    </row>
    <row r="140" spans="1:4" ht="30" customHeight="1" x14ac:dyDescent="0.3">
      <c r="A140" s="320"/>
      <c r="B140" s="319"/>
      <c r="C140" s="48" t="s">
        <v>349</v>
      </c>
      <c r="D140" s="8">
        <v>44900</v>
      </c>
    </row>
    <row r="141" spans="1:4" ht="30" customHeight="1" x14ac:dyDescent="0.3">
      <c r="A141" s="320"/>
      <c r="B141" s="319"/>
      <c r="C141" s="48" t="s">
        <v>349</v>
      </c>
      <c r="D141" s="8">
        <v>44901</v>
      </c>
    </row>
    <row r="142" spans="1:4" ht="30" customHeight="1" x14ac:dyDescent="0.3">
      <c r="A142" s="320"/>
      <c r="B142" s="319"/>
      <c r="C142" s="48" t="s">
        <v>349</v>
      </c>
      <c r="D142" s="8">
        <v>44978</v>
      </c>
    </row>
    <row r="143" spans="1:4" ht="30" customHeight="1" x14ac:dyDescent="0.3">
      <c r="A143" s="320"/>
      <c r="B143" s="319"/>
      <c r="C143" s="48" t="s">
        <v>349</v>
      </c>
      <c r="D143" s="8">
        <v>45244</v>
      </c>
    </row>
    <row r="144" spans="1:4" ht="30" customHeight="1" x14ac:dyDescent="0.3">
      <c r="A144" s="310" t="s">
        <v>328</v>
      </c>
      <c r="B144" s="312" t="s">
        <v>316</v>
      </c>
      <c r="C144" s="48" t="s">
        <v>75</v>
      </c>
      <c r="D144" s="8">
        <v>44735</v>
      </c>
    </row>
    <row r="145" spans="1:4" ht="30" customHeight="1" x14ac:dyDescent="0.3">
      <c r="A145" s="317"/>
      <c r="B145" s="313"/>
      <c r="C145" s="48" t="s">
        <v>75</v>
      </c>
      <c r="D145" s="8">
        <v>44790</v>
      </c>
    </row>
    <row r="146" spans="1:4" ht="30" customHeight="1" x14ac:dyDescent="0.3">
      <c r="A146" s="317"/>
      <c r="B146" s="314"/>
      <c r="C146" s="48" t="s">
        <v>75</v>
      </c>
      <c r="D146" s="8">
        <v>44797</v>
      </c>
    </row>
    <row r="147" spans="1:4" ht="30" customHeight="1" x14ac:dyDescent="0.3">
      <c r="A147" s="317"/>
      <c r="B147" s="68"/>
      <c r="C147" s="48" t="s">
        <v>366</v>
      </c>
      <c r="D147" s="8">
        <v>44994</v>
      </c>
    </row>
    <row r="148" spans="1:4" ht="30" customHeight="1" x14ac:dyDescent="0.3">
      <c r="A148" s="317"/>
      <c r="B148" s="68"/>
      <c r="C148" s="48" t="s">
        <v>366</v>
      </c>
      <c r="D148" s="8">
        <v>44995</v>
      </c>
    </row>
    <row r="149" spans="1:4" ht="30" customHeight="1" x14ac:dyDescent="0.3">
      <c r="A149" s="317"/>
      <c r="B149" s="68"/>
      <c r="C149" s="48" t="s">
        <v>375</v>
      </c>
      <c r="D149" s="8">
        <v>44998</v>
      </c>
    </row>
    <row r="150" spans="1:4" ht="30" customHeight="1" x14ac:dyDescent="0.3">
      <c r="A150" s="311"/>
      <c r="B150" s="68"/>
      <c r="C150" s="48" t="s">
        <v>366</v>
      </c>
      <c r="D150" s="8">
        <v>44999</v>
      </c>
    </row>
    <row r="151" spans="1:4" ht="30" customHeight="1" x14ac:dyDescent="0.3">
      <c r="A151" s="4" t="s">
        <v>229</v>
      </c>
      <c r="B151" s="67"/>
      <c r="C151" s="48" t="s">
        <v>156</v>
      </c>
      <c r="D151" s="8">
        <v>44876</v>
      </c>
    </row>
    <row r="152" spans="1:4" ht="30" customHeight="1" x14ac:dyDescent="0.3">
      <c r="A152" s="4" t="s">
        <v>210</v>
      </c>
      <c r="B152" s="67"/>
      <c r="C152" s="48" t="s">
        <v>333</v>
      </c>
      <c r="D152" s="8">
        <v>44638</v>
      </c>
    </row>
    <row r="153" spans="1:4" ht="30" customHeight="1" x14ac:dyDescent="0.3">
      <c r="A153" s="310" t="s">
        <v>253</v>
      </c>
      <c r="B153" s="312"/>
      <c r="C153" s="48" t="s">
        <v>247</v>
      </c>
      <c r="D153" s="318">
        <v>44923</v>
      </c>
    </row>
    <row r="154" spans="1:4" ht="30" customHeight="1" x14ac:dyDescent="0.3">
      <c r="A154" s="317"/>
      <c r="B154" s="313"/>
      <c r="C154" s="48" t="s">
        <v>248</v>
      </c>
      <c r="D154" s="318"/>
    </row>
    <row r="155" spans="1:4" ht="30" customHeight="1" x14ac:dyDescent="0.3">
      <c r="A155" s="317"/>
      <c r="B155" s="313"/>
      <c r="C155" s="48" t="s">
        <v>247</v>
      </c>
      <c r="D155" s="8">
        <v>44960</v>
      </c>
    </row>
    <row r="156" spans="1:4" ht="30" customHeight="1" x14ac:dyDescent="0.3">
      <c r="A156" s="317"/>
      <c r="B156" s="313"/>
      <c r="C156" s="48" t="s">
        <v>409</v>
      </c>
      <c r="D156" s="8">
        <v>45042</v>
      </c>
    </row>
    <row r="157" spans="1:4" ht="30" customHeight="1" x14ac:dyDescent="0.3">
      <c r="A157" s="317"/>
      <c r="B157" s="314"/>
      <c r="C157" s="48" t="s">
        <v>409</v>
      </c>
      <c r="D157" s="8">
        <v>45042</v>
      </c>
    </row>
    <row r="158" spans="1:4" ht="30" customHeight="1" x14ac:dyDescent="0.3">
      <c r="A158" s="317"/>
      <c r="B158" s="312" t="s">
        <v>371</v>
      </c>
      <c r="C158" s="48" t="s">
        <v>247</v>
      </c>
      <c r="D158" s="8">
        <v>44994</v>
      </c>
    </row>
    <row r="159" spans="1:4" ht="30" customHeight="1" x14ac:dyDescent="0.3">
      <c r="A159" s="311"/>
      <c r="B159" s="314"/>
      <c r="C159" s="48" t="s">
        <v>247</v>
      </c>
      <c r="D159" s="8">
        <v>45188</v>
      </c>
    </row>
    <row r="160" spans="1:4" ht="30" customHeight="1" x14ac:dyDescent="0.3">
      <c r="A160" s="4" t="s">
        <v>222</v>
      </c>
      <c r="B160" s="67"/>
      <c r="C160" s="48" t="s">
        <v>118</v>
      </c>
      <c r="D160" s="8">
        <v>44826</v>
      </c>
    </row>
    <row r="161" spans="1:4" ht="30" customHeight="1" x14ac:dyDescent="0.3">
      <c r="A161" s="310" t="s">
        <v>217</v>
      </c>
      <c r="B161" s="312"/>
      <c r="C161" s="48" t="s">
        <v>71</v>
      </c>
      <c r="D161" s="8">
        <v>44747</v>
      </c>
    </row>
    <row r="162" spans="1:4" ht="30" customHeight="1" x14ac:dyDescent="0.3">
      <c r="A162" s="311"/>
      <c r="B162" s="314"/>
      <c r="C162" s="48" t="s">
        <v>71</v>
      </c>
      <c r="D162" s="8">
        <v>45107</v>
      </c>
    </row>
    <row r="163" spans="1:4" ht="30" customHeight="1" x14ac:dyDescent="0.3">
      <c r="A163" s="310" t="s">
        <v>534</v>
      </c>
      <c r="B163" s="68" t="s">
        <v>535</v>
      </c>
      <c r="C163" s="48" t="s">
        <v>529</v>
      </c>
      <c r="D163" s="8">
        <v>45205</v>
      </c>
    </row>
    <row r="164" spans="1:4" ht="30" customHeight="1" x14ac:dyDescent="0.3">
      <c r="A164" s="311"/>
      <c r="B164" s="68"/>
      <c r="C164" s="48"/>
      <c r="D164" s="8"/>
    </row>
    <row r="165" spans="1:4" ht="30" customHeight="1" x14ac:dyDescent="0.3">
      <c r="A165" s="320" t="s">
        <v>223</v>
      </c>
      <c r="B165" s="319"/>
      <c r="C165" s="48" t="s">
        <v>132</v>
      </c>
      <c r="D165" s="318">
        <v>44852</v>
      </c>
    </row>
    <row r="166" spans="1:4" ht="30" customHeight="1" x14ac:dyDescent="0.3">
      <c r="A166" s="320"/>
      <c r="B166" s="319"/>
      <c r="C166" s="48" t="s">
        <v>133</v>
      </c>
      <c r="D166" s="318"/>
    </row>
    <row r="167" spans="1:4" ht="30" customHeight="1" x14ac:dyDescent="0.3">
      <c r="A167" s="4" t="s">
        <v>329</v>
      </c>
      <c r="B167" s="67"/>
      <c r="C167" s="48" t="s">
        <v>133</v>
      </c>
      <c r="D167" s="8">
        <v>44868</v>
      </c>
    </row>
    <row r="168" spans="1:4" ht="30" customHeight="1" x14ac:dyDescent="0.3">
      <c r="A168" s="310" t="s">
        <v>288</v>
      </c>
      <c r="B168" s="312"/>
      <c r="C168" s="48" t="s">
        <v>181</v>
      </c>
      <c r="D168" s="8">
        <v>44981</v>
      </c>
    </row>
    <row r="169" spans="1:4" ht="30" customHeight="1" x14ac:dyDescent="0.3">
      <c r="A169" s="317"/>
      <c r="B169" s="313"/>
      <c r="C169" s="48" t="s">
        <v>349</v>
      </c>
      <c r="D169" s="8">
        <v>44985</v>
      </c>
    </row>
    <row r="170" spans="1:4" ht="30" customHeight="1" x14ac:dyDescent="0.3">
      <c r="A170" s="317"/>
      <c r="B170" s="313"/>
      <c r="C170" s="48" t="s">
        <v>349</v>
      </c>
      <c r="D170" s="8">
        <v>44994</v>
      </c>
    </row>
    <row r="171" spans="1:4" ht="30" customHeight="1" x14ac:dyDescent="0.3">
      <c r="A171" s="317"/>
      <c r="B171" s="313"/>
      <c r="C171" s="48" t="s">
        <v>181</v>
      </c>
      <c r="D171" s="8">
        <v>45008</v>
      </c>
    </row>
    <row r="172" spans="1:4" ht="30" customHeight="1" x14ac:dyDescent="0.3">
      <c r="A172" s="311"/>
      <c r="B172" s="314"/>
      <c r="C172" s="48" t="s">
        <v>349</v>
      </c>
      <c r="D172" s="8">
        <v>45105</v>
      </c>
    </row>
    <row r="173" spans="1:4" ht="30" customHeight="1" x14ac:dyDescent="0.3">
      <c r="A173" s="320" t="s">
        <v>257</v>
      </c>
      <c r="B173" s="319"/>
      <c r="C173" s="48" t="s">
        <v>258</v>
      </c>
      <c r="D173" s="318">
        <v>44958</v>
      </c>
    </row>
    <row r="174" spans="1:4" ht="30" customHeight="1" x14ac:dyDescent="0.3">
      <c r="A174" s="320"/>
      <c r="B174" s="319"/>
      <c r="C174" s="48" t="s">
        <v>259</v>
      </c>
      <c r="D174" s="318"/>
    </row>
    <row r="175" spans="1:4" ht="30" customHeight="1" x14ac:dyDescent="0.3">
      <c r="A175" s="4" t="s">
        <v>213</v>
      </c>
      <c r="B175" s="67"/>
      <c r="C175" s="48" t="s">
        <v>48</v>
      </c>
      <c r="D175" s="8">
        <v>44706</v>
      </c>
    </row>
    <row r="176" spans="1:4" ht="30" customHeight="1" x14ac:dyDescent="0.3">
      <c r="A176" s="4" t="s">
        <v>215</v>
      </c>
      <c r="B176" s="67"/>
      <c r="C176" s="48" t="s">
        <v>71</v>
      </c>
      <c r="D176" s="8">
        <v>44734</v>
      </c>
    </row>
    <row r="177" spans="1:4" ht="30" customHeight="1" x14ac:dyDescent="0.3">
      <c r="A177" s="4" t="s">
        <v>343</v>
      </c>
      <c r="B177" s="67"/>
      <c r="C177" s="70" t="s">
        <v>344</v>
      </c>
      <c r="D177" s="8">
        <v>44987</v>
      </c>
    </row>
    <row r="178" spans="1:4" ht="30" customHeight="1" x14ac:dyDescent="0.3">
      <c r="A178" s="4" t="s">
        <v>351</v>
      </c>
      <c r="B178" s="67"/>
      <c r="C178" s="48" t="s">
        <v>349</v>
      </c>
      <c r="D178" s="8">
        <v>44988</v>
      </c>
    </row>
  </sheetData>
  <autoFilter ref="A1:D178" xr:uid="{00000000-0009-0000-0000-000002000000}"/>
  <mergeCells count="54">
    <mergeCell ref="A163:A164"/>
    <mergeCell ref="D173:D174"/>
    <mergeCell ref="A165:A166"/>
    <mergeCell ref="B173:B174"/>
    <mergeCell ref="A173:A174"/>
    <mergeCell ref="A168:A172"/>
    <mergeCell ref="D165:D166"/>
    <mergeCell ref="B168:B172"/>
    <mergeCell ref="B165:B166"/>
    <mergeCell ref="B161:B162"/>
    <mergeCell ref="B144:B146"/>
    <mergeCell ref="B153:B157"/>
    <mergeCell ref="B158:B159"/>
    <mergeCell ref="A161:A162"/>
    <mergeCell ref="A144:A150"/>
    <mergeCell ref="D153:D154"/>
    <mergeCell ref="B88:B90"/>
    <mergeCell ref="B84:B87"/>
    <mergeCell ref="B96:B104"/>
    <mergeCell ref="A153:A159"/>
    <mergeCell ref="B123:B128"/>
    <mergeCell ref="A133:A143"/>
    <mergeCell ref="A123:A128"/>
    <mergeCell ref="B133:B143"/>
    <mergeCell ref="D43:D44"/>
    <mergeCell ref="D56:D57"/>
    <mergeCell ref="A35:A77"/>
    <mergeCell ref="B35:B77"/>
    <mergeCell ref="D86:D87"/>
    <mergeCell ref="B78:B79"/>
    <mergeCell ref="B80:B81"/>
    <mergeCell ref="B82:B83"/>
    <mergeCell ref="D78:D79"/>
    <mergeCell ref="D80:D81"/>
    <mergeCell ref="D82:D83"/>
    <mergeCell ref="A84:A122"/>
    <mergeCell ref="B91:B95"/>
    <mergeCell ref="B105:B116"/>
    <mergeCell ref="A7:A8"/>
    <mergeCell ref="B21:B23"/>
    <mergeCell ref="B118:B120"/>
    <mergeCell ref="B11:B20"/>
    <mergeCell ref="D64:D65"/>
    <mergeCell ref="A11:A25"/>
    <mergeCell ref="A33:A34"/>
    <mergeCell ref="A78:A83"/>
    <mergeCell ref="D46:D47"/>
    <mergeCell ref="D51:D52"/>
    <mergeCell ref="A28:A32"/>
    <mergeCell ref="B28:B32"/>
    <mergeCell ref="D58:D59"/>
    <mergeCell ref="D35:D36"/>
    <mergeCell ref="D37:D38"/>
    <mergeCell ref="D40:D41"/>
  </mergeCells>
  <phoneticPr fontId="1" type="noConversion"/>
  <pageMargins left="0.7" right="0.7" top="0.75" bottom="0.75" header="0.3" footer="0.3"/>
  <pageSetup paperSize="9" scale="78" orientation="portrait" r:id="rId1"/>
  <rowBreaks count="6" manualBreakCount="6">
    <brk id="27" max="3" man="1"/>
    <brk id="34" max="3" man="1"/>
    <brk id="65" max="3" man="1"/>
    <brk id="103" max="3" man="1"/>
    <brk id="143" max="16383" man="1"/>
    <brk id="172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9"/>
  <sheetViews>
    <sheetView view="pageBreakPreview" zoomScaleNormal="100" zoomScaleSheetLayoutView="100" workbookViewId="0">
      <pane ySplit="1" topLeftCell="A115" activePane="bottomLeft" state="frozen"/>
      <selection activeCell="K99" sqref="K99"/>
      <selection pane="bottomLeft" activeCell="K99" sqref="K99"/>
    </sheetView>
  </sheetViews>
  <sheetFormatPr defaultRowHeight="13.5" x14ac:dyDescent="0.3"/>
  <cols>
    <col min="1" max="1" width="4.75" style="5" bestFit="1" customWidth="1"/>
    <col min="2" max="2" width="8" style="9" bestFit="1" customWidth="1"/>
    <col min="3" max="3" width="15" style="27" bestFit="1" customWidth="1"/>
    <col min="4" max="4" width="61.75" style="25" bestFit="1" customWidth="1"/>
    <col min="5" max="5" width="14.5" style="125" bestFit="1" customWidth="1"/>
    <col min="6" max="6" width="33" style="26" bestFit="1" customWidth="1"/>
    <col min="7" max="7" width="25.625" style="28" bestFit="1" customWidth="1"/>
    <col min="8" max="8" width="14.25" style="26" bestFit="1" customWidth="1"/>
    <col min="9" max="16384" width="9" style="5"/>
  </cols>
  <sheetData>
    <row r="1" spans="1:8" s="14" customFormat="1" ht="30" customHeight="1" thickBot="1" x14ac:dyDescent="0.35">
      <c r="A1" s="1" t="s">
        <v>3</v>
      </c>
      <c r="B1" s="6" t="s">
        <v>2</v>
      </c>
      <c r="C1" s="10" t="s">
        <v>0</v>
      </c>
      <c r="D1" s="10" t="s">
        <v>1</v>
      </c>
      <c r="E1" s="58" t="s">
        <v>631</v>
      </c>
      <c r="F1" s="11" t="s">
        <v>18</v>
      </c>
      <c r="G1" s="12" t="s">
        <v>24</v>
      </c>
      <c r="H1" s="13" t="s">
        <v>206</v>
      </c>
    </row>
    <row r="2" spans="1:8" ht="30" customHeight="1" x14ac:dyDescent="0.3">
      <c r="A2" s="29">
        <v>1</v>
      </c>
      <c r="B2" s="30">
        <v>45104</v>
      </c>
      <c r="C2" s="20" t="s">
        <v>451</v>
      </c>
      <c r="D2" s="19" t="s">
        <v>437</v>
      </c>
      <c r="E2" s="119">
        <v>3650</v>
      </c>
      <c r="F2" s="20" t="s">
        <v>456</v>
      </c>
      <c r="G2" s="24" t="s">
        <v>450</v>
      </c>
      <c r="H2" s="46" t="s">
        <v>452</v>
      </c>
    </row>
    <row r="3" spans="1:8" ht="30" customHeight="1" x14ac:dyDescent="0.3">
      <c r="A3" s="331"/>
      <c r="B3" s="332"/>
      <c r="C3" s="38"/>
      <c r="D3" s="126"/>
      <c r="E3" s="128">
        <f>SUM(E2)</f>
        <v>3650</v>
      </c>
      <c r="F3" s="127"/>
      <c r="G3" s="321"/>
      <c r="H3" s="322"/>
    </row>
    <row r="4" spans="1:8" ht="30" customHeight="1" x14ac:dyDescent="0.3">
      <c r="A4" s="29">
        <v>1</v>
      </c>
      <c r="B4" s="30">
        <v>44852</v>
      </c>
      <c r="C4" s="20" t="s">
        <v>132</v>
      </c>
      <c r="D4" s="31" t="s">
        <v>131</v>
      </c>
      <c r="E4" s="120">
        <v>614</v>
      </c>
      <c r="F4" s="32" t="s">
        <v>223</v>
      </c>
      <c r="G4" s="24" t="s">
        <v>134</v>
      </c>
      <c r="H4" s="33" t="s">
        <v>136</v>
      </c>
    </row>
    <row r="5" spans="1:8" ht="30" customHeight="1" x14ac:dyDescent="0.3">
      <c r="A5" s="331"/>
      <c r="B5" s="332"/>
      <c r="C5" s="38"/>
      <c r="D5" s="126"/>
      <c r="E5" s="128">
        <f>SUM(E4)</f>
        <v>614</v>
      </c>
      <c r="F5" s="127"/>
      <c r="G5" s="321"/>
      <c r="H5" s="322"/>
    </row>
    <row r="6" spans="1:8" ht="30" customHeight="1" x14ac:dyDescent="0.3">
      <c r="A6" s="3">
        <v>1</v>
      </c>
      <c r="B6" s="8">
        <v>44875</v>
      </c>
      <c r="C6" s="323" t="s">
        <v>200</v>
      </c>
      <c r="D6" s="19" t="s">
        <v>199</v>
      </c>
      <c r="E6" s="119">
        <v>200</v>
      </c>
      <c r="F6" s="20" t="s">
        <v>236</v>
      </c>
      <c r="G6" s="24" t="s">
        <v>201</v>
      </c>
      <c r="H6" s="22" t="s">
        <v>202</v>
      </c>
    </row>
    <row r="7" spans="1:8" ht="30" customHeight="1" x14ac:dyDescent="0.3">
      <c r="A7" s="3">
        <v>2</v>
      </c>
      <c r="B7" s="8">
        <v>44994</v>
      </c>
      <c r="C7" s="325"/>
      <c r="D7" s="19" t="s">
        <v>365</v>
      </c>
      <c r="E7" s="119">
        <v>320</v>
      </c>
      <c r="F7" s="20" t="s">
        <v>236</v>
      </c>
      <c r="G7" s="24" t="s">
        <v>201</v>
      </c>
      <c r="H7" s="22" t="s">
        <v>367</v>
      </c>
    </row>
    <row r="8" spans="1:8" ht="30" customHeight="1" x14ac:dyDescent="0.3">
      <c r="A8" s="331"/>
      <c r="B8" s="332"/>
      <c r="C8" s="38"/>
      <c r="D8" s="126"/>
      <c r="E8" s="128">
        <f>SUM(E6:E7)</f>
        <v>520</v>
      </c>
      <c r="F8" s="127"/>
      <c r="G8" s="321"/>
      <c r="H8" s="322"/>
    </row>
    <row r="9" spans="1:8" ht="30" customHeight="1" x14ac:dyDescent="0.3">
      <c r="A9" s="3">
        <v>1</v>
      </c>
      <c r="B9" s="8">
        <v>44720</v>
      </c>
      <c r="C9" s="323" t="s">
        <v>65</v>
      </c>
      <c r="D9" s="19" t="s">
        <v>64</v>
      </c>
      <c r="E9" s="119">
        <v>970</v>
      </c>
      <c r="F9" s="20" t="s">
        <v>209</v>
      </c>
      <c r="G9" s="24" t="s">
        <v>66</v>
      </c>
      <c r="H9" s="22" t="s">
        <v>67</v>
      </c>
    </row>
    <row r="10" spans="1:8" ht="30" customHeight="1" x14ac:dyDescent="0.3">
      <c r="A10" s="4">
        <v>2</v>
      </c>
      <c r="B10" s="8">
        <v>44970</v>
      </c>
      <c r="C10" s="325"/>
      <c r="D10" s="19" t="s">
        <v>267</v>
      </c>
      <c r="E10" s="119">
        <v>2993</v>
      </c>
      <c r="F10" s="20" t="s">
        <v>268</v>
      </c>
      <c r="G10" s="24" t="s">
        <v>66</v>
      </c>
      <c r="H10" s="20" t="s">
        <v>269</v>
      </c>
    </row>
    <row r="11" spans="1:8" ht="30" customHeight="1" x14ac:dyDescent="0.3">
      <c r="A11" s="331"/>
      <c r="B11" s="332"/>
      <c r="C11" s="38"/>
      <c r="D11" s="126"/>
      <c r="E11" s="128">
        <f>SUM(E9:E10)</f>
        <v>3963</v>
      </c>
      <c r="F11" s="127"/>
      <c r="G11" s="321"/>
      <c r="H11" s="322"/>
    </row>
    <row r="12" spans="1:8" ht="30" customHeight="1" x14ac:dyDescent="0.3">
      <c r="A12" s="3">
        <v>1</v>
      </c>
      <c r="B12" s="8">
        <v>44664</v>
      </c>
      <c r="C12" s="20" t="s">
        <v>20</v>
      </c>
      <c r="D12" s="19" t="s">
        <v>19</v>
      </c>
      <c r="E12" s="119">
        <v>1542</v>
      </c>
      <c r="F12" s="20" t="s">
        <v>209</v>
      </c>
      <c r="G12" s="24" t="s">
        <v>21</v>
      </c>
      <c r="H12" s="22" t="s">
        <v>293</v>
      </c>
    </row>
    <row r="13" spans="1:8" ht="30" customHeight="1" x14ac:dyDescent="0.3">
      <c r="A13" s="331"/>
      <c r="B13" s="332"/>
      <c r="C13" s="38"/>
      <c r="D13" s="126"/>
      <c r="E13" s="128">
        <f>SUM(E12)</f>
        <v>1542</v>
      </c>
      <c r="F13" s="127"/>
      <c r="G13" s="321"/>
      <c r="H13" s="322"/>
    </row>
    <row r="14" spans="1:8" ht="30" customHeight="1" x14ac:dyDescent="0.3">
      <c r="A14" s="3">
        <v>1</v>
      </c>
      <c r="B14" s="8">
        <v>44664</v>
      </c>
      <c r="C14" s="20" t="s">
        <v>625</v>
      </c>
      <c r="D14" s="19" t="s">
        <v>624</v>
      </c>
      <c r="E14" s="119">
        <v>207</v>
      </c>
      <c r="F14" s="20" t="s">
        <v>520</v>
      </c>
      <c r="G14" s="24" t="s">
        <v>626</v>
      </c>
      <c r="H14" s="55" t="s">
        <v>627</v>
      </c>
    </row>
    <row r="15" spans="1:8" ht="30" customHeight="1" x14ac:dyDescent="0.3">
      <c r="A15" s="38"/>
      <c r="B15" s="38"/>
      <c r="C15" s="50"/>
      <c r="D15" s="38"/>
      <c r="E15" s="121">
        <f>SUM(E14)</f>
        <v>207</v>
      </c>
      <c r="F15" s="39"/>
      <c r="G15" s="40"/>
      <c r="H15" s="57"/>
    </row>
    <row r="16" spans="1:8" ht="30" customHeight="1" x14ac:dyDescent="0.3">
      <c r="A16" s="4">
        <v>1</v>
      </c>
      <c r="B16" s="8">
        <v>44670</v>
      </c>
      <c r="C16" s="323" t="s">
        <v>30</v>
      </c>
      <c r="D16" s="19" t="s">
        <v>29</v>
      </c>
      <c r="E16" s="119">
        <v>475</v>
      </c>
      <c r="F16" s="20" t="s">
        <v>23</v>
      </c>
      <c r="G16" s="24" t="s">
        <v>53</v>
      </c>
      <c r="H16" s="20" t="s">
        <v>31</v>
      </c>
    </row>
    <row r="17" spans="1:8" ht="30" customHeight="1" x14ac:dyDescent="0.3">
      <c r="A17" s="4">
        <v>2</v>
      </c>
      <c r="B17" s="8">
        <v>44741</v>
      </c>
      <c r="C17" s="325"/>
      <c r="D17" s="19" t="s">
        <v>294</v>
      </c>
      <c r="E17" s="119">
        <v>6988</v>
      </c>
      <c r="F17" s="20" t="s">
        <v>23</v>
      </c>
      <c r="G17" s="24" t="s">
        <v>53</v>
      </c>
      <c r="H17" s="20" t="s">
        <v>79</v>
      </c>
    </row>
    <row r="18" spans="1:8" ht="30" customHeight="1" x14ac:dyDescent="0.3">
      <c r="A18" s="331"/>
      <c r="B18" s="332"/>
      <c r="C18" s="38"/>
      <c r="D18" s="126"/>
      <c r="E18" s="128">
        <f>SUM(E16:E17)</f>
        <v>7463</v>
      </c>
      <c r="F18" s="127"/>
      <c r="G18" s="321"/>
      <c r="H18" s="322"/>
    </row>
    <row r="19" spans="1:8" ht="30" customHeight="1" x14ac:dyDescent="0.3">
      <c r="A19" s="3">
        <v>1</v>
      </c>
      <c r="B19" s="8">
        <v>44994</v>
      </c>
      <c r="C19" s="323" t="s">
        <v>366</v>
      </c>
      <c r="D19" s="19" t="s">
        <v>365</v>
      </c>
      <c r="E19" s="119">
        <v>396</v>
      </c>
      <c r="F19" s="20" t="s">
        <v>328</v>
      </c>
      <c r="G19" s="24" t="s">
        <v>76</v>
      </c>
      <c r="H19" s="22" t="s">
        <v>367</v>
      </c>
    </row>
    <row r="20" spans="1:8" ht="30" customHeight="1" x14ac:dyDescent="0.3">
      <c r="A20" s="3">
        <v>2</v>
      </c>
      <c r="B20" s="8">
        <v>44995</v>
      </c>
      <c r="C20" s="324"/>
      <c r="D20" s="19" t="s">
        <v>372</v>
      </c>
      <c r="E20" s="119">
        <v>340</v>
      </c>
      <c r="F20" s="20" t="s">
        <v>236</v>
      </c>
      <c r="G20" s="24" t="s">
        <v>105</v>
      </c>
      <c r="H20" s="22" t="s">
        <v>373</v>
      </c>
    </row>
    <row r="21" spans="1:8" ht="30" customHeight="1" x14ac:dyDescent="0.3">
      <c r="A21" s="3">
        <v>3</v>
      </c>
      <c r="B21" s="8">
        <v>44995</v>
      </c>
      <c r="C21" s="324"/>
      <c r="D21" s="19" t="s">
        <v>372</v>
      </c>
      <c r="E21" s="119">
        <v>219</v>
      </c>
      <c r="F21" s="20" t="s">
        <v>328</v>
      </c>
      <c r="G21" s="24" t="s">
        <v>76</v>
      </c>
      <c r="H21" s="22" t="s">
        <v>373</v>
      </c>
    </row>
    <row r="22" spans="1:8" ht="30" customHeight="1" x14ac:dyDescent="0.3">
      <c r="A22" s="3">
        <v>4</v>
      </c>
      <c r="B22" s="8">
        <v>44999</v>
      </c>
      <c r="C22" s="324"/>
      <c r="D22" s="19" t="s">
        <v>379</v>
      </c>
      <c r="E22" s="119">
        <v>132</v>
      </c>
      <c r="F22" s="20" t="s">
        <v>328</v>
      </c>
      <c r="G22" s="24" t="s">
        <v>76</v>
      </c>
      <c r="H22" s="20" t="s">
        <v>380</v>
      </c>
    </row>
    <row r="23" spans="1:8" ht="30" customHeight="1" x14ac:dyDescent="0.3">
      <c r="A23" s="3">
        <v>5</v>
      </c>
      <c r="B23" s="8">
        <v>44998</v>
      </c>
      <c r="C23" s="324"/>
      <c r="D23" s="19" t="s">
        <v>379</v>
      </c>
      <c r="E23" s="119">
        <v>260</v>
      </c>
      <c r="F23" s="20" t="s">
        <v>236</v>
      </c>
      <c r="G23" s="24" t="s">
        <v>105</v>
      </c>
      <c r="H23" s="20" t="s">
        <v>377</v>
      </c>
    </row>
    <row r="24" spans="1:8" ht="30" customHeight="1" x14ac:dyDescent="0.3">
      <c r="A24" s="3">
        <v>6</v>
      </c>
      <c r="B24" s="8">
        <v>44999</v>
      </c>
      <c r="C24" s="325"/>
      <c r="D24" s="19" t="s">
        <v>381</v>
      </c>
      <c r="E24" s="119">
        <v>75</v>
      </c>
      <c r="F24" s="20" t="s">
        <v>236</v>
      </c>
      <c r="G24" s="24" t="s">
        <v>105</v>
      </c>
      <c r="H24" s="20" t="s">
        <v>380</v>
      </c>
    </row>
    <row r="25" spans="1:8" ht="30" customHeight="1" x14ac:dyDescent="0.3">
      <c r="A25" s="129"/>
      <c r="B25" s="126"/>
      <c r="C25" s="126"/>
      <c r="D25" s="126"/>
      <c r="E25" s="128">
        <f>SUM(E19:E24)</f>
        <v>1422</v>
      </c>
      <c r="F25" s="127"/>
      <c r="G25" s="321"/>
      <c r="H25" s="322"/>
    </row>
    <row r="26" spans="1:8" ht="30" customHeight="1" x14ac:dyDescent="0.3">
      <c r="A26" s="3">
        <v>1</v>
      </c>
      <c r="B26" s="8">
        <v>44867</v>
      </c>
      <c r="C26" s="20" t="s">
        <v>148</v>
      </c>
      <c r="D26" s="19" t="s">
        <v>147</v>
      </c>
      <c r="E26" s="119">
        <v>2400</v>
      </c>
      <c r="F26" s="20" t="s">
        <v>227</v>
      </c>
      <c r="G26" s="24" t="s">
        <v>149</v>
      </c>
      <c r="H26" s="22" t="s">
        <v>150</v>
      </c>
    </row>
    <row r="27" spans="1:8" ht="30" customHeight="1" x14ac:dyDescent="0.3">
      <c r="A27" s="129"/>
      <c r="B27" s="126"/>
      <c r="C27" s="126"/>
      <c r="D27" s="126"/>
      <c r="E27" s="128">
        <f>SUM(E26)</f>
        <v>2400</v>
      </c>
      <c r="F27" s="127"/>
      <c r="G27" s="321"/>
      <c r="H27" s="322"/>
    </row>
    <row r="28" spans="1:8" ht="30" customHeight="1" x14ac:dyDescent="0.3">
      <c r="A28" s="3">
        <v>1</v>
      </c>
      <c r="B28" s="8">
        <v>44672</v>
      </c>
      <c r="C28" s="323" t="s">
        <v>33</v>
      </c>
      <c r="D28" s="19" t="s">
        <v>32</v>
      </c>
      <c r="E28" s="119">
        <v>1127</v>
      </c>
      <c r="F28" s="20" t="s">
        <v>211</v>
      </c>
      <c r="G28" s="24" t="s">
        <v>34</v>
      </c>
      <c r="H28" s="22" t="s">
        <v>35</v>
      </c>
    </row>
    <row r="29" spans="1:8" ht="30" customHeight="1" x14ac:dyDescent="0.3">
      <c r="A29" s="2">
        <v>2</v>
      </c>
      <c r="B29" s="7">
        <v>44684</v>
      </c>
      <c r="C29" s="324"/>
      <c r="D29" s="15" t="s">
        <v>295</v>
      </c>
      <c r="E29" s="122">
        <v>2976</v>
      </c>
      <c r="F29" s="20" t="s">
        <v>211</v>
      </c>
      <c r="G29" s="24" t="s">
        <v>34</v>
      </c>
      <c r="H29" s="22" t="s">
        <v>39</v>
      </c>
    </row>
    <row r="30" spans="1:8" ht="30" customHeight="1" x14ac:dyDescent="0.3">
      <c r="A30" s="3">
        <v>3</v>
      </c>
      <c r="B30" s="8">
        <v>44910</v>
      </c>
      <c r="C30" s="324"/>
      <c r="D30" s="19" t="s">
        <v>230</v>
      </c>
      <c r="E30" s="119">
        <v>270</v>
      </c>
      <c r="F30" s="20" t="s">
        <v>286</v>
      </c>
      <c r="G30" s="24" t="s">
        <v>34</v>
      </c>
      <c r="H30" s="22" t="s">
        <v>179</v>
      </c>
    </row>
    <row r="31" spans="1:8" ht="30" customHeight="1" x14ac:dyDescent="0.3">
      <c r="A31" s="3">
        <v>4</v>
      </c>
      <c r="B31" s="8">
        <v>44992</v>
      </c>
      <c r="C31" s="324"/>
      <c r="D31" s="19" t="s">
        <v>357</v>
      </c>
      <c r="E31" s="119">
        <v>274</v>
      </c>
      <c r="F31" s="20" t="s">
        <v>358</v>
      </c>
      <c r="G31" s="24" t="s">
        <v>34</v>
      </c>
      <c r="H31" s="22" t="s">
        <v>361</v>
      </c>
    </row>
    <row r="32" spans="1:8" ht="30" customHeight="1" x14ac:dyDescent="0.3">
      <c r="A32" s="3">
        <v>5</v>
      </c>
      <c r="B32" s="8">
        <v>45036</v>
      </c>
      <c r="C32" s="325"/>
      <c r="D32" s="19" t="s">
        <v>397</v>
      </c>
      <c r="E32" s="119">
        <v>133</v>
      </c>
      <c r="F32" s="20" t="s">
        <v>430</v>
      </c>
      <c r="G32" s="24" t="s">
        <v>34</v>
      </c>
      <c r="H32" s="20" t="s">
        <v>398</v>
      </c>
    </row>
    <row r="33" spans="1:8" ht="30" customHeight="1" x14ac:dyDescent="0.3">
      <c r="A33" s="129"/>
      <c r="B33" s="126"/>
      <c r="C33" s="126"/>
      <c r="D33" s="126"/>
      <c r="E33" s="128">
        <f>SUM(E28:E32)</f>
        <v>4780</v>
      </c>
      <c r="F33" s="127"/>
      <c r="G33" s="321"/>
      <c r="H33" s="322"/>
    </row>
    <row r="34" spans="1:8" ht="30" customHeight="1" x14ac:dyDescent="0.3">
      <c r="A34" s="3">
        <v>1</v>
      </c>
      <c r="B34" s="8">
        <v>44830</v>
      </c>
      <c r="C34" s="323" t="s">
        <v>122</v>
      </c>
      <c r="D34" s="19" t="s">
        <v>121</v>
      </c>
      <c r="E34" s="119">
        <v>9003</v>
      </c>
      <c r="F34" s="20" t="s">
        <v>308</v>
      </c>
      <c r="G34" s="24" t="s">
        <v>123</v>
      </c>
      <c r="H34" s="22" t="s">
        <v>124</v>
      </c>
    </row>
    <row r="35" spans="1:8" ht="30" customHeight="1" x14ac:dyDescent="0.3">
      <c r="A35" s="3">
        <v>2</v>
      </c>
      <c r="B35" s="8">
        <v>44833</v>
      </c>
      <c r="C35" s="324"/>
      <c r="D35" s="19" t="s">
        <v>125</v>
      </c>
      <c r="E35" s="119">
        <v>6908</v>
      </c>
      <c r="F35" s="20" t="s">
        <v>309</v>
      </c>
      <c r="G35" s="24" t="s">
        <v>123</v>
      </c>
      <c r="H35" s="22" t="s">
        <v>126</v>
      </c>
    </row>
    <row r="36" spans="1:8" ht="30" customHeight="1" x14ac:dyDescent="0.3">
      <c r="A36" s="4">
        <v>3</v>
      </c>
      <c r="B36" s="8">
        <v>44965</v>
      </c>
      <c r="C36" s="324"/>
      <c r="D36" s="19" t="s">
        <v>263</v>
      </c>
      <c r="E36" s="119">
        <v>7161</v>
      </c>
      <c r="F36" s="20" t="s">
        <v>264</v>
      </c>
      <c r="G36" s="24" t="s">
        <v>265</v>
      </c>
      <c r="H36" s="20" t="s">
        <v>266</v>
      </c>
    </row>
    <row r="37" spans="1:8" ht="30" customHeight="1" x14ac:dyDescent="0.3">
      <c r="A37" s="4">
        <v>4</v>
      </c>
      <c r="B37" s="8">
        <v>44971</v>
      </c>
      <c r="C37" s="324"/>
      <c r="D37" s="19" t="s">
        <v>270</v>
      </c>
      <c r="E37" s="119">
        <v>7345</v>
      </c>
      <c r="F37" s="20" t="s">
        <v>264</v>
      </c>
      <c r="G37" s="24" t="s">
        <v>265</v>
      </c>
      <c r="H37" s="20" t="s">
        <v>271</v>
      </c>
    </row>
    <row r="38" spans="1:8" ht="30" customHeight="1" x14ac:dyDescent="0.3">
      <c r="A38" s="4">
        <v>5</v>
      </c>
      <c r="B38" s="8">
        <v>45244</v>
      </c>
      <c r="C38" s="324"/>
      <c r="D38" s="19" t="s">
        <v>542</v>
      </c>
      <c r="E38" s="119">
        <v>13201</v>
      </c>
      <c r="F38" s="20" t="s">
        <v>264</v>
      </c>
      <c r="G38" s="24" t="s">
        <v>265</v>
      </c>
      <c r="H38" s="20" t="s">
        <v>544</v>
      </c>
    </row>
    <row r="39" spans="1:8" ht="30" customHeight="1" x14ac:dyDescent="0.3">
      <c r="A39" s="4">
        <v>6</v>
      </c>
      <c r="B39" s="8">
        <v>45245</v>
      </c>
      <c r="C39" s="324"/>
      <c r="D39" s="19" t="s">
        <v>548</v>
      </c>
      <c r="E39" s="119">
        <v>10576</v>
      </c>
      <c r="F39" s="20" t="s">
        <v>264</v>
      </c>
      <c r="G39" s="24" t="s">
        <v>594</v>
      </c>
      <c r="H39" s="20" t="s">
        <v>549</v>
      </c>
    </row>
    <row r="40" spans="1:8" ht="30" customHeight="1" x14ac:dyDescent="0.3">
      <c r="A40" s="4">
        <v>7</v>
      </c>
      <c r="B40" s="8">
        <v>45246</v>
      </c>
      <c r="C40" s="324"/>
      <c r="D40" s="19" t="s">
        <v>590</v>
      </c>
      <c r="E40" s="119">
        <v>6219</v>
      </c>
      <c r="F40" s="20" t="s">
        <v>264</v>
      </c>
      <c r="G40" s="24" t="s">
        <v>594</v>
      </c>
      <c r="H40" s="20" t="s">
        <v>553</v>
      </c>
    </row>
    <row r="41" spans="1:8" ht="30" customHeight="1" x14ac:dyDescent="0.3">
      <c r="A41" s="4">
        <v>8</v>
      </c>
      <c r="B41" s="8">
        <v>45254</v>
      </c>
      <c r="C41" s="324"/>
      <c r="D41" s="19" t="s">
        <v>591</v>
      </c>
      <c r="E41" s="119">
        <v>10869</v>
      </c>
      <c r="F41" s="20" t="s">
        <v>264</v>
      </c>
      <c r="G41" s="24" t="s">
        <v>594</v>
      </c>
      <c r="H41" s="20" t="s">
        <v>595</v>
      </c>
    </row>
    <row r="42" spans="1:8" ht="30" customHeight="1" x14ac:dyDescent="0.3">
      <c r="A42" s="4">
        <v>9</v>
      </c>
      <c r="B42" s="8">
        <v>45258</v>
      </c>
      <c r="C42" s="324"/>
      <c r="D42" s="19" t="s">
        <v>592</v>
      </c>
      <c r="E42" s="119">
        <v>6353</v>
      </c>
      <c r="F42" s="20" t="s">
        <v>264</v>
      </c>
      <c r="G42" s="24" t="s">
        <v>594</v>
      </c>
      <c r="H42" s="20" t="s">
        <v>596</v>
      </c>
    </row>
    <row r="43" spans="1:8" ht="30" customHeight="1" x14ac:dyDescent="0.3">
      <c r="A43" s="4">
        <v>10</v>
      </c>
      <c r="B43" s="8">
        <v>45260</v>
      </c>
      <c r="C43" s="324"/>
      <c r="D43" s="19" t="s">
        <v>593</v>
      </c>
      <c r="E43" s="119">
        <v>7250</v>
      </c>
      <c r="F43" s="20" t="s">
        <v>264</v>
      </c>
      <c r="G43" s="24" t="s">
        <v>594</v>
      </c>
      <c r="H43" s="20" t="s">
        <v>597</v>
      </c>
    </row>
    <row r="44" spans="1:8" ht="30" customHeight="1" x14ac:dyDescent="0.3">
      <c r="A44" s="4">
        <v>11</v>
      </c>
      <c r="B44" s="8">
        <v>45266</v>
      </c>
      <c r="C44" s="325"/>
      <c r="D44" s="19" t="s">
        <v>628</v>
      </c>
      <c r="E44" s="119">
        <v>5175</v>
      </c>
      <c r="F44" s="20" t="s">
        <v>264</v>
      </c>
      <c r="G44" s="24" t="s">
        <v>543</v>
      </c>
      <c r="H44" s="55" t="s">
        <v>629</v>
      </c>
    </row>
    <row r="45" spans="1:8" ht="30" customHeight="1" x14ac:dyDescent="0.3">
      <c r="A45" s="129"/>
      <c r="B45" s="126"/>
      <c r="C45" s="126"/>
      <c r="D45" s="126"/>
      <c r="E45" s="128">
        <f>SUM(E34:E44)</f>
        <v>90060</v>
      </c>
      <c r="F45" s="127"/>
      <c r="G45" s="321"/>
      <c r="H45" s="322"/>
    </row>
    <row r="46" spans="1:8" ht="30" customHeight="1" x14ac:dyDescent="0.3">
      <c r="A46" s="3">
        <v>1</v>
      </c>
      <c r="B46" s="8">
        <v>44879</v>
      </c>
      <c r="C46" s="323" t="s">
        <v>191</v>
      </c>
      <c r="D46" s="19" t="s">
        <v>190</v>
      </c>
      <c r="E46" s="119">
        <v>64</v>
      </c>
      <c r="F46" s="20" t="s">
        <v>232</v>
      </c>
      <c r="G46" s="24" t="s">
        <v>192</v>
      </c>
      <c r="H46" s="22" t="s">
        <v>283</v>
      </c>
    </row>
    <row r="47" spans="1:8" ht="30" customHeight="1" x14ac:dyDescent="0.3">
      <c r="A47" s="3">
        <v>2</v>
      </c>
      <c r="B47" s="8">
        <v>45058</v>
      </c>
      <c r="C47" s="325"/>
      <c r="D47" s="19" t="s">
        <v>412</v>
      </c>
      <c r="E47" s="119">
        <v>986</v>
      </c>
      <c r="F47" s="20" t="s">
        <v>232</v>
      </c>
      <c r="G47" s="24" t="s">
        <v>414</v>
      </c>
      <c r="H47" s="20" t="s">
        <v>415</v>
      </c>
    </row>
    <row r="48" spans="1:8" ht="30" customHeight="1" x14ac:dyDescent="0.3">
      <c r="A48" s="129"/>
      <c r="B48" s="126"/>
      <c r="C48" s="126"/>
      <c r="D48" s="126"/>
      <c r="E48" s="128">
        <f>SUM(E46:E47)</f>
        <v>1050</v>
      </c>
      <c r="F48" s="127"/>
      <c r="G48" s="321"/>
      <c r="H48" s="322"/>
    </row>
    <row r="49" spans="1:8" ht="30" customHeight="1" x14ac:dyDescent="0.3">
      <c r="A49" s="3">
        <v>1</v>
      </c>
      <c r="B49" s="8">
        <v>44714</v>
      </c>
      <c r="C49" s="20" t="s">
        <v>61</v>
      </c>
      <c r="D49" s="19" t="s">
        <v>60</v>
      </c>
      <c r="E49" s="119">
        <v>1077</v>
      </c>
      <c r="F49" s="20" t="s">
        <v>214</v>
      </c>
      <c r="G49" s="21" t="s">
        <v>62</v>
      </c>
      <c r="H49" s="22" t="s">
        <v>63</v>
      </c>
    </row>
    <row r="50" spans="1:8" ht="30" customHeight="1" x14ac:dyDescent="0.3">
      <c r="A50" s="129"/>
      <c r="B50" s="126"/>
      <c r="C50" s="126"/>
      <c r="D50" s="126"/>
      <c r="E50" s="128">
        <f>SUM(E49)</f>
        <v>1077</v>
      </c>
      <c r="F50" s="127"/>
      <c r="G50" s="321"/>
      <c r="H50" s="322"/>
    </row>
    <row r="51" spans="1:8" ht="30" customHeight="1" x14ac:dyDescent="0.3">
      <c r="A51" s="3">
        <v>1</v>
      </c>
      <c r="B51" s="8">
        <v>44706</v>
      </c>
      <c r="C51" s="20" t="s">
        <v>48</v>
      </c>
      <c r="D51" s="19" t="s">
        <v>47</v>
      </c>
      <c r="E51" s="119">
        <v>1077</v>
      </c>
      <c r="F51" s="20" t="s">
        <v>213</v>
      </c>
      <c r="G51" s="24" t="s">
        <v>58</v>
      </c>
      <c r="H51" s="22" t="s">
        <v>59</v>
      </c>
    </row>
    <row r="52" spans="1:8" ht="30" customHeight="1" x14ac:dyDescent="0.3">
      <c r="A52" s="129"/>
      <c r="B52" s="126"/>
      <c r="C52" s="126"/>
      <c r="D52" s="126"/>
      <c r="E52" s="126"/>
      <c r="F52" s="127"/>
      <c r="G52" s="321"/>
      <c r="H52" s="322"/>
    </row>
    <row r="53" spans="1:8" ht="30" customHeight="1" x14ac:dyDescent="0.3">
      <c r="A53" s="3">
        <v>1</v>
      </c>
      <c r="B53" s="8">
        <v>44866</v>
      </c>
      <c r="C53" s="323" t="s">
        <v>144</v>
      </c>
      <c r="D53" s="19" t="s">
        <v>143</v>
      </c>
      <c r="E53" s="119">
        <v>568</v>
      </c>
      <c r="F53" s="20" t="s">
        <v>281</v>
      </c>
      <c r="G53" s="24" t="s">
        <v>145</v>
      </c>
      <c r="H53" s="22" t="s">
        <v>146</v>
      </c>
    </row>
    <row r="54" spans="1:8" ht="30" customHeight="1" x14ac:dyDescent="0.3">
      <c r="A54" s="3">
        <v>2</v>
      </c>
      <c r="B54" s="8">
        <v>44902</v>
      </c>
      <c r="C54" s="324"/>
      <c r="D54" s="19" t="s">
        <v>167</v>
      </c>
      <c r="E54" s="119">
        <v>1684</v>
      </c>
      <c r="F54" s="20" t="s">
        <v>285</v>
      </c>
      <c r="G54" s="24" t="s">
        <v>145</v>
      </c>
      <c r="H54" s="22" t="s">
        <v>168</v>
      </c>
    </row>
    <row r="55" spans="1:8" ht="30" customHeight="1" x14ac:dyDescent="0.3">
      <c r="A55" s="3">
        <v>3</v>
      </c>
      <c r="B55" s="8">
        <v>45042</v>
      </c>
      <c r="C55" s="325"/>
      <c r="D55" s="19" t="s">
        <v>362</v>
      </c>
      <c r="E55" s="119">
        <v>289</v>
      </c>
      <c r="F55" s="20" t="s">
        <v>436</v>
      </c>
      <c r="G55" s="24" t="s">
        <v>145</v>
      </c>
      <c r="H55" s="44" t="s">
        <v>406</v>
      </c>
    </row>
    <row r="56" spans="1:8" ht="30" customHeight="1" x14ac:dyDescent="0.3">
      <c r="A56" s="130"/>
      <c r="B56" s="131"/>
      <c r="C56" s="131"/>
      <c r="D56" s="131"/>
      <c r="E56" s="136">
        <f>SUM(E53:E55)</f>
        <v>2541</v>
      </c>
      <c r="F56" s="132"/>
      <c r="G56" s="327"/>
      <c r="H56" s="328"/>
    </row>
    <row r="57" spans="1:8" ht="30" customHeight="1" x14ac:dyDescent="0.3">
      <c r="A57" s="4">
        <v>1</v>
      </c>
      <c r="B57" s="8">
        <v>44665</v>
      </c>
      <c r="C57" s="326" t="s">
        <v>25</v>
      </c>
      <c r="D57" s="35" t="s">
        <v>296</v>
      </c>
      <c r="E57" s="123">
        <v>844</v>
      </c>
      <c r="F57" s="20" t="s">
        <v>23</v>
      </c>
      <c r="G57" s="24" t="s">
        <v>27</v>
      </c>
      <c r="H57" s="20" t="s">
        <v>28</v>
      </c>
    </row>
    <row r="58" spans="1:8" ht="30" customHeight="1" x14ac:dyDescent="0.3">
      <c r="A58" s="4">
        <v>2</v>
      </c>
      <c r="B58" s="8">
        <v>44698</v>
      </c>
      <c r="C58" s="326"/>
      <c r="D58" s="19" t="s">
        <v>40</v>
      </c>
      <c r="E58" s="119">
        <v>301</v>
      </c>
      <c r="F58" s="20" t="s">
        <v>23</v>
      </c>
      <c r="G58" s="24" t="s">
        <v>27</v>
      </c>
      <c r="H58" s="20" t="s">
        <v>41</v>
      </c>
    </row>
    <row r="59" spans="1:8" ht="30" customHeight="1" x14ac:dyDescent="0.3">
      <c r="A59" s="4">
        <v>3</v>
      </c>
      <c r="B59" s="8">
        <v>44748</v>
      </c>
      <c r="C59" s="326"/>
      <c r="D59" s="19" t="s">
        <v>89</v>
      </c>
      <c r="E59" s="119">
        <v>335</v>
      </c>
      <c r="F59" s="20" t="s">
        <v>23</v>
      </c>
      <c r="G59" s="24" t="s">
        <v>27</v>
      </c>
      <c r="H59" s="20" t="s">
        <v>90</v>
      </c>
    </row>
    <row r="60" spans="1:8" ht="30" customHeight="1" x14ac:dyDescent="0.3">
      <c r="A60" s="4">
        <v>4</v>
      </c>
      <c r="B60" s="8">
        <v>44754</v>
      </c>
      <c r="C60" s="326"/>
      <c r="D60" s="19" t="s">
        <v>87</v>
      </c>
      <c r="E60" s="119">
        <v>524</v>
      </c>
      <c r="F60" s="20" t="s">
        <v>23</v>
      </c>
      <c r="G60" s="24" t="s">
        <v>27</v>
      </c>
      <c r="H60" s="20" t="s">
        <v>91</v>
      </c>
    </row>
    <row r="61" spans="1:8" ht="30" customHeight="1" x14ac:dyDescent="0.3">
      <c r="A61" s="4">
        <v>5</v>
      </c>
      <c r="B61" s="8">
        <v>44804</v>
      </c>
      <c r="C61" s="326"/>
      <c r="D61" s="19" t="s">
        <v>108</v>
      </c>
      <c r="E61" s="119">
        <v>496</v>
      </c>
      <c r="F61" s="20" t="s">
        <v>107</v>
      </c>
      <c r="G61" s="24" t="s">
        <v>109</v>
      </c>
      <c r="H61" s="20" t="s">
        <v>110</v>
      </c>
    </row>
    <row r="62" spans="1:8" ht="30" customHeight="1" x14ac:dyDescent="0.3">
      <c r="A62" s="4">
        <v>6</v>
      </c>
      <c r="B62" s="30">
        <v>44888</v>
      </c>
      <c r="C62" s="326"/>
      <c r="D62" s="19" t="s">
        <v>159</v>
      </c>
      <c r="E62" s="119">
        <v>695</v>
      </c>
      <c r="F62" s="20" t="s">
        <v>107</v>
      </c>
      <c r="G62" s="24" t="s">
        <v>160</v>
      </c>
      <c r="H62" s="20" t="s">
        <v>161</v>
      </c>
    </row>
    <row r="63" spans="1:8" ht="30" customHeight="1" x14ac:dyDescent="0.3">
      <c r="A63" s="4"/>
      <c r="B63" s="8">
        <v>44917</v>
      </c>
      <c r="C63" s="326"/>
      <c r="D63" s="19" t="s">
        <v>176</v>
      </c>
      <c r="E63" s="119">
        <v>354</v>
      </c>
      <c r="F63" s="20" t="s">
        <v>107</v>
      </c>
      <c r="G63" s="24" t="s">
        <v>109</v>
      </c>
      <c r="H63" s="22" t="s">
        <v>178</v>
      </c>
    </row>
    <row r="64" spans="1:8" ht="30" customHeight="1" x14ac:dyDescent="0.3">
      <c r="A64" s="4">
        <v>7</v>
      </c>
      <c r="B64" s="8">
        <v>44971</v>
      </c>
      <c r="C64" s="326"/>
      <c r="D64" s="19" t="s">
        <v>19</v>
      </c>
      <c r="E64" s="119">
        <v>82</v>
      </c>
      <c r="F64" s="20" t="s">
        <v>23</v>
      </c>
      <c r="G64" s="24" t="s">
        <v>272</v>
      </c>
      <c r="H64" s="20" t="s">
        <v>273</v>
      </c>
    </row>
    <row r="65" spans="1:8" ht="30" customHeight="1" x14ac:dyDescent="0.3">
      <c r="A65" s="4">
        <v>8</v>
      </c>
      <c r="B65" s="8">
        <v>44973</v>
      </c>
      <c r="C65" s="326"/>
      <c r="D65" s="19" t="s">
        <v>275</v>
      </c>
      <c r="E65" s="119">
        <v>1806</v>
      </c>
      <c r="F65" s="20" t="s">
        <v>23</v>
      </c>
      <c r="G65" s="24" t="s">
        <v>272</v>
      </c>
      <c r="H65" s="20" t="s">
        <v>274</v>
      </c>
    </row>
    <row r="66" spans="1:8" ht="30" customHeight="1" x14ac:dyDescent="0.3">
      <c r="A66" s="4">
        <v>9</v>
      </c>
      <c r="B66" s="8">
        <v>44991</v>
      </c>
      <c r="C66" s="326"/>
      <c r="D66" s="19" t="s">
        <v>354</v>
      </c>
      <c r="E66" s="119">
        <v>122</v>
      </c>
      <c r="F66" s="20" t="s">
        <v>23</v>
      </c>
      <c r="G66" s="24" t="s">
        <v>272</v>
      </c>
      <c r="H66" s="20" t="s">
        <v>353</v>
      </c>
    </row>
    <row r="67" spans="1:8" ht="30" customHeight="1" x14ac:dyDescent="0.3">
      <c r="A67" s="4">
        <v>10</v>
      </c>
      <c r="B67" s="8">
        <v>44993</v>
      </c>
      <c r="C67" s="326"/>
      <c r="D67" s="19" t="s">
        <v>287</v>
      </c>
      <c r="E67" s="119">
        <v>985</v>
      </c>
      <c r="F67" s="20" t="s">
        <v>23</v>
      </c>
      <c r="G67" s="24" t="s">
        <v>272</v>
      </c>
      <c r="H67" s="20" t="s">
        <v>356</v>
      </c>
    </row>
    <row r="68" spans="1:8" ht="30" customHeight="1" x14ac:dyDescent="0.3">
      <c r="A68" s="4">
        <v>11</v>
      </c>
      <c r="B68" s="8">
        <v>45006</v>
      </c>
      <c r="C68" s="326"/>
      <c r="D68" s="19" t="s">
        <v>382</v>
      </c>
      <c r="E68" s="119">
        <v>1338</v>
      </c>
      <c r="F68" s="20" t="s">
        <v>23</v>
      </c>
      <c r="G68" s="24" t="s">
        <v>272</v>
      </c>
      <c r="H68" s="20" t="s">
        <v>383</v>
      </c>
    </row>
    <row r="69" spans="1:8" ht="30" customHeight="1" x14ac:dyDescent="0.3">
      <c r="A69" s="4">
        <v>12</v>
      </c>
      <c r="B69" s="8">
        <v>45029</v>
      </c>
      <c r="C69" s="326"/>
      <c r="D69" s="19" t="s">
        <v>391</v>
      </c>
      <c r="E69" s="119">
        <v>900</v>
      </c>
      <c r="F69" s="20" t="s">
        <v>23</v>
      </c>
      <c r="G69" s="24" t="s">
        <v>394</v>
      </c>
      <c r="H69" s="20" t="s">
        <v>435</v>
      </c>
    </row>
    <row r="70" spans="1:8" ht="30" customHeight="1" x14ac:dyDescent="0.3">
      <c r="A70" s="4">
        <v>13</v>
      </c>
      <c r="B70" s="8">
        <v>45100</v>
      </c>
      <c r="C70" s="326"/>
      <c r="D70" s="19" t="s">
        <v>445</v>
      </c>
      <c r="E70" s="119">
        <v>405</v>
      </c>
      <c r="F70" s="20" t="s">
        <v>446</v>
      </c>
      <c r="G70" s="24" t="s">
        <v>448</v>
      </c>
      <c r="H70" s="44" t="s">
        <v>449</v>
      </c>
    </row>
    <row r="71" spans="1:8" ht="30" customHeight="1" x14ac:dyDescent="0.3">
      <c r="A71" s="4">
        <v>14</v>
      </c>
      <c r="B71" s="8">
        <v>45133</v>
      </c>
      <c r="C71" s="326"/>
      <c r="D71" s="19" t="s">
        <v>483</v>
      </c>
      <c r="E71" s="119">
        <v>505</v>
      </c>
      <c r="F71" s="20" t="s">
        <v>472</v>
      </c>
      <c r="G71" s="24" t="s">
        <v>484</v>
      </c>
      <c r="H71" s="44" t="s">
        <v>487</v>
      </c>
    </row>
    <row r="72" spans="1:8" ht="30" customHeight="1" x14ac:dyDescent="0.3">
      <c r="A72" s="4">
        <v>15</v>
      </c>
      <c r="B72" s="8">
        <v>45139</v>
      </c>
      <c r="C72" s="326"/>
      <c r="D72" s="19" t="s">
        <v>490</v>
      </c>
      <c r="E72" s="119">
        <v>974</v>
      </c>
      <c r="F72" s="20" t="s">
        <v>23</v>
      </c>
      <c r="G72" s="24" t="s">
        <v>272</v>
      </c>
      <c r="H72" s="44" t="s">
        <v>491</v>
      </c>
    </row>
    <row r="73" spans="1:8" ht="30" customHeight="1" x14ac:dyDescent="0.3">
      <c r="A73" s="4">
        <v>16</v>
      </c>
      <c r="B73" s="8">
        <v>45134</v>
      </c>
      <c r="C73" s="326"/>
      <c r="D73" s="19" t="s">
        <v>496</v>
      </c>
      <c r="E73" s="119">
        <v>491</v>
      </c>
      <c r="F73" s="20" t="s">
        <v>23</v>
      </c>
      <c r="G73" s="24" t="s">
        <v>272</v>
      </c>
      <c r="H73" s="44" t="s">
        <v>497</v>
      </c>
    </row>
    <row r="74" spans="1:8" ht="30" customHeight="1" x14ac:dyDescent="0.3">
      <c r="A74" s="4">
        <v>17</v>
      </c>
      <c r="B74" s="8">
        <v>45175</v>
      </c>
      <c r="C74" s="326"/>
      <c r="D74" s="19" t="s">
        <v>515</v>
      </c>
      <c r="E74" s="119">
        <v>275</v>
      </c>
      <c r="F74" s="20" t="s">
        <v>23</v>
      </c>
      <c r="G74" s="24" t="s">
        <v>272</v>
      </c>
      <c r="H74" s="20" t="s">
        <v>516</v>
      </c>
    </row>
    <row r="75" spans="1:8" ht="30" customHeight="1" x14ac:dyDescent="0.3">
      <c r="A75" s="4">
        <v>18</v>
      </c>
      <c r="B75" s="8">
        <v>45177</v>
      </c>
      <c r="C75" s="326"/>
      <c r="D75" s="19" t="s">
        <v>517</v>
      </c>
      <c r="E75" s="119">
        <v>124</v>
      </c>
      <c r="F75" s="20" t="s">
        <v>23</v>
      </c>
      <c r="G75" s="24" t="s">
        <v>272</v>
      </c>
      <c r="H75" s="44" t="s">
        <v>519</v>
      </c>
    </row>
    <row r="76" spans="1:8" ht="30" customHeight="1" x14ac:dyDescent="0.3">
      <c r="A76" s="4">
        <v>19</v>
      </c>
      <c r="B76" s="8">
        <v>45188</v>
      </c>
      <c r="C76" s="326"/>
      <c r="D76" s="19" t="s">
        <v>522</v>
      </c>
      <c r="E76" s="119">
        <v>659</v>
      </c>
      <c r="F76" s="20" t="s">
        <v>23</v>
      </c>
      <c r="G76" s="24" t="s">
        <v>272</v>
      </c>
      <c r="H76" s="44" t="s">
        <v>523</v>
      </c>
    </row>
    <row r="77" spans="1:8" ht="30" customHeight="1" x14ac:dyDescent="0.3">
      <c r="A77" s="4">
        <v>20</v>
      </c>
      <c r="B77" s="8">
        <v>45210</v>
      </c>
      <c r="C77" s="326"/>
      <c r="D77" s="19" t="s">
        <v>426</v>
      </c>
      <c r="E77" s="119">
        <v>157</v>
      </c>
      <c r="F77" s="20" t="s">
        <v>23</v>
      </c>
      <c r="G77" s="24" t="s">
        <v>272</v>
      </c>
      <c r="H77" s="20" t="s">
        <v>533</v>
      </c>
    </row>
    <row r="78" spans="1:8" ht="30" customHeight="1" x14ac:dyDescent="0.3">
      <c r="A78" s="4">
        <v>21</v>
      </c>
      <c r="B78" s="8">
        <v>45223</v>
      </c>
      <c r="C78" s="326"/>
      <c r="D78" s="19" t="s">
        <v>362</v>
      </c>
      <c r="E78" s="119">
        <v>399</v>
      </c>
      <c r="F78" s="20" t="s">
        <v>23</v>
      </c>
      <c r="G78" s="24" t="s">
        <v>272</v>
      </c>
      <c r="H78" s="20" t="s">
        <v>536</v>
      </c>
    </row>
    <row r="79" spans="1:8" ht="30" customHeight="1" x14ac:dyDescent="0.3">
      <c r="A79" s="4">
        <v>22</v>
      </c>
      <c r="B79" s="8">
        <v>45251</v>
      </c>
      <c r="C79" s="326"/>
      <c r="D79" s="19" t="s">
        <v>630</v>
      </c>
      <c r="E79" s="119">
        <v>826</v>
      </c>
      <c r="F79" s="20" t="s">
        <v>23</v>
      </c>
      <c r="G79" s="24" t="s">
        <v>272</v>
      </c>
      <c r="H79" s="46" t="s">
        <v>632</v>
      </c>
    </row>
    <row r="80" spans="1:8" ht="30" customHeight="1" x14ac:dyDescent="0.3">
      <c r="A80" s="4"/>
      <c r="B80" s="8"/>
      <c r="C80" s="326"/>
      <c r="D80" s="19"/>
      <c r="E80" s="119"/>
      <c r="F80" s="20"/>
      <c r="G80" s="24"/>
      <c r="H80" s="44"/>
    </row>
    <row r="81" spans="1:8" ht="30" customHeight="1" x14ac:dyDescent="0.3">
      <c r="A81" s="133"/>
      <c r="B81" s="134"/>
      <c r="C81" s="134"/>
      <c r="D81" s="134"/>
      <c r="E81" s="137">
        <f>SUM(E57:E80)</f>
        <v>13597</v>
      </c>
      <c r="F81" s="135"/>
      <c r="G81" s="329"/>
      <c r="H81" s="330"/>
    </row>
    <row r="82" spans="1:8" ht="30" customHeight="1" x14ac:dyDescent="0.3">
      <c r="A82" s="3">
        <v>1</v>
      </c>
      <c r="B82" s="8">
        <v>44651</v>
      </c>
      <c r="C82" s="323" t="s">
        <v>349</v>
      </c>
      <c r="D82" s="19" t="s">
        <v>8</v>
      </c>
      <c r="E82" s="119">
        <v>369</v>
      </c>
      <c r="F82" s="20" t="s">
        <v>208</v>
      </c>
      <c r="G82" s="24" t="s">
        <v>51</v>
      </c>
      <c r="H82" s="22" t="s">
        <v>12</v>
      </c>
    </row>
    <row r="83" spans="1:8" ht="30" customHeight="1" x14ac:dyDescent="0.3">
      <c r="A83" s="3">
        <v>2</v>
      </c>
      <c r="B83" s="8">
        <v>44656</v>
      </c>
      <c r="C83" s="324"/>
      <c r="D83" s="19" t="s">
        <v>13</v>
      </c>
      <c r="E83" s="119">
        <v>330</v>
      </c>
      <c r="F83" s="20" t="s">
        <v>208</v>
      </c>
      <c r="G83" s="24" t="s">
        <v>51</v>
      </c>
      <c r="H83" s="22" t="s">
        <v>14</v>
      </c>
    </row>
    <row r="84" spans="1:8" ht="30" customHeight="1" x14ac:dyDescent="0.3">
      <c r="A84" s="3">
        <v>3</v>
      </c>
      <c r="B84" s="8">
        <v>44727</v>
      </c>
      <c r="C84" s="324"/>
      <c r="D84" s="19" t="s">
        <v>68</v>
      </c>
      <c r="E84" s="119">
        <v>379</v>
      </c>
      <c r="F84" s="20" t="s">
        <v>208</v>
      </c>
      <c r="G84" s="24" t="s">
        <v>51</v>
      </c>
      <c r="H84" s="22" t="s">
        <v>69</v>
      </c>
    </row>
    <row r="85" spans="1:8" ht="30" customHeight="1" x14ac:dyDescent="0.3">
      <c r="A85" s="3">
        <v>4</v>
      </c>
      <c r="B85" s="8">
        <v>44900</v>
      </c>
      <c r="C85" s="324"/>
      <c r="D85" s="19" t="s">
        <v>203</v>
      </c>
      <c r="E85" s="119">
        <v>270</v>
      </c>
      <c r="F85" s="20" t="s">
        <v>208</v>
      </c>
      <c r="G85" s="24" t="s">
        <v>204</v>
      </c>
      <c r="H85" s="22" t="s">
        <v>205</v>
      </c>
    </row>
    <row r="86" spans="1:8" ht="30" customHeight="1" x14ac:dyDescent="0.3">
      <c r="A86" s="3">
        <v>5</v>
      </c>
      <c r="B86" s="8">
        <v>44901</v>
      </c>
      <c r="C86" s="324"/>
      <c r="D86" s="19" t="s">
        <v>164</v>
      </c>
      <c r="E86" s="119">
        <v>1001</v>
      </c>
      <c r="F86" s="20" t="s">
        <v>208</v>
      </c>
      <c r="G86" s="24" t="s">
        <v>165</v>
      </c>
      <c r="H86" s="22" t="s">
        <v>166</v>
      </c>
    </row>
    <row r="87" spans="1:8" ht="30" customHeight="1" x14ac:dyDescent="0.3">
      <c r="A87" s="4">
        <v>6</v>
      </c>
      <c r="B87" s="8">
        <v>44985</v>
      </c>
      <c r="C87" s="324"/>
      <c r="D87" s="19" t="s">
        <v>277</v>
      </c>
      <c r="E87" s="119">
        <v>1544</v>
      </c>
      <c r="F87" s="20" t="s">
        <v>288</v>
      </c>
      <c r="G87" s="24" t="s">
        <v>291</v>
      </c>
      <c r="H87" s="20" t="s">
        <v>292</v>
      </c>
    </row>
    <row r="88" spans="1:8" ht="30" customHeight="1" x14ac:dyDescent="0.3">
      <c r="A88" s="4">
        <v>7</v>
      </c>
      <c r="B88" s="8">
        <v>44978</v>
      </c>
      <c r="C88" s="324"/>
      <c r="D88" s="19" t="s">
        <v>341</v>
      </c>
      <c r="E88" s="119">
        <v>720</v>
      </c>
      <c r="F88" s="20" t="s">
        <v>288</v>
      </c>
      <c r="G88" s="24" t="s">
        <v>291</v>
      </c>
      <c r="H88" s="20" t="s">
        <v>340</v>
      </c>
    </row>
    <row r="89" spans="1:8" ht="30" customHeight="1" x14ac:dyDescent="0.3">
      <c r="A89" s="4">
        <v>8</v>
      </c>
      <c r="B89" s="8">
        <v>44988</v>
      </c>
      <c r="C89" s="324"/>
      <c r="D89" s="19" t="s">
        <v>348</v>
      </c>
      <c r="E89" s="119">
        <v>544</v>
      </c>
      <c r="F89" s="20" t="s">
        <v>288</v>
      </c>
      <c r="G89" s="24" t="s">
        <v>291</v>
      </c>
      <c r="H89" s="20" t="s">
        <v>350</v>
      </c>
    </row>
    <row r="90" spans="1:8" ht="30" customHeight="1" x14ac:dyDescent="0.3">
      <c r="A90" s="4">
        <v>9</v>
      </c>
      <c r="B90" s="8">
        <v>44994</v>
      </c>
      <c r="C90" s="324"/>
      <c r="D90" s="19" t="s">
        <v>362</v>
      </c>
      <c r="E90" s="119">
        <v>289</v>
      </c>
      <c r="F90" s="20" t="s">
        <v>288</v>
      </c>
      <c r="G90" s="24" t="s">
        <v>291</v>
      </c>
      <c r="H90" s="44" t="s">
        <v>363</v>
      </c>
    </row>
    <row r="91" spans="1:8" ht="30" customHeight="1" x14ac:dyDescent="0.3">
      <c r="A91" s="4">
        <v>10</v>
      </c>
      <c r="B91" s="8">
        <v>45105</v>
      </c>
      <c r="C91" s="325"/>
      <c r="D91" s="19" t="s">
        <v>453</v>
      </c>
      <c r="E91" s="119">
        <v>114</v>
      </c>
      <c r="F91" s="20" t="s">
        <v>458</v>
      </c>
      <c r="G91" s="24" t="s">
        <v>454</v>
      </c>
      <c r="H91" s="47" t="s">
        <v>455</v>
      </c>
    </row>
    <row r="92" spans="1:8" ht="30" customHeight="1" x14ac:dyDescent="0.3">
      <c r="A92" s="4">
        <v>11</v>
      </c>
      <c r="B92" s="8">
        <v>45244</v>
      </c>
      <c r="C92" s="53"/>
      <c r="D92" s="19" t="s">
        <v>545</v>
      </c>
      <c r="E92" s="119">
        <v>872</v>
      </c>
      <c r="F92" s="20" t="s">
        <v>208</v>
      </c>
      <c r="G92" s="24" t="s">
        <v>546</v>
      </c>
      <c r="H92" s="55" t="s">
        <v>547</v>
      </c>
    </row>
    <row r="93" spans="1:8" ht="30" customHeight="1" x14ac:dyDescent="0.3">
      <c r="A93" s="129"/>
      <c r="B93" s="126"/>
      <c r="C93" s="126"/>
      <c r="D93" s="126"/>
      <c r="E93" s="128">
        <f>SUM(E82:E92)</f>
        <v>6432</v>
      </c>
      <c r="F93" s="127"/>
      <c r="G93" s="321"/>
      <c r="H93" s="322"/>
    </row>
    <row r="94" spans="1:8" ht="30" customHeight="1" x14ac:dyDescent="0.3">
      <c r="A94" s="3">
        <v>1</v>
      </c>
      <c r="B94" s="8">
        <v>44987</v>
      </c>
      <c r="C94" s="20" t="s">
        <v>344</v>
      </c>
      <c r="D94" s="19" t="s">
        <v>342</v>
      </c>
      <c r="E94" s="119">
        <v>289</v>
      </c>
      <c r="F94" s="20" t="s">
        <v>343</v>
      </c>
      <c r="G94" s="24" t="s">
        <v>345</v>
      </c>
      <c r="H94" s="22" t="s">
        <v>347</v>
      </c>
    </row>
    <row r="95" spans="1:8" ht="30" customHeight="1" x14ac:dyDescent="0.3">
      <c r="A95" s="37"/>
      <c r="B95" s="38"/>
      <c r="C95" s="38"/>
      <c r="D95" s="38"/>
      <c r="E95" s="121">
        <f>SUM(E94)</f>
        <v>289</v>
      </c>
      <c r="F95" s="39"/>
      <c r="G95" s="40"/>
      <c r="H95" s="41"/>
    </row>
    <row r="96" spans="1:8" ht="30" customHeight="1" x14ac:dyDescent="0.3">
      <c r="A96" s="3">
        <v>1</v>
      </c>
      <c r="B96" s="8">
        <v>44875</v>
      </c>
      <c r="C96" s="20" t="s">
        <v>152</v>
      </c>
      <c r="D96" s="19" t="s">
        <v>151</v>
      </c>
      <c r="E96" s="119">
        <v>1300</v>
      </c>
      <c r="F96" s="20" t="s">
        <v>228</v>
      </c>
      <c r="G96" s="24" t="s">
        <v>153</v>
      </c>
      <c r="H96" s="22" t="s">
        <v>154</v>
      </c>
    </row>
    <row r="97" spans="1:8" ht="30" customHeight="1" x14ac:dyDescent="0.3">
      <c r="A97" s="129"/>
      <c r="B97" s="126"/>
      <c r="C97" s="126"/>
      <c r="D97" s="126"/>
      <c r="E97" s="128">
        <f>SUM(E96)</f>
        <v>1300</v>
      </c>
      <c r="F97" s="127"/>
      <c r="G97" s="321"/>
      <c r="H97" s="322"/>
    </row>
    <row r="98" spans="1:8" ht="30" customHeight="1" x14ac:dyDescent="0.3">
      <c r="A98" s="3">
        <v>1</v>
      </c>
      <c r="B98" s="8">
        <v>44743</v>
      </c>
      <c r="C98" s="20" t="s">
        <v>84</v>
      </c>
      <c r="D98" s="19" t="s">
        <v>83</v>
      </c>
      <c r="E98" s="119">
        <v>858</v>
      </c>
      <c r="F98" s="20" t="s">
        <v>281</v>
      </c>
      <c r="G98" s="24" t="s">
        <v>85</v>
      </c>
      <c r="H98" s="22" t="s">
        <v>86</v>
      </c>
    </row>
    <row r="99" spans="1:8" ht="30" customHeight="1" x14ac:dyDescent="0.3">
      <c r="A99" s="129"/>
      <c r="B99" s="126"/>
      <c r="C99" s="126"/>
      <c r="D99" s="126"/>
      <c r="E99" s="128">
        <f>SUM(E98)</f>
        <v>858</v>
      </c>
      <c r="F99" s="127"/>
      <c r="G99" s="321"/>
      <c r="H99" s="322"/>
    </row>
    <row r="100" spans="1:8" ht="30" customHeight="1" x14ac:dyDescent="0.3">
      <c r="A100" s="3">
        <v>1</v>
      </c>
      <c r="B100" s="8">
        <v>44700</v>
      </c>
      <c r="C100" s="20" t="s">
        <v>43</v>
      </c>
      <c r="D100" s="19" t="s">
        <v>42</v>
      </c>
      <c r="E100" s="119">
        <v>315</v>
      </c>
      <c r="F100" s="20" t="s">
        <v>212</v>
      </c>
      <c r="G100" s="24" t="s">
        <v>57</v>
      </c>
      <c r="H100" s="22" t="s">
        <v>44</v>
      </c>
    </row>
    <row r="101" spans="1:8" ht="30" customHeight="1" x14ac:dyDescent="0.3">
      <c r="A101" s="129"/>
      <c r="B101" s="126"/>
      <c r="C101" s="126"/>
      <c r="D101" s="126"/>
      <c r="E101" s="128">
        <f>SUM(E100)</f>
        <v>315</v>
      </c>
      <c r="F101" s="127"/>
      <c r="G101" s="321"/>
      <c r="H101" s="322"/>
    </row>
    <row r="102" spans="1:8" ht="30" customHeight="1" x14ac:dyDescent="0.3">
      <c r="A102" s="4">
        <v>1</v>
      </c>
      <c r="B102" s="8">
        <v>44923</v>
      </c>
      <c r="C102" s="20" t="s">
        <v>248</v>
      </c>
      <c r="D102" s="19" t="s">
        <v>297</v>
      </c>
      <c r="E102" s="119">
        <v>339</v>
      </c>
      <c r="F102" s="20" t="s">
        <v>253</v>
      </c>
      <c r="G102" s="24" t="s">
        <v>250</v>
      </c>
      <c r="H102" s="20" t="s">
        <v>251</v>
      </c>
    </row>
    <row r="103" spans="1:8" ht="30" customHeight="1" x14ac:dyDescent="0.3">
      <c r="A103" s="129"/>
      <c r="B103" s="126"/>
      <c r="C103" s="126"/>
      <c r="D103" s="126"/>
      <c r="E103" s="128">
        <f>SUM(E102)</f>
        <v>339</v>
      </c>
      <c r="F103" s="127"/>
      <c r="G103" s="321"/>
      <c r="H103" s="322"/>
    </row>
    <row r="104" spans="1:8" ht="30" customHeight="1" x14ac:dyDescent="0.3">
      <c r="A104" s="4">
        <v>1</v>
      </c>
      <c r="B104" s="8">
        <v>45041</v>
      </c>
      <c r="C104" s="20" t="s">
        <v>400</v>
      </c>
      <c r="D104" s="19" t="s">
        <v>399</v>
      </c>
      <c r="E104" s="119">
        <v>479</v>
      </c>
      <c r="F104" s="20" t="s">
        <v>433</v>
      </c>
      <c r="G104" s="21" t="s">
        <v>401</v>
      </c>
      <c r="H104" s="20" t="s">
        <v>402</v>
      </c>
    </row>
    <row r="105" spans="1:8" ht="30" customHeight="1" x14ac:dyDescent="0.3">
      <c r="A105" s="129"/>
      <c r="B105" s="126"/>
      <c r="C105" s="126"/>
      <c r="D105" s="126"/>
      <c r="E105" s="128">
        <f>SUM(E104)</f>
        <v>479</v>
      </c>
      <c r="F105" s="127"/>
      <c r="G105" s="321"/>
      <c r="H105" s="322"/>
    </row>
    <row r="106" spans="1:8" ht="30" customHeight="1" x14ac:dyDescent="0.3">
      <c r="A106" s="3">
        <v>1</v>
      </c>
      <c r="B106" s="8">
        <v>44998</v>
      </c>
      <c r="C106" s="20" t="s">
        <v>378</v>
      </c>
      <c r="D106" s="19" t="s">
        <v>374</v>
      </c>
      <c r="E106" s="119">
        <v>264</v>
      </c>
      <c r="F106" s="20" t="s">
        <v>328</v>
      </c>
      <c r="G106" s="24" t="s">
        <v>376</v>
      </c>
      <c r="H106" s="20" t="s">
        <v>377</v>
      </c>
    </row>
    <row r="107" spans="1:8" ht="30" customHeight="1" x14ac:dyDescent="0.3">
      <c r="A107" s="129"/>
      <c r="B107" s="126"/>
      <c r="C107" s="126"/>
      <c r="D107" s="126"/>
      <c r="E107" s="128">
        <f>SUM(E106)</f>
        <v>264</v>
      </c>
      <c r="F107" s="127"/>
      <c r="G107" s="321"/>
      <c r="H107" s="322"/>
    </row>
    <row r="108" spans="1:8" ht="30" customHeight="1" x14ac:dyDescent="0.3">
      <c r="A108" s="3">
        <v>1</v>
      </c>
      <c r="B108" s="8">
        <v>44887</v>
      </c>
      <c r="C108" s="323" t="s">
        <v>187</v>
      </c>
      <c r="D108" s="19" t="s">
        <v>186</v>
      </c>
      <c r="E108" s="119">
        <v>2500</v>
      </c>
      <c r="F108" s="20" t="s">
        <v>231</v>
      </c>
      <c r="G108" s="24" t="s">
        <v>188</v>
      </c>
      <c r="H108" s="22" t="s">
        <v>189</v>
      </c>
    </row>
    <row r="109" spans="1:8" ht="30" customHeight="1" x14ac:dyDescent="0.3">
      <c r="A109" s="3">
        <v>2</v>
      </c>
      <c r="B109" s="8">
        <v>45238</v>
      </c>
      <c r="C109" s="324"/>
      <c r="D109" s="19" t="s">
        <v>505</v>
      </c>
      <c r="E109" s="119">
        <v>430</v>
      </c>
      <c r="F109" s="20" t="s">
        <v>540</v>
      </c>
      <c r="G109" s="24" t="s">
        <v>541</v>
      </c>
      <c r="H109" s="55" t="s">
        <v>539</v>
      </c>
    </row>
    <row r="110" spans="1:8" ht="30" customHeight="1" x14ac:dyDescent="0.3">
      <c r="A110" s="129"/>
      <c r="B110" s="126"/>
      <c r="C110" s="126"/>
      <c r="D110" s="126"/>
      <c r="E110" s="128">
        <f>SUM(E108:E109)</f>
        <v>2930</v>
      </c>
      <c r="F110" s="127"/>
      <c r="G110" s="321"/>
      <c r="H110" s="322"/>
    </row>
    <row r="111" spans="1:8" ht="30" customHeight="1" x14ac:dyDescent="0.3">
      <c r="A111" s="3">
        <v>1</v>
      </c>
      <c r="B111" s="8">
        <v>45247</v>
      </c>
      <c r="C111" s="20" t="s">
        <v>556</v>
      </c>
      <c r="D111" s="19" t="s">
        <v>555</v>
      </c>
      <c r="E111" s="119">
        <v>281</v>
      </c>
      <c r="F111" s="20" t="s">
        <v>540</v>
      </c>
      <c r="G111" s="24" t="s">
        <v>557</v>
      </c>
      <c r="H111" s="55" t="s">
        <v>470</v>
      </c>
    </row>
    <row r="112" spans="1:8" ht="30" customHeight="1" x14ac:dyDescent="0.3">
      <c r="A112" s="129"/>
      <c r="B112" s="126"/>
      <c r="C112" s="126"/>
      <c r="D112" s="126"/>
      <c r="E112" s="128">
        <f>SUM(E111)</f>
        <v>281</v>
      </c>
      <c r="F112" s="127"/>
      <c r="G112" s="321"/>
      <c r="H112" s="322"/>
    </row>
    <row r="113" spans="1:8" ht="30" customHeight="1" x14ac:dyDescent="0.3">
      <c r="A113" s="3">
        <v>1</v>
      </c>
      <c r="B113" s="8">
        <v>45042</v>
      </c>
      <c r="C113" s="323" t="s">
        <v>408</v>
      </c>
      <c r="D113" s="19" t="s">
        <v>372</v>
      </c>
      <c r="E113" s="119">
        <v>219</v>
      </c>
      <c r="F113" s="20" t="s">
        <v>407</v>
      </c>
      <c r="G113" s="24" t="s">
        <v>410</v>
      </c>
      <c r="H113" s="20" t="s">
        <v>411</v>
      </c>
    </row>
    <row r="114" spans="1:8" ht="30" customHeight="1" x14ac:dyDescent="0.3">
      <c r="A114" s="3">
        <v>2</v>
      </c>
      <c r="B114" s="8">
        <v>45042</v>
      </c>
      <c r="C114" s="325"/>
      <c r="D114" s="19" t="s">
        <v>379</v>
      </c>
      <c r="E114" s="119">
        <v>300</v>
      </c>
      <c r="F114" s="20" t="s">
        <v>407</v>
      </c>
      <c r="G114" s="24" t="s">
        <v>410</v>
      </c>
      <c r="H114" s="20" t="s">
        <v>411</v>
      </c>
    </row>
    <row r="115" spans="1:8" ht="30" customHeight="1" x14ac:dyDescent="0.3">
      <c r="A115" s="129"/>
      <c r="B115" s="126"/>
      <c r="C115" s="126"/>
      <c r="D115" s="126"/>
      <c r="E115" s="128">
        <f>SUM(E113:E114)</f>
        <v>519</v>
      </c>
      <c r="F115" s="127"/>
      <c r="G115" s="321"/>
      <c r="H115" s="322"/>
    </row>
    <row r="116" spans="1:8" ht="30" customHeight="1" x14ac:dyDescent="0.3">
      <c r="A116" s="3">
        <v>1</v>
      </c>
      <c r="B116" s="8">
        <v>45253</v>
      </c>
      <c r="C116" s="20" t="s">
        <v>578</v>
      </c>
      <c r="D116" s="19" t="s">
        <v>577</v>
      </c>
      <c r="E116" s="119">
        <v>14302</v>
      </c>
      <c r="F116" s="20" t="s">
        <v>264</v>
      </c>
      <c r="G116" s="24" t="s">
        <v>579</v>
      </c>
      <c r="H116" s="55" t="s">
        <v>580</v>
      </c>
    </row>
    <row r="117" spans="1:8" ht="30" customHeight="1" x14ac:dyDescent="0.3">
      <c r="A117" s="129"/>
      <c r="B117" s="126"/>
      <c r="C117" s="126"/>
      <c r="D117" s="126"/>
      <c r="E117" s="128">
        <f>SUM(E116)</f>
        <v>14302</v>
      </c>
      <c r="F117" s="127"/>
      <c r="G117" s="321"/>
      <c r="H117" s="322"/>
    </row>
    <row r="118" spans="1:8" ht="30" customHeight="1" x14ac:dyDescent="0.3">
      <c r="A118" s="3">
        <v>1</v>
      </c>
      <c r="B118" s="8">
        <v>44734</v>
      </c>
      <c r="C118" s="323" t="s">
        <v>71</v>
      </c>
      <c r="D118" s="19" t="s">
        <v>70</v>
      </c>
      <c r="E118" s="119">
        <v>4171</v>
      </c>
      <c r="F118" s="20" t="s">
        <v>215</v>
      </c>
      <c r="G118" s="24" t="s">
        <v>72</v>
      </c>
      <c r="H118" s="22" t="s">
        <v>73</v>
      </c>
    </row>
    <row r="119" spans="1:8" ht="30" customHeight="1" x14ac:dyDescent="0.3">
      <c r="A119" s="3">
        <v>2</v>
      </c>
      <c r="B119" s="8">
        <v>44747</v>
      </c>
      <c r="C119" s="324"/>
      <c r="D119" s="19" t="s">
        <v>87</v>
      </c>
      <c r="E119" s="119">
        <v>7043</v>
      </c>
      <c r="F119" s="20" t="s">
        <v>217</v>
      </c>
      <c r="G119" s="24" t="s">
        <v>72</v>
      </c>
      <c r="H119" s="22" t="s">
        <v>88</v>
      </c>
    </row>
    <row r="120" spans="1:8" ht="30" customHeight="1" x14ac:dyDescent="0.3">
      <c r="A120" s="3">
        <v>2</v>
      </c>
      <c r="B120" s="8">
        <v>45107</v>
      </c>
      <c r="C120" s="325"/>
      <c r="D120" s="19" t="s">
        <v>362</v>
      </c>
      <c r="E120" s="119">
        <v>2576</v>
      </c>
      <c r="F120" s="20" t="s">
        <v>217</v>
      </c>
      <c r="G120" s="24" t="s">
        <v>470</v>
      </c>
      <c r="H120" s="47" t="s">
        <v>469</v>
      </c>
    </row>
    <row r="121" spans="1:8" ht="30" customHeight="1" x14ac:dyDescent="0.3">
      <c r="A121" s="129"/>
      <c r="B121" s="126"/>
      <c r="C121" s="126"/>
      <c r="D121" s="126"/>
      <c r="E121" s="128">
        <f>SUM(E118:E120)</f>
        <v>13790</v>
      </c>
      <c r="F121" s="127"/>
      <c r="G121" s="321"/>
      <c r="H121" s="322"/>
    </row>
    <row r="122" spans="1:8" ht="30" customHeight="1" x14ac:dyDescent="0.3">
      <c r="A122" s="3">
        <v>1</v>
      </c>
      <c r="B122" s="8">
        <v>45175</v>
      </c>
      <c r="C122" s="20" t="s">
        <v>512</v>
      </c>
      <c r="D122" s="19" t="s">
        <v>511</v>
      </c>
      <c r="E122" s="119">
        <v>144</v>
      </c>
      <c r="F122" s="20" t="s">
        <v>430</v>
      </c>
      <c r="G122" s="24" t="s">
        <v>513</v>
      </c>
      <c r="H122" s="44" t="s">
        <v>514</v>
      </c>
    </row>
    <row r="123" spans="1:8" ht="30" customHeight="1" x14ac:dyDescent="0.3">
      <c r="A123" s="129"/>
      <c r="B123" s="126"/>
      <c r="C123" s="126"/>
      <c r="D123" s="126"/>
      <c r="E123" s="128">
        <f>SUM(E122)</f>
        <v>144</v>
      </c>
      <c r="F123" s="127"/>
      <c r="G123" s="321"/>
      <c r="H123" s="322"/>
    </row>
    <row r="124" spans="1:8" ht="30" customHeight="1" x14ac:dyDescent="0.3">
      <c r="A124" s="3">
        <v>1</v>
      </c>
      <c r="B124" s="8">
        <v>44705</v>
      </c>
      <c r="C124" s="20" t="s">
        <v>243</v>
      </c>
      <c r="D124" s="19" t="s">
        <v>244</v>
      </c>
      <c r="E124" s="119">
        <v>1488</v>
      </c>
      <c r="F124" s="20"/>
      <c r="G124" s="24" t="s">
        <v>45</v>
      </c>
      <c r="H124" s="22" t="s">
        <v>46</v>
      </c>
    </row>
    <row r="125" spans="1:8" ht="30" customHeight="1" x14ac:dyDescent="0.3">
      <c r="A125" s="129"/>
      <c r="B125" s="126"/>
      <c r="C125" s="126"/>
      <c r="D125" s="126"/>
      <c r="E125" s="128">
        <f>SUM(E124)</f>
        <v>1488</v>
      </c>
      <c r="F125" s="127"/>
      <c r="G125" s="321"/>
      <c r="H125" s="322"/>
    </row>
    <row r="126" spans="1:8" ht="30" customHeight="1" x14ac:dyDescent="0.3">
      <c r="A126" s="51">
        <v>1</v>
      </c>
      <c r="B126" s="8">
        <v>44840</v>
      </c>
      <c r="C126" s="326" t="s">
        <v>196</v>
      </c>
      <c r="D126" s="19" t="s">
        <v>195</v>
      </c>
      <c r="E126" s="124">
        <v>343</v>
      </c>
      <c r="F126" s="48" t="s">
        <v>282</v>
      </c>
      <c r="G126" s="24" t="s">
        <v>197</v>
      </c>
      <c r="H126" s="22" t="s">
        <v>198</v>
      </c>
    </row>
    <row r="127" spans="1:8" ht="30" customHeight="1" x14ac:dyDescent="0.3">
      <c r="A127" s="51">
        <v>2</v>
      </c>
      <c r="B127" s="8">
        <v>45064</v>
      </c>
      <c r="C127" s="326"/>
      <c r="D127" s="19" t="s">
        <v>412</v>
      </c>
      <c r="E127" s="124">
        <v>1178</v>
      </c>
      <c r="F127" s="48" t="s">
        <v>432</v>
      </c>
      <c r="G127" s="24" t="s">
        <v>197</v>
      </c>
      <c r="H127" s="20" t="s">
        <v>422</v>
      </c>
    </row>
    <row r="128" spans="1:8" ht="30" customHeight="1" x14ac:dyDescent="0.3">
      <c r="A128" s="51">
        <v>2</v>
      </c>
      <c r="B128" s="8">
        <v>45156</v>
      </c>
      <c r="C128" s="326"/>
      <c r="D128" s="19" t="s">
        <v>503</v>
      </c>
      <c r="E128" s="124">
        <v>2703</v>
      </c>
      <c r="F128" s="48" t="s">
        <v>493</v>
      </c>
      <c r="G128" s="24" t="s">
        <v>197</v>
      </c>
      <c r="H128" s="44" t="s">
        <v>504</v>
      </c>
    </row>
    <row r="129" spans="1:8" ht="30" customHeight="1" x14ac:dyDescent="0.3">
      <c r="A129" s="51"/>
      <c r="B129" s="8"/>
      <c r="C129" s="326"/>
      <c r="D129" s="19"/>
      <c r="E129" s="124"/>
      <c r="F129" s="48"/>
      <c r="G129" s="24"/>
      <c r="H129" s="52"/>
    </row>
    <row r="130" spans="1:8" ht="30" customHeight="1" x14ac:dyDescent="0.3">
      <c r="A130" s="129"/>
      <c r="B130" s="126"/>
      <c r="C130" s="126"/>
      <c r="D130" s="126"/>
      <c r="E130" s="128">
        <f>SUM(E126:E129)</f>
        <v>4224</v>
      </c>
      <c r="F130" s="127"/>
      <c r="G130" s="321"/>
      <c r="H130" s="322"/>
    </row>
    <row r="131" spans="1:8" ht="30" customHeight="1" x14ac:dyDescent="0.3">
      <c r="A131" s="4">
        <v>1</v>
      </c>
      <c r="B131" s="8">
        <v>44923</v>
      </c>
      <c r="C131" s="323" t="s">
        <v>247</v>
      </c>
      <c r="D131" s="19" t="s">
        <v>246</v>
      </c>
      <c r="E131" s="119">
        <v>339</v>
      </c>
      <c r="F131" s="20" t="s">
        <v>253</v>
      </c>
      <c r="G131" s="24" t="s">
        <v>249</v>
      </c>
      <c r="H131" s="20" t="s">
        <v>251</v>
      </c>
    </row>
    <row r="132" spans="1:8" ht="30" customHeight="1" x14ac:dyDescent="0.3">
      <c r="A132" s="4">
        <v>2</v>
      </c>
      <c r="B132" s="8">
        <v>44960</v>
      </c>
      <c r="C132" s="324"/>
      <c r="D132" s="19" t="s">
        <v>252</v>
      </c>
      <c r="E132" s="119">
        <v>55</v>
      </c>
      <c r="F132" s="20" t="s">
        <v>253</v>
      </c>
      <c r="G132" s="24" t="s">
        <v>254</v>
      </c>
      <c r="H132" s="20" t="s">
        <v>255</v>
      </c>
    </row>
    <row r="133" spans="1:8" ht="30" customHeight="1" x14ac:dyDescent="0.3">
      <c r="A133" s="4">
        <v>3</v>
      </c>
      <c r="B133" s="8">
        <v>44994</v>
      </c>
      <c r="C133" s="324"/>
      <c r="D133" s="19" t="s">
        <v>365</v>
      </c>
      <c r="E133" s="119">
        <v>75</v>
      </c>
      <c r="F133" s="20" t="s">
        <v>369</v>
      </c>
      <c r="G133" s="24" t="s">
        <v>254</v>
      </c>
      <c r="H133" s="20" t="s">
        <v>367</v>
      </c>
    </row>
    <row r="134" spans="1:8" ht="30" customHeight="1" x14ac:dyDescent="0.3">
      <c r="A134" s="4">
        <v>4</v>
      </c>
      <c r="B134" s="8">
        <v>45188</v>
      </c>
      <c r="C134" s="325"/>
      <c r="D134" s="19" t="s">
        <v>524</v>
      </c>
      <c r="E134" s="119">
        <v>150</v>
      </c>
      <c r="F134" s="20" t="s">
        <v>369</v>
      </c>
      <c r="G134" s="24" t="s">
        <v>254</v>
      </c>
      <c r="H134" s="20" t="s">
        <v>527</v>
      </c>
    </row>
    <row r="135" spans="1:8" ht="30" customHeight="1" x14ac:dyDescent="0.3">
      <c r="A135" s="129"/>
      <c r="B135" s="126"/>
      <c r="C135" s="126"/>
      <c r="D135" s="126"/>
      <c r="E135" s="128">
        <f>SUM(E131:E134)</f>
        <v>619</v>
      </c>
      <c r="F135" s="127"/>
      <c r="G135" s="321"/>
      <c r="H135" s="322"/>
    </row>
    <row r="136" spans="1:8" ht="30" customHeight="1" x14ac:dyDescent="0.3">
      <c r="A136" s="3">
        <v>1</v>
      </c>
      <c r="B136" s="8">
        <v>44735</v>
      </c>
      <c r="C136" s="323" t="s">
        <v>75</v>
      </c>
      <c r="D136" s="19" t="s">
        <v>74</v>
      </c>
      <c r="E136" s="119">
        <v>317</v>
      </c>
      <c r="F136" s="20" t="s">
        <v>216</v>
      </c>
      <c r="G136" s="24" t="s">
        <v>76</v>
      </c>
      <c r="H136" s="22" t="s">
        <v>77</v>
      </c>
    </row>
    <row r="137" spans="1:8" ht="30" customHeight="1" x14ac:dyDescent="0.3">
      <c r="A137" s="3">
        <v>2</v>
      </c>
      <c r="B137" s="8">
        <v>44790</v>
      </c>
      <c r="C137" s="324"/>
      <c r="D137" s="19" t="s">
        <v>100</v>
      </c>
      <c r="E137" s="119">
        <v>291</v>
      </c>
      <c r="F137" s="20" t="s">
        <v>220</v>
      </c>
      <c r="G137" s="24" t="s">
        <v>76</v>
      </c>
      <c r="H137" s="22" t="s">
        <v>101</v>
      </c>
    </row>
    <row r="138" spans="1:8" ht="30" customHeight="1" x14ac:dyDescent="0.3">
      <c r="A138" s="3">
        <v>3</v>
      </c>
      <c r="B138" s="8">
        <v>44797</v>
      </c>
      <c r="C138" s="324"/>
      <c r="D138" s="19" t="s">
        <v>102</v>
      </c>
      <c r="E138" s="119">
        <v>547</v>
      </c>
      <c r="F138" s="20" t="s">
        <v>220</v>
      </c>
      <c r="G138" s="24" t="s">
        <v>76</v>
      </c>
      <c r="H138" s="22" t="s">
        <v>103</v>
      </c>
    </row>
    <row r="139" spans="1:8" ht="30" customHeight="1" x14ac:dyDescent="0.3">
      <c r="A139" s="3">
        <v>4</v>
      </c>
      <c r="B139" s="8">
        <v>44798</v>
      </c>
      <c r="C139" s="325"/>
      <c r="D139" s="19" t="s">
        <v>104</v>
      </c>
      <c r="E139" s="119">
        <v>834</v>
      </c>
      <c r="F139" s="20" t="s">
        <v>221</v>
      </c>
      <c r="G139" s="24" t="s">
        <v>105</v>
      </c>
      <c r="H139" s="22" t="s">
        <v>106</v>
      </c>
    </row>
    <row r="140" spans="1:8" ht="30" customHeight="1" x14ac:dyDescent="0.3">
      <c r="A140" s="129"/>
      <c r="B140" s="126"/>
      <c r="C140" s="126"/>
      <c r="D140" s="126"/>
      <c r="E140" s="128">
        <f>SUM(E136:E139)</f>
        <v>1989</v>
      </c>
      <c r="F140" s="127"/>
      <c r="G140" s="321"/>
      <c r="H140" s="322"/>
    </row>
    <row r="141" spans="1:8" ht="30" customHeight="1" x14ac:dyDescent="0.3">
      <c r="A141" s="4">
        <v>1</v>
      </c>
      <c r="B141" s="8">
        <v>44678</v>
      </c>
      <c r="C141" s="323" t="s">
        <v>37</v>
      </c>
      <c r="D141" s="19" t="s">
        <v>237</v>
      </c>
      <c r="E141" s="119">
        <v>0</v>
      </c>
      <c r="F141" s="20" t="s">
        <v>242</v>
      </c>
      <c r="G141" s="24" t="s">
        <v>56</v>
      </c>
      <c r="H141" s="22" t="s">
        <v>38</v>
      </c>
    </row>
    <row r="142" spans="1:8" ht="30" customHeight="1" x14ac:dyDescent="0.3">
      <c r="A142" s="4">
        <v>2</v>
      </c>
      <c r="B142" s="8">
        <v>44910</v>
      </c>
      <c r="C142" s="325"/>
      <c r="D142" s="19" t="s">
        <v>173</v>
      </c>
      <c r="E142" s="119">
        <v>630</v>
      </c>
      <c r="F142" s="20" t="s">
        <v>241</v>
      </c>
      <c r="G142" s="24" t="s">
        <v>56</v>
      </c>
      <c r="H142" s="22" t="s">
        <v>177</v>
      </c>
    </row>
    <row r="143" spans="1:8" ht="30" customHeight="1" x14ac:dyDescent="0.3">
      <c r="A143" s="129"/>
      <c r="B143" s="126"/>
      <c r="C143" s="126"/>
      <c r="D143" s="126"/>
      <c r="E143" s="128">
        <f>SUM(E141:E142)</f>
        <v>630</v>
      </c>
      <c r="F143" s="127"/>
      <c r="G143" s="321"/>
      <c r="H143" s="322"/>
    </row>
    <row r="144" spans="1:8" ht="30" customHeight="1" x14ac:dyDescent="0.3">
      <c r="A144" s="4">
        <v>1</v>
      </c>
      <c r="B144" s="8">
        <v>44958</v>
      </c>
      <c r="C144" s="20" t="s">
        <v>258</v>
      </c>
      <c r="D144" s="35" t="s">
        <v>256</v>
      </c>
      <c r="E144" s="123">
        <v>891</v>
      </c>
      <c r="F144" s="20" t="s">
        <v>257</v>
      </c>
      <c r="G144" s="24" t="s">
        <v>260</v>
      </c>
      <c r="H144" s="20" t="s">
        <v>262</v>
      </c>
    </row>
    <row r="145" spans="1:8" ht="30" customHeight="1" x14ac:dyDescent="0.3">
      <c r="A145" s="129"/>
      <c r="B145" s="126"/>
      <c r="C145" s="126"/>
      <c r="D145" s="126"/>
      <c r="E145" s="128">
        <f>SUM(E144)</f>
        <v>891</v>
      </c>
      <c r="F145" s="127"/>
      <c r="G145" s="321"/>
      <c r="H145" s="322"/>
    </row>
    <row r="146" spans="1:8" ht="30" customHeight="1" x14ac:dyDescent="0.3">
      <c r="A146" s="3">
        <v>1</v>
      </c>
      <c r="B146" s="8">
        <v>45029</v>
      </c>
      <c r="C146" s="20" t="s">
        <v>393</v>
      </c>
      <c r="D146" s="19" t="s">
        <v>391</v>
      </c>
      <c r="E146" s="119">
        <v>414</v>
      </c>
      <c r="F146" s="20" t="s">
        <v>392</v>
      </c>
      <c r="G146" s="24" t="s">
        <v>395</v>
      </c>
      <c r="H146" s="22" t="s">
        <v>435</v>
      </c>
    </row>
    <row r="147" spans="1:8" ht="30" customHeight="1" x14ac:dyDescent="0.3">
      <c r="A147" s="129"/>
      <c r="B147" s="126"/>
      <c r="C147" s="126"/>
      <c r="D147" s="126"/>
      <c r="E147" s="128">
        <f>SUM(E146)</f>
        <v>414</v>
      </c>
      <c r="F147" s="127"/>
      <c r="G147" s="321"/>
      <c r="H147" s="322"/>
    </row>
    <row r="148" spans="1:8" ht="30" customHeight="1" x14ac:dyDescent="0.3">
      <c r="A148" s="3">
        <v>1</v>
      </c>
      <c r="B148" s="8">
        <v>45091</v>
      </c>
      <c r="C148" s="20" t="s">
        <v>461</v>
      </c>
      <c r="D148" s="19" t="s">
        <v>466</v>
      </c>
      <c r="E148" s="119">
        <v>1958</v>
      </c>
      <c r="F148" s="20" t="s">
        <v>467</v>
      </c>
      <c r="G148" s="24" t="s">
        <v>439</v>
      </c>
      <c r="H148" s="44" t="s">
        <v>440</v>
      </c>
    </row>
    <row r="149" spans="1:8" ht="30" customHeight="1" x14ac:dyDescent="0.3">
      <c r="A149" s="129"/>
      <c r="B149" s="126"/>
      <c r="C149" s="126"/>
      <c r="D149" s="126"/>
      <c r="E149" s="128">
        <f>SUM(E148)</f>
        <v>1958</v>
      </c>
      <c r="F149" s="127"/>
      <c r="G149" s="321"/>
      <c r="H149" s="322"/>
    </row>
    <row r="150" spans="1:8" ht="30" customHeight="1" x14ac:dyDescent="0.3">
      <c r="A150" s="3">
        <v>1</v>
      </c>
      <c r="B150" s="8">
        <v>44761</v>
      </c>
      <c r="C150" s="20" t="s">
        <v>97</v>
      </c>
      <c r="D150" s="19" t="s">
        <v>96</v>
      </c>
      <c r="E150" s="119">
        <v>536</v>
      </c>
      <c r="F150" s="20" t="s">
        <v>219</v>
      </c>
      <c r="G150" s="24" t="s">
        <v>98</v>
      </c>
      <c r="H150" s="22" t="s">
        <v>99</v>
      </c>
    </row>
    <row r="151" spans="1:8" ht="30" customHeight="1" x14ac:dyDescent="0.3">
      <c r="A151" s="129"/>
      <c r="B151" s="126"/>
      <c r="C151" s="126"/>
      <c r="D151" s="126"/>
      <c r="E151" s="128">
        <f>SUM(E150)</f>
        <v>536</v>
      </c>
      <c r="F151" s="127"/>
      <c r="G151" s="321"/>
      <c r="H151" s="322"/>
    </row>
    <row r="152" spans="1:8" ht="30" customHeight="1" x14ac:dyDescent="0.3">
      <c r="A152" s="3">
        <v>1</v>
      </c>
      <c r="B152" s="8">
        <v>45062</v>
      </c>
      <c r="C152" s="326" t="s">
        <v>419</v>
      </c>
      <c r="D152" s="19" t="s">
        <v>418</v>
      </c>
      <c r="E152" s="124">
        <v>129</v>
      </c>
      <c r="F152" s="48" t="s">
        <v>392</v>
      </c>
      <c r="G152" s="24" t="s">
        <v>420</v>
      </c>
      <c r="H152" s="45" t="s">
        <v>421</v>
      </c>
    </row>
    <row r="153" spans="1:8" ht="30" customHeight="1" x14ac:dyDescent="0.3">
      <c r="A153" s="3">
        <v>2</v>
      </c>
      <c r="B153" s="8">
        <v>45126</v>
      </c>
      <c r="C153" s="326"/>
      <c r="D153" s="19" t="s">
        <v>471</v>
      </c>
      <c r="E153" s="124">
        <v>113</v>
      </c>
      <c r="F153" s="48" t="s">
        <v>472</v>
      </c>
      <c r="G153" s="24" t="s">
        <v>473</v>
      </c>
      <c r="H153" s="44" t="s">
        <v>474</v>
      </c>
    </row>
    <row r="154" spans="1:8" ht="30" customHeight="1" x14ac:dyDescent="0.3">
      <c r="A154" s="3">
        <v>3</v>
      </c>
      <c r="B154" s="8">
        <v>45156</v>
      </c>
      <c r="C154" s="326"/>
      <c r="D154" s="19" t="s">
        <v>501</v>
      </c>
      <c r="E154" s="124">
        <v>439</v>
      </c>
      <c r="F154" s="48" t="s">
        <v>23</v>
      </c>
      <c r="G154" s="24" t="s">
        <v>420</v>
      </c>
      <c r="H154" s="44" t="s">
        <v>502</v>
      </c>
    </row>
    <row r="155" spans="1:8" ht="30" customHeight="1" x14ac:dyDescent="0.3">
      <c r="A155" s="3">
        <v>4</v>
      </c>
      <c r="B155" s="8"/>
      <c r="C155" s="326"/>
      <c r="D155" s="19"/>
      <c r="E155" s="124"/>
      <c r="F155" s="48"/>
      <c r="G155" s="24"/>
      <c r="H155" s="49"/>
    </row>
    <row r="156" spans="1:8" ht="30" customHeight="1" x14ac:dyDescent="0.3">
      <c r="A156" s="129"/>
      <c r="B156" s="126"/>
      <c r="C156" s="126"/>
      <c r="D156" s="126"/>
      <c r="E156" s="128">
        <f>SUM(E152:E155)</f>
        <v>681</v>
      </c>
      <c r="F156" s="127"/>
      <c r="G156" s="321"/>
      <c r="H156" s="322"/>
    </row>
    <row r="157" spans="1:8" ht="30" customHeight="1" x14ac:dyDescent="0.3">
      <c r="A157" s="4">
        <v>1</v>
      </c>
      <c r="B157" s="8">
        <v>44665</v>
      </c>
      <c r="C157" s="326" t="s">
        <v>26</v>
      </c>
      <c r="D157" s="19" t="s">
        <v>296</v>
      </c>
      <c r="E157" s="119">
        <v>705</v>
      </c>
      <c r="F157" s="20" t="s">
        <v>107</v>
      </c>
      <c r="G157" s="24" t="s">
        <v>54</v>
      </c>
      <c r="H157" s="20" t="s">
        <v>28</v>
      </c>
    </row>
    <row r="158" spans="1:8" ht="30" customHeight="1" x14ac:dyDescent="0.3">
      <c r="A158" s="4">
        <v>2</v>
      </c>
      <c r="B158" s="8">
        <v>44670</v>
      </c>
      <c r="C158" s="326"/>
      <c r="D158" s="19" t="s">
        <v>29</v>
      </c>
      <c r="E158" s="119">
        <v>475</v>
      </c>
      <c r="F158" s="20" t="s">
        <v>107</v>
      </c>
      <c r="G158" s="24" t="s">
        <v>54</v>
      </c>
      <c r="H158" s="20" t="s">
        <v>31</v>
      </c>
    </row>
    <row r="159" spans="1:8" ht="30" customHeight="1" x14ac:dyDescent="0.3">
      <c r="A159" s="4">
        <v>3</v>
      </c>
      <c r="B159" s="8">
        <v>44741</v>
      </c>
      <c r="C159" s="326"/>
      <c r="D159" s="19" t="s">
        <v>78</v>
      </c>
      <c r="E159" s="119">
        <v>6988</v>
      </c>
      <c r="F159" s="20" t="s">
        <v>107</v>
      </c>
      <c r="G159" s="24" t="s">
        <v>54</v>
      </c>
      <c r="H159" s="20" t="s">
        <v>79</v>
      </c>
    </row>
    <row r="160" spans="1:8" ht="30" customHeight="1" x14ac:dyDescent="0.3">
      <c r="A160" s="4">
        <v>4</v>
      </c>
      <c r="B160" s="8">
        <v>44754</v>
      </c>
      <c r="C160" s="326"/>
      <c r="D160" s="19" t="s">
        <v>87</v>
      </c>
      <c r="E160" s="119">
        <v>524</v>
      </c>
      <c r="F160" s="20" t="s">
        <v>107</v>
      </c>
      <c r="G160" s="24" t="s">
        <v>54</v>
      </c>
      <c r="H160" s="20" t="s">
        <v>91</v>
      </c>
    </row>
    <row r="161" spans="1:8" ht="30" customHeight="1" x14ac:dyDescent="0.3">
      <c r="A161" s="4">
        <v>5</v>
      </c>
      <c r="B161" s="34">
        <v>44888</v>
      </c>
      <c r="C161" s="326"/>
      <c r="D161" s="35" t="s">
        <v>159</v>
      </c>
      <c r="E161" s="123">
        <v>695</v>
      </c>
      <c r="F161" s="20" t="s">
        <v>107</v>
      </c>
      <c r="G161" s="24" t="s">
        <v>245</v>
      </c>
      <c r="H161" s="20" t="s">
        <v>161</v>
      </c>
    </row>
    <row r="162" spans="1:8" ht="30" customHeight="1" x14ac:dyDescent="0.3">
      <c r="A162" s="4">
        <v>6</v>
      </c>
      <c r="B162" s="8">
        <v>44910</v>
      </c>
      <c r="C162" s="326"/>
      <c r="D162" s="19" t="s">
        <v>230</v>
      </c>
      <c r="E162" s="119">
        <v>383</v>
      </c>
      <c r="F162" s="20" t="s">
        <v>107</v>
      </c>
      <c r="G162" s="24" t="s">
        <v>54</v>
      </c>
      <c r="H162" s="20" t="s">
        <v>179</v>
      </c>
    </row>
    <row r="163" spans="1:8" ht="30" customHeight="1" x14ac:dyDescent="0.3">
      <c r="A163" s="4">
        <v>7</v>
      </c>
      <c r="B163" s="8">
        <v>44973</v>
      </c>
      <c r="C163" s="326"/>
      <c r="D163" s="19" t="s">
        <v>275</v>
      </c>
      <c r="E163" s="119">
        <v>1806</v>
      </c>
      <c r="F163" s="20" t="s">
        <v>107</v>
      </c>
      <c r="G163" s="24" t="s">
        <v>276</v>
      </c>
      <c r="H163" s="20" t="s">
        <v>274</v>
      </c>
    </row>
    <row r="164" spans="1:8" ht="30" customHeight="1" x14ac:dyDescent="0.3">
      <c r="A164" s="4">
        <v>8</v>
      </c>
      <c r="B164" s="8">
        <v>44980</v>
      </c>
      <c r="C164" s="326"/>
      <c r="D164" s="19" t="s">
        <v>277</v>
      </c>
      <c r="E164" s="119">
        <v>783</v>
      </c>
      <c r="F164" s="20" t="s">
        <v>107</v>
      </c>
      <c r="G164" s="24" t="s">
        <v>276</v>
      </c>
      <c r="H164" s="20" t="s">
        <v>278</v>
      </c>
    </row>
    <row r="165" spans="1:8" ht="30" customHeight="1" x14ac:dyDescent="0.3">
      <c r="A165" s="4">
        <v>9</v>
      </c>
      <c r="B165" s="8">
        <v>45006</v>
      </c>
      <c r="C165" s="326"/>
      <c r="D165" s="19" t="s">
        <v>382</v>
      </c>
      <c r="E165" s="119">
        <v>1338</v>
      </c>
      <c r="F165" s="20" t="s">
        <v>107</v>
      </c>
      <c r="G165" s="24" t="s">
        <v>276</v>
      </c>
      <c r="H165" s="20" t="s">
        <v>383</v>
      </c>
    </row>
    <row r="166" spans="1:8" ht="30" customHeight="1" x14ac:dyDescent="0.3">
      <c r="A166" s="4">
        <v>10</v>
      </c>
      <c r="B166" s="8">
        <v>45139</v>
      </c>
      <c r="C166" s="326"/>
      <c r="D166" s="19" t="s">
        <v>490</v>
      </c>
      <c r="E166" s="119">
        <v>974</v>
      </c>
      <c r="F166" s="20" t="s">
        <v>107</v>
      </c>
      <c r="G166" s="24" t="s">
        <v>276</v>
      </c>
      <c r="H166" s="20" t="s">
        <v>491</v>
      </c>
    </row>
    <row r="167" spans="1:8" ht="30" customHeight="1" x14ac:dyDescent="0.3">
      <c r="A167" s="4">
        <v>11</v>
      </c>
      <c r="B167" s="8">
        <v>45167</v>
      </c>
      <c r="C167" s="326"/>
      <c r="D167" s="19" t="s">
        <v>507</v>
      </c>
      <c r="E167" s="119">
        <v>141</v>
      </c>
      <c r="F167" s="20" t="s">
        <v>23</v>
      </c>
      <c r="G167" s="24" t="s">
        <v>276</v>
      </c>
      <c r="H167" s="44" t="s">
        <v>518</v>
      </c>
    </row>
    <row r="168" spans="1:8" ht="30" customHeight="1" x14ac:dyDescent="0.3">
      <c r="A168" s="4">
        <v>12</v>
      </c>
      <c r="B168" s="8">
        <v>45233</v>
      </c>
      <c r="C168" s="326"/>
      <c r="D168" s="19" t="s">
        <v>537</v>
      </c>
      <c r="E168" s="119">
        <v>797</v>
      </c>
      <c r="F168" s="20" t="s">
        <v>23</v>
      </c>
      <c r="G168" s="24" t="s">
        <v>276</v>
      </c>
      <c r="H168" s="20" t="s">
        <v>538</v>
      </c>
    </row>
    <row r="169" spans="1:8" ht="30" customHeight="1" x14ac:dyDescent="0.3">
      <c r="A169" s="4"/>
      <c r="B169" s="8"/>
      <c r="C169" s="326"/>
      <c r="D169" s="19"/>
      <c r="E169" s="119"/>
      <c r="F169" s="20"/>
      <c r="G169" s="24"/>
      <c r="H169" s="20"/>
    </row>
    <row r="170" spans="1:8" ht="30" customHeight="1" x14ac:dyDescent="0.3">
      <c r="A170" s="129"/>
      <c r="B170" s="126"/>
      <c r="C170" s="126"/>
      <c r="D170" s="126"/>
      <c r="E170" s="128">
        <f>SUM(E157:E169)</f>
        <v>15609</v>
      </c>
      <c r="F170" s="127"/>
      <c r="G170" s="321"/>
      <c r="H170" s="322"/>
    </row>
    <row r="171" spans="1:8" ht="30" customHeight="1" x14ac:dyDescent="0.3">
      <c r="A171" s="3">
        <v>1</v>
      </c>
      <c r="B171" s="8">
        <v>44757</v>
      </c>
      <c r="C171" s="20" t="s">
        <v>93</v>
      </c>
      <c r="D171" s="19" t="s">
        <v>92</v>
      </c>
      <c r="E171" s="119">
        <v>800</v>
      </c>
      <c r="F171" s="20" t="s">
        <v>218</v>
      </c>
      <c r="G171" s="24" t="s">
        <v>94</v>
      </c>
      <c r="H171" s="22" t="s">
        <v>95</v>
      </c>
    </row>
    <row r="172" spans="1:8" ht="30" customHeight="1" x14ac:dyDescent="0.3">
      <c r="A172" s="129"/>
      <c r="B172" s="126"/>
      <c r="C172" s="126"/>
      <c r="D172" s="126"/>
      <c r="E172" s="128">
        <f>SUM(E171)</f>
        <v>800</v>
      </c>
      <c r="F172" s="127"/>
      <c r="G172" s="321"/>
      <c r="H172" s="322"/>
    </row>
    <row r="173" spans="1:8" ht="30" customHeight="1" x14ac:dyDescent="0.3">
      <c r="A173" s="4">
        <v>1</v>
      </c>
      <c r="B173" s="8">
        <v>44958</v>
      </c>
      <c r="C173" s="20" t="s">
        <v>259</v>
      </c>
      <c r="D173" s="19" t="s">
        <v>256</v>
      </c>
      <c r="E173" s="119">
        <v>891</v>
      </c>
      <c r="F173" s="20"/>
      <c r="G173" s="24" t="s">
        <v>261</v>
      </c>
      <c r="H173" s="20" t="s">
        <v>262</v>
      </c>
    </row>
    <row r="174" spans="1:8" ht="30" customHeight="1" x14ac:dyDescent="0.3">
      <c r="A174" s="129"/>
      <c r="B174" s="126"/>
      <c r="C174" s="126"/>
      <c r="D174" s="126"/>
      <c r="E174" s="128">
        <f>SUM(E173)</f>
        <v>891</v>
      </c>
      <c r="F174" s="127"/>
      <c r="G174" s="321"/>
      <c r="H174" s="322"/>
    </row>
    <row r="175" spans="1:8" ht="30" customHeight="1" x14ac:dyDescent="0.3">
      <c r="A175" s="3">
        <v>1</v>
      </c>
      <c r="B175" s="8">
        <v>44826</v>
      </c>
      <c r="C175" s="20" t="s">
        <v>118</v>
      </c>
      <c r="D175" s="19" t="s">
        <v>117</v>
      </c>
      <c r="E175" s="119">
        <v>582</v>
      </c>
      <c r="F175" s="20" t="s">
        <v>222</v>
      </c>
      <c r="G175" s="24" t="s">
        <v>119</v>
      </c>
      <c r="H175" s="22" t="s">
        <v>120</v>
      </c>
    </row>
    <row r="176" spans="1:8" ht="30" customHeight="1" x14ac:dyDescent="0.3">
      <c r="A176" s="129"/>
      <c r="B176" s="126"/>
      <c r="C176" s="126"/>
      <c r="D176" s="126"/>
      <c r="E176" s="128">
        <f>SUM(E175)</f>
        <v>582</v>
      </c>
      <c r="F176" s="127"/>
      <c r="G176" s="321"/>
      <c r="H176" s="322"/>
    </row>
    <row r="177" spans="1:8" ht="30" customHeight="1" x14ac:dyDescent="0.3">
      <c r="A177" s="3">
        <v>1</v>
      </c>
      <c r="B177" s="8">
        <v>44805</v>
      </c>
      <c r="C177" s="323" t="s">
        <v>112</v>
      </c>
      <c r="D177" s="19" t="s">
        <v>111</v>
      </c>
      <c r="E177" s="119">
        <v>366</v>
      </c>
      <c r="F177" s="20" t="s">
        <v>282</v>
      </c>
      <c r="G177" s="24" t="s">
        <v>113</v>
      </c>
      <c r="H177" s="22" t="s">
        <v>114</v>
      </c>
    </row>
    <row r="178" spans="1:8" ht="30" customHeight="1" x14ac:dyDescent="0.3">
      <c r="A178" s="3">
        <v>2</v>
      </c>
      <c r="B178" s="8">
        <v>44811</v>
      </c>
      <c r="C178" s="324"/>
      <c r="D178" s="19" t="s">
        <v>115</v>
      </c>
      <c r="E178" s="119">
        <v>1292</v>
      </c>
      <c r="F178" s="20" t="s">
        <v>282</v>
      </c>
      <c r="G178" s="24" t="s">
        <v>113</v>
      </c>
      <c r="H178" s="22" t="s">
        <v>116</v>
      </c>
    </row>
    <row r="179" spans="1:8" ht="30" customHeight="1" x14ac:dyDescent="0.3">
      <c r="A179" s="3">
        <v>3</v>
      </c>
      <c r="B179" s="8">
        <v>44880</v>
      </c>
      <c r="C179" s="324"/>
      <c r="D179" s="19" t="s">
        <v>190</v>
      </c>
      <c r="E179" s="119">
        <v>170</v>
      </c>
      <c r="F179" s="20" t="s">
        <v>235</v>
      </c>
      <c r="G179" s="24" t="s">
        <v>113</v>
      </c>
      <c r="H179" s="22" t="s">
        <v>284</v>
      </c>
    </row>
    <row r="180" spans="1:8" ht="30" customHeight="1" x14ac:dyDescent="0.3">
      <c r="A180" s="3">
        <v>4</v>
      </c>
      <c r="B180" s="8">
        <v>44897</v>
      </c>
      <c r="C180" s="324"/>
      <c r="D180" s="19" t="s">
        <v>162</v>
      </c>
      <c r="E180" s="119">
        <v>1001</v>
      </c>
      <c r="F180" s="20" t="s">
        <v>282</v>
      </c>
      <c r="G180" s="24" t="s">
        <v>113</v>
      </c>
      <c r="H180" s="22" t="s">
        <v>163</v>
      </c>
    </row>
    <row r="181" spans="1:8" ht="30" customHeight="1" x14ac:dyDescent="0.3">
      <c r="A181" s="3">
        <v>5</v>
      </c>
      <c r="B181" s="8">
        <v>45072</v>
      </c>
      <c r="C181" s="325"/>
      <c r="D181" s="19" t="s">
        <v>382</v>
      </c>
      <c r="E181" s="119">
        <v>3907</v>
      </c>
      <c r="F181" s="20" t="s">
        <v>431</v>
      </c>
      <c r="G181" s="24" t="s">
        <v>113</v>
      </c>
      <c r="H181" s="20" t="s">
        <v>424</v>
      </c>
    </row>
    <row r="182" spans="1:8" ht="30" customHeight="1" x14ac:dyDescent="0.3">
      <c r="A182" s="4">
        <v>6</v>
      </c>
      <c r="B182" s="8">
        <v>45149</v>
      </c>
      <c r="C182" s="323" t="s">
        <v>494</v>
      </c>
      <c r="D182" s="19" t="s">
        <v>492</v>
      </c>
      <c r="E182" s="119">
        <v>971</v>
      </c>
      <c r="F182" s="20" t="s">
        <v>493</v>
      </c>
      <c r="G182" s="24" t="s">
        <v>113</v>
      </c>
      <c r="H182" s="44" t="s">
        <v>495</v>
      </c>
    </row>
    <row r="183" spans="1:8" ht="30" customHeight="1" x14ac:dyDescent="0.3">
      <c r="A183" s="4">
        <v>7</v>
      </c>
      <c r="B183" s="8">
        <v>45194</v>
      </c>
      <c r="C183" s="325"/>
      <c r="D183" s="19" t="s">
        <v>525</v>
      </c>
      <c r="E183" s="119">
        <v>371</v>
      </c>
      <c r="F183" s="20" t="s">
        <v>431</v>
      </c>
      <c r="G183" s="24" t="s">
        <v>113</v>
      </c>
      <c r="H183" s="20" t="s">
        <v>532</v>
      </c>
    </row>
    <row r="184" spans="1:8" ht="30" customHeight="1" x14ac:dyDescent="0.3">
      <c r="A184" s="129"/>
      <c r="B184" s="126"/>
      <c r="C184" s="126"/>
      <c r="D184" s="126"/>
      <c r="E184" s="128">
        <f>SUM(E177:E183)</f>
        <v>8078</v>
      </c>
      <c r="F184" s="127"/>
      <c r="G184" s="321"/>
      <c r="H184" s="322"/>
    </row>
    <row r="185" spans="1:8" ht="30" customHeight="1" x14ac:dyDescent="0.3">
      <c r="A185" s="4">
        <v>1</v>
      </c>
      <c r="B185" s="8">
        <v>44910</v>
      </c>
      <c r="C185" s="20" t="s">
        <v>170</v>
      </c>
      <c r="D185" s="19" t="s">
        <v>169</v>
      </c>
      <c r="E185" s="119">
        <v>739</v>
      </c>
      <c r="F185" s="20" t="s">
        <v>239</v>
      </c>
      <c r="G185" s="24" t="s">
        <v>172</v>
      </c>
      <c r="H185" s="20" t="s">
        <v>298</v>
      </c>
    </row>
    <row r="186" spans="1:8" ht="30" customHeight="1" x14ac:dyDescent="0.3">
      <c r="A186" s="129"/>
      <c r="B186" s="126"/>
      <c r="C186" s="126"/>
      <c r="D186" s="126"/>
      <c r="E186" s="128">
        <f>SUM(E185)</f>
        <v>739</v>
      </c>
      <c r="F186" s="127"/>
      <c r="G186" s="321"/>
      <c r="H186" s="322"/>
    </row>
    <row r="187" spans="1:8" ht="30" customHeight="1" x14ac:dyDescent="0.3">
      <c r="A187" s="4">
        <v>1</v>
      </c>
      <c r="B187" s="8">
        <v>44852</v>
      </c>
      <c r="C187" s="323" t="s">
        <v>133</v>
      </c>
      <c r="D187" s="19" t="s">
        <v>131</v>
      </c>
      <c r="E187" s="119">
        <v>614</v>
      </c>
      <c r="F187" s="20" t="s">
        <v>223</v>
      </c>
      <c r="G187" s="24" t="s">
        <v>135</v>
      </c>
      <c r="H187" s="20" t="s">
        <v>136</v>
      </c>
    </row>
    <row r="188" spans="1:8" ht="30" customHeight="1" x14ac:dyDescent="0.3">
      <c r="A188" s="3">
        <f t="shared" ref="A188" si="0">A187+1</f>
        <v>2</v>
      </c>
      <c r="B188" s="8">
        <v>44868</v>
      </c>
      <c r="C188" s="325"/>
      <c r="D188" s="19" t="s">
        <v>184</v>
      </c>
      <c r="E188" s="119">
        <v>352</v>
      </c>
      <c r="F188" s="20" t="s">
        <v>226</v>
      </c>
      <c r="G188" s="24" t="s">
        <v>135</v>
      </c>
      <c r="H188" s="22" t="s">
        <v>185</v>
      </c>
    </row>
    <row r="189" spans="1:8" ht="30" customHeight="1" x14ac:dyDescent="0.3">
      <c r="A189" s="129"/>
      <c r="B189" s="126"/>
      <c r="C189" s="126"/>
      <c r="D189" s="126"/>
      <c r="E189" s="128">
        <f>SUM(E187:E188)</f>
        <v>966</v>
      </c>
      <c r="F189" s="127"/>
      <c r="G189" s="321"/>
      <c r="H189" s="322"/>
    </row>
    <row r="190" spans="1:8" ht="30" customHeight="1" x14ac:dyDescent="0.3">
      <c r="A190" s="4">
        <v>1</v>
      </c>
      <c r="B190" s="8">
        <v>44678</v>
      </c>
      <c r="C190" s="323" t="s">
        <v>36</v>
      </c>
      <c r="D190" s="19" t="s">
        <v>237</v>
      </c>
      <c r="E190" s="119">
        <v>0</v>
      </c>
      <c r="F190" s="20" t="s">
        <v>242</v>
      </c>
      <c r="G190" s="24" t="s">
        <v>55</v>
      </c>
      <c r="H190" s="20" t="s">
        <v>38</v>
      </c>
    </row>
    <row r="191" spans="1:8" ht="30" customHeight="1" x14ac:dyDescent="0.3">
      <c r="A191" s="4">
        <v>2</v>
      </c>
      <c r="B191" s="8">
        <v>44910</v>
      </c>
      <c r="C191" s="325"/>
      <c r="D191" s="19" t="s">
        <v>169</v>
      </c>
      <c r="E191" s="119">
        <v>739</v>
      </c>
      <c r="F191" s="20" t="s">
        <v>239</v>
      </c>
      <c r="G191" s="24" t="s">
        <v>171</v>
      </c>
      <c r="H191" s="20" t="s">
        <v>298</v>
      </c>
    </row>
    <row r="192" spans="1:8" ht="30" customHeight="1" x14ac:dyDescent="0.3">
      <c r="A192" s="129"/>
      <c r="B192" s="126"/>
      <c r="C192" s="126"/>
      <c r="D192" s="126"/>
      <c r="E192" s="128">
        <f>SUM(E190:E191)</f>
        <v>739</v>
      </c>
      <c r="F192" s="127"/>
      <c r="G192" s="321"/>
      <c r="H192" s="322"/>
    </row>
    <row r="193" spans="1:8" ht="30" customHeight="1" x14ac:dyDescent="0.3">
      <c r="A193" s="4">
        <v>1</v>
      </c>
      <c r="B193" s="8">
        <v>45205</v>
      </c>
      <c r="C193" s="54" t="s">
        <v>529</v>
      </c>
      <c r="D193" s="19" t="s">
        <v>526</v>
      </c>
      <c r="E193" s="119">
        <v>3451</v>
      </c>
      <c r="F193" s="20" t="s">
        <v>528</v>
      </c>
      <c r="G193" s="24" t="s">
        <v>530</v>
      </c>
      <c r="H193" s="20" t="s">
        <v>531</v>
      </c>
    </row>
    <row r="194" spans="1:8" ht="30" customHeight="1" x14ac:dyDescent="0.3">
      <c r="A194" s="129"/>
      <c r="B194" s="126"/>
      <c r="C194" s="126"/>
      <c r="D194" s="126"/>
      <c r="E194" s="128">
        <f>SUM(E193)</f>
        <v>3451</v>
      </c>
      <c r="F194" s="127"/>
      <c r="G194" s="321"/>
      <c r="H194" s="322"/>
    </row>
    <row r="195" spans="1:8" ht="30" customHeight="1" x14ac:dyDescent="0.3">
      <c r="A195" s="4">
        <v>1</v>
      </c>
      <c r="B195" s="8">
        <v>44910</v>
      </c>
      <c r="C195" s="20" t="s">
        <v>174</v>
      </c>
      <c r="D195" s="19" t="s">
        <v>173</v>
      </c>
      <c r="E195" s="119">
        <v>630</v>
      </c>
      <c r="F195" s="20" t="s">
        <v>241</v>
      </c>
      <c r="G195" s="24" t="s">
        <v>175</v>
      </c>
      <c r="H195" s="22" t="s">
        <v>177</v>
      </c>
    </row>
    <row r="196" spans="1:8" ht="30" customHeight="1" x14ac:dyDescent="0.3">
      <c r="A196" s="129"/>
      <c r="B196" s="126"/>
      <c r="C196" s="126"/>
      <c r="D196" s="126"/>
      <c r="E196" s="128">
        <f>SUM(E195)</f>
        <v>630</v>
      </c>
      <c r="F196" s="127"/>
      <c r="G196" s="321"/>
      <c r="H196" s="322"/>
    </row>
    <row r="197" spans="1:8" ht="30" customHeight="1" x14ac:dyDescent="0.3">
      <c r="A197" s="3">
        <v>1</v>
      </c>
      <c r="B197" s="8">
        <v>44861</v>
      </c>
      <c r="C197" s="20" t="s">
        <v>137</v>
      </c>
      <c r="D197" s="19" t="s">
        <v>131</v>
      </c>
      <c r="E197" s="119">
        <v>503</v>
      </c>
      <c r="F197" s="20" t="s">
        <v>224</v>
      </c>
      <c r="G197" s="24" t="s">
        <v>138</v>
      </c>
      <c r="H197" s="22" t="s">
        <v>139</v>
      </c>
    </row>
    <row r="198" spans="1:8" ht="30" customHeight="1" x14ac:dyDescent="0.3">
      <c r="A198" s="129"/>
      <c r="B198" s="126"/>
      <c r="C198" s="126"/>
      <c r="D198" s="126"/>
      <c r="E198" s="128">
        <f>SUM(E197)</f>
        <v>503</v>
      </c>
      <c r="F198" s="127"/>
      <c r="G198" s="321"/>
      <c r="H198" s="322"/>
    </row>
    <row r="199" spans="1:8" ht="30" customHeight="1" x14ac:dyDescent="0.3">
      <c r="A199" s="3">
        <v>1</v>
      </c>
      <c r="B199" s="8">
        <v>44861</v>
      </c>
      <c r="C199" s="20" t="s">
        <v>140</v>
      </c>
      <c r="D199" s="19" t="s">
        <v>131</v>
      </c>
      <c r="E199" s="119">
        <v>3516</v>
      </c>
      <c r="F199" s="20" t="s">
        <v>225</v>
      </c>
      <c r="G199" s="24" t="s">
        <v>141</v>
      </c>
      <c r="H199" s="22" t="s">
        <v>142</v>
      </c>
    </row>
    <row r="200" spans="1:8" ht="30" customHeight="1" x14ac:dyDescent="0.3">
      <c r="A200" s="129"/>
      <c r="B200" s="126"/>
      <c r="C200" s="126"/>
      <c r="D200" s="126"/>
      <c r="E200" s="128">
        <f>SUM(E199)</f>
        <v>3516</v>
      </c>
      <c r="F200" s="127"/>
      <c r="G200" s="321"/>
      <c r="H200" s="322"/>
    </row>
    <row r="201" spans="1:8" ht="30" customHeight="1" x14ac:dyDescent="0.3">
      <c r="A201" s="3">
        <v>1</v>
      </c>
      <c r="B201" s="8">
        <v>45128</v>
      </c>
      <c r="C201" s="20" t="s">
        <v>486</v>
      </c>
      <c r="D201" s="19" t="s">
        <v>475</v>
      </c>
      <c r="E201" s="119">
        <v>971</v>
      </c>
      <c r="F201" s="20" t="s">
        <v>479</v>
      </c>
      <c r="G201" s="24" t="s">
        <v>476</v>
      </c>
      <c r="H201" s="44" t="s">
        <v>478</v>
      </c>
    </row>
    <row r="202" spans="1:8" ht="30" customHeight="1" x14ac:dyDescent="0.3">
      <c r="A202" s="129"/>
      <c r="B202" s="126"/>
      <c r="C202" s="126"/>
      <c r="D202" s="126"/>
      <c r="E202" s="128">
        <f>SUM(E201)</f>
        <v>971</v>
      </c>
      <c r="F202" s="127"/>
      <c r="G202" s="321"/>
      <c r="H202" s="322"/>
    </row>
    <row r="203" spans="1:8" ht="30" customHeight="1" x14ac:dyDescent="0.3">
      <c r="A203" s="3">
        <v>1</v>
      </c>
      <c r="B203" s="8">
        <v>45007</v>
      </c>
      <c r="C203" s="333" t="s">
        <v>387</v>
      </c>
      <c r="D203" s="19" t="s">
        <v>386</v>
      </c>
      <c r="E203" s="119">
        <v>400</v>
      </c>
      <c r="F203" s="20" t="s">
        <v>358</v>
      </c>
      <c r="G203" s="24" t="s">
        <v>388</v>
      </c>
      <c r="H203" s="20" t="s">
        <v>389</v>
      </c>
    </row>
    <row r="204" spans="1:8" ht="30" customHeight="1" x14ac:dyDescent="0.3">
      <c r="A204" s="3">
        <v>2</v>
      </c>
      <c r="B204" s="8">
        <v>45062</v>
      </c>
      <c r="C204" s="334"/>
      <c r="D204" s="19" t="s">
        <v>416</v>
      </c>
      <c r="E204" s="119">
        <v>215</v>
      </c>
      <c r="F204" s="20" t="s">
        <v>430</v>
      </c>
      <c r="G204" s="24" t="s">
        <v>337</v>
      </c>
      <c r="H204" s="20" t="s">
        <v>417</v>
      </c>
    </row>
    <row r="205" spans="1:8" ht="30" customHeight="1" x14ac:dyDescent="0.3">
      <c r="A205" s="3">
        <v>3</v>
      </c>
      <c r="B205" s="8">
        <v>45169</v>
      </c>
      <c r="C205" s="335"/>
      <c r="D205" s="19" t="s">
        <v>509</v>
      </c>
      <c r="E205" s="119">
        <v>93</v>
      </c>
      <c r="F205" s="20" t="s">
        <v>430</v>
      </c>
      <c r="G205" s="24" t="s">
        <v>337</v>
      </c>
      <c r="H205" s="44" t="s">
        <v>510</v>
      </c>
    </row>
    <row r="206" spans="1:8" ht="30" customHeight="1" x14ac:dyDescent="0.3">
      <c r="A206" s="4">
        <v>4</v>
      </c>
      <c r="B206" s="8">
        <v>44978</v>
      </c>
      <c r="C206" s="20" t="s">
        <v>335</v>
      </c>
      <c r="D206" s="19" t="s">
        <v>334</v>
      </c>
      <c r="E206" s="119">
        <v>359</v>
      </c>
      <c r="F206" s="20" t="s">
        <v>339</v>
      </c>
      <c r="G206" s="24" t="s">
        <v>336</v>
      </c>
      <c r="H206" s="16" t="s">
        <v>338</v>
      </c>
    </row>
    <row r="207" spans="1:8" ht="30" customHeight="1" x14ac:dyDescent="0.3">
      <c r="A207" s="129"/>
      <c r="B207" s="126"/>
      <c r="C207" s="126"/>
      <c r="D207" s="126"/>
      <c r="E207" s="128">
        <f>SUM(E203:E206)</f>
        <v>1067</v>
      </c>
      <c r="F207" s="127"/>
      <c r="G207" s="321"/>
      <c r="H207" s="322"/>
    </row>
    <row r="208" spans="1:8" ht="30" customHeight="1" x14ac:dyDescent="0.3">
      <c r="A208" s="3">
        <v>1</v>
      </c>
      <c r="B208" s="8">
        <v>44839</v>
      </c>
      <c r="C208" s="323" t="s">
        <v>128</v>
      </c>
      <c r="D208" s="19" t="s">
        <v>127</v>
      </c>
      <c r="E208" s="119">
        <v>5744</v>
      </c>
      <c r="F208" s="20" t="s">
        <v>310</v>
      </c>
      <c r="G208" s="24" t="s">
        <v>129</v>
      </c>
      <c r="H208" s="22" t="s">
        <v>130</v>
      </c>
    </row>
    <row r="209" spans="1:8" ht="30" customHeight="1" x14ac:dyDescent="0.3">
      <c r="A209" s="3">
        <v>2</v>
      </c>
      <c r="B209" s="8">
        <v>45259</v>
      </c>
      <c r="C209" s="325"/>
      <c r="D209" s="19" t="s">
        <v>583</v>
      </c>
      <c r="E209" s="119">
        <v>3194</v>
      </c>
      <c r="F209" s="20" t="s">
        <v>264</v>
      </c>
      <c r="G209" s="24" t="s">
        <v>587</v>
      </c>
      <c r="H209" s="55" t="s">
        <v>588</v>
      </c>
    </row>
    <row r="210" spans="1:8" ht="30" customHeight="1" x14ac:dyDescent="0.3">
      <c r="A210" s="129"/>
      <c r="B210" s="126"/>
      <c r="C210" s="126"/>
      <c r="D210" s="126"/>
      <c r="E210" s="128">
        <f>SUM(E208:E209)</f>
        <v>8938</v>
      </c>
      <c r="F210" s="127"/>
      <c r="G210" s="321"/>
      <c r="H210" s="322"/>
    </row>
    <row r="211" spans="1:8" ht="30" customHeight="1" x14ac:dyDescent="0.3">
      <c r="A211" s="3">
        <v>1</v>
      </c>
      <c r="B211" s="8">
        <v>45299</v>
      </c>
      <c r="C211" s="20" t="s">
        <v>636</v>
      </c>
      <c r="D211" s="19" t="s">
        <v>635</v>
      </c>
      <c r="E211" s="60">
        <v>447</v>
      </c>
      <c r="F211" s="20" t="s">
        <v>646</v>
      </c>
      <c r="G211" s="21" t="s">
        <v>637</v>
      </c>
      <c r="H211" s="44" t="s">
        <v>470</v>
      </c>
    </row>
    <row r="212" spans="1:8" ht="30" customHeight="1" x14ac:dyDescent="0.3">
      <c r="A212" s="129"/>
      <c r="B212" s="126"/>
      <c r="C212" s="126"/>
      <c r="D212" s="126"/>
      <c r="E212" s="128">
        <f>SUM(E211)</f>
        <v>447</v>
      </c>
      <c r="F212" s="127"/>
      <c r="G212" s="321"/>
      <c r="H212" s="322"/>
    </row>
    <row r="213" spans="1:8" ht="30" customHeight="1" x14ac:dyDescent="0.3">
      <c r="A213" s="3">
        <v>1</v>
      </c>
      <c r="B213" s="8">
        <v>45097</v>
      </c>
      <c r="C213" s="20" t="s">
        <v>462</v>
      </c>
      <c r="D213" s="19" t="s">
        <v>441</v>
      </c>
      <c r="E213" s="119">
        <v>223</v>
      </c>
      <c r="F213" s="20" t="s">
        <v>457</v>
      </c>
      <c r="G213" s="24" t="s">
        <v>443</v>
      </c>
      <c r="H213" s="44" t="s">
        <v>442</v>
      </c>
    </row>
    <row r="214" spans="1:8" ht="30" customHeight="1" x14ac:dyDescent="0.3">
      <c r="A214" s="129"/>
      <c r="B214" s="126"/>
      <c r="C214" s="126"/>
      <c r="D214" s="126"/>
      <c r="E214" s="128">
        <f>SUM(E213)</f>
        <v>223</v>
      </c>
      <c r="F214" s="127"/>
      <c r="G214" s="321"/>
      <c r="H214" s="322"/>
    </row>
    <row r="215" spans="1:8" ht="30" customHeight="1" x14ac:dyDescent="0.3">
      <c r="A215" s="3">
        <v>1</v>
      </c>
      <c r="B215" s="8">
        <v>45077</v>
      </c>
      <c r="C215" s="323" t="s">
        <v>427</v>
      </c>
      <c r="D215" s="19" t="s">
        <v>426</v>
      </c>
      <c r="E215" s="119">
        <v>286</v>
      </c>
      <c r="F215" s="20" t="s">
        <v>232</v>
      </c>
      <c r="G215" s="24" t="s">
        <v>428</v>
      </c>
      <c r="H215" s="44" t="s">
        <v>429</v>
      </c>
    </row>
    <row r="216" spans="1:8" ht="30" customHeight="1" x14ac:dyDescent="0.3">
      <c r="A216" s="3">
        <v>2</v>
      </c>
      <c r="B216" s="8">
        <v>45163</v>
      </c>
      <c r="C216" s="324"/>
      <c r="D216" s="19" t="s">
        <v>505</v>
      </c>
      <c r="E216" s="119">
        <v>486</v>
      </c>
      <c r="F216" s="20" t="s">
        <v>431</v>
      </c>
      <c r="G216" s="24" t="s">
        <v>428</v>
      </c>
      <c r="H216" s="44" t="s">
        <v>506</v>
      </c>
    </row>
    <row r="217" spans="1:8" ht="30" customHeight="1" x14ac:dyDescent="0.3">
      <c r="A217" s="3">
        <v>3</v>
      </c>
      <c r="B217" s="8">
        <v>45282</v>
      </c>
      <c r="C217" s="324"/>
      <c r="D217" s="19" t="s">
        <v>525</v>
      </c>
      <c r="E217" s="60">
        <v>371</v>
      </c>
      <c r="F217" s="20" t="s">
        <v>646</v>
      </c>
      <c r="G217" s="21" t="s">
        <v>634</v>
      </c>
      <c r="H217" s="44" t="s">
        <v>470</v>
      </c>
    </row>
    <row r="218" spans="1:8" ht="30" customHeight="1" x14ac:dyDescent="0.3">
      <c r="A218" s="3">
        <v>4</v>
      </c>
      <c r="B218" s="8">
        <v>45301</v>
      </c>
      <c r="C218" s="325"/>
      <c r="D218" s="19" t="s">
        <v>505</v>
      </c>
      <c r="E218" s="60">
        <v>486</v>
      </c>
      <c r="F218" s="20" t="s">
        <v>646</v>
      </c>
      <c r="G218" s="21" t="s">
        <v>634</v>
      </c>
      <c r="H218" s="44" t="s">
        <v>470</v>
      </c>
    </row>
    <row r="219" spans="1:8" ht="30" customHeight="1" x14ac:dyDescent="0.3">
      <c r="A219" s="129"/>
      <c r="B219" s="126"/>
      <c r="C219" s="126"/>
      <c r="D219" s="126"/>
      <c r="E219" s="128">
        <f>SUM(E215:E218)</f>
        <v>1629</v>
      </c>
      <c r="F219" s="127"/>
      <c r="G219" s="321"/>
      <c r="H219" s="322"/>
    </row>
    <row r="220" spans="1:8" ht="30" customHeight="1" x14ac:dyDescent="0.3">
      <c r="A220" s="3">
        <v>1</v>
      </c>
      <c r="B220" s="8">
        <v>44880</v>
      </c>
      <c r="C220" s="323" t="s">
        <v>193</v>
      </c>
      <c r="D220" s="19" t="s">
        <v>190</v>
      </c>
      <c r="E220" s="119">
        <v>110</v>
      </c>
      <c r="F220" s="20" t="s">
        <v>234</v>
      </c>
      <c r="G220" s="24" t="s">
        <v>194</v>
      </c>
      <c r="H220" s="22" t="s">
        <v>284</v>
      </c>
    </row>
    <row r="221" spans="1:8" ht="30" customHeight="1" x14ac:dyDescent="0.3">
      <c r="A221" s="3">
        <v>2</v>
      </c>
      <c r="B221" s="8">
        <v>45007</v>
      </c>
      <c r="C221" s="324"/>
      <c r="D221" s="19" t="s">
        <v>384</v>
      </c>
      <c r="E221" s="119">
        <v>315</v>
      </c>
      <c r="F221" s="20" t="s">
        <v>358</v>
      </c>
      <c r="G221" s="24" t="s">
        <v>194</v>
      </c>
      <c r="H221" s="20" t="s">
        <v>385</v>
      </c>
    </row>
    <row r="222" spans="1:8" ht="30" customHeight="1" x14ac:dyDescent="0.3">
      <c r="A222" s="3">
        <v>3</v>
      </c>
      <c r="B222" s="8">
        <v>45048</v>
      </c>
      <c r="C222" s="324"/>
      <c r="D222" s="19" t="s">
        <v>403</v>
      </c>
      <c r="E222" s="119">
        <v>271</v>
      </c>
      <c r="F222" s="20" t="s">
        <v>430</v>
      </c>
      <c r="G222" s="24" t="s">
        <v>194</v>
      </c>
      <c r="H222" s="20" t="s">
        <v>404</v>
      </c>
    </row>
    <row r="223" spans="1:8" ht="30" customHeight="1" x14ac:dyDescent="0.3">
      <c r="A223" s="3">
        <v>4</v>
      </c>
      <c r="B223" s="8">
        <v>45079</v>
      </c>
      <c r="C223" s="324"/>
      <c r="D223" s="19" t="s">
        <v>423</v>
      </c>
      <c r="E223" s="119">
        <v>332</v>
      </c>
      <c r="F223" s="20" t="s">
        <v>430</v>
      </c>
      <c r="G223" s="24" t="s">
        <v>194</v>
      </c>
      <c r="H223" s="20" t="s">
        <v>425</v>
      </c>
    </row>
    <row r="224" spans="1:8" ht="30" customHeight="1" x14ac:dyDescent="0.3">
      <c r="A224" s="3">
        <v>5</v>
      </c>
      <c r="B224" s="8">
        <v>45132</v>
      </c>
      <c r="C224" s="324"/>
      <c r="D224" s="19" t="s">
        <v>480</v>
      </c>
      <c r="E224" s="119">
        <v>1219</v>
      </c>
      <c r="F224" s="20" t="s">
        <v>430</v>
      </c>
      <c r="G224" s="24" t="s">
        <v>481</v>
      </c>
      <c r="H224" s="44" t="s">
        <v>482</v>
      </c>
    </row>
    <row r="225" spans="1:8" ht="30" customHeight="1" x14ac:dyDescent="0.3">
      <c r="A225" s="3">
        <v>6</v>
      </c>
      <c r="B225" s="8">
        <v>45244</v>
      </c>
      <c r="C225" s="325"/>
      <c r="D225" s="19" t="s">
        <v>525</v>
      </c>
      <c r="E225" s="119">
        <v>330</v>
      </c>
      <c r="F225" s="20" t="s">
        <v>540</v>
      </c>
      <c r="G225" s="24" t="s">
        <v>551</v>
      </c>
      <c r="H225" s="55" t="s">
        <v>539</v>
      </c>
    </row>
    <row r="226" spans="1:8" ht="30" customHeight="1" x14ac:dyDescent="0.3">
      <c r="A226" s="129"/>
      <c r="B226" s="126"/>
      <c r="C226" s="126"/>
      <c r="D226" s="126"/>
      <c r="E226" s="128">
        <f>SUM(E220:E225)</f>
        <v>2577</v>
      </c>
      <c r="F226" s="127"/>
      <c r="G226" s="321"/>
      <c r="H226" s="322"/>
    </row>
    <row r="227" spans="1:8" ht="30" customHeight="1" x14ac:dyDescent="0.3">
      <c r="A227" s="3">
        <v>1</v>
      </c>
      <c r="B227" s="8">
        <v>45154</v>
      </c>
      <c r="C227" s="20" t="s">
        <v>499</v>
      </c>
      <c r="D227" s="19" t="s">
        <v>521</v>
      </c>
      <c r="E227" s="119">
        <v>74</v>
      </c>
      <c r="F227" s="20" t="s">
        <v>520</v>
      </c>
      <c r="G227" s="24" t="s">
        <v>498</v>
      </c>
      <c r="H227" s="44" t="s">
        <v>500</v>
      </c>
    </row>
    <row r="228" spans="1:8" ht="30" customHeight="1" x14ac:dyDescent="0.3">
      <c r="A228" s="37"/>
      <c r="B228" s="38"/>
      <c r="C228" s="50"/>
      <c r="D228" s="38"/>
      <c r="E228" s="121">
        <f>SUM(E227)</f>
        <v>74</v>
      </c>
      <c r="F228" s="39"/>
      <c r="G228" s="40"/>
      <c r="H228" s="41"/>
    </row>
    <row r="229" spans="1:8" ht="30" customHeight="1" x14ac:dyDescent="0.3">
      <c r="A229" s="3">
        <v>1</v>
      </c>
      <c r="B229" s="8">
        <v>44649</v>
      </c>
      <c r="C229" s="323" t="s">
        <v>7</v>
      </c>
      <c r="D229" s="19" t="s">
        <v>8</v>
      </c>
      <c r="E229" s="119">
        <v>845</v>
      </c>
      <c r="F229" s="23" t="s">
        <v>207</v>
      </c>
      <c r="G229" s="24" t="s">
        <v>22</v>
      </c>
      <c r="H229" s="22" t="s">
        <v>9</v>
      </c>
    </row>
    <row r="230" spans="1:8" ht="30" customHeight="1" x14ac:dyDescent="0.3">
      <c r="A230" s="4">
        <v>2</v>
      </c>
      <c r="B230" s="8">
        <v>44684</v>
      </c>
      <c r="C230" s="325"/>
      <c r="D230" s="19" t="s">
        <v>295</v>
      </c>
      <c r="E230" s="119">
        <v>2976</v>
      </c>
      <c r="F230" s="23" t="s">
        <v>207</v>
      </c>
      <c r="G230" s="24" t="s">
        <v>22</v>
      </c>
      <c r="H230" s="20" t="s">
        <v>39</v>
      </c>
    </row>
    <row r="231" spans="1:8" ht="30" customHeight="1" x14ac:dyDescent="0.3">
      <c r="A231" s="129"/>
      <c r="B231" s="126"/>
      <c r="C231" s="126"/>
      <c r="D231" s="126"/>
      <c r="E231" s="128">
        <f>SUM(E229:E230)</f>
        <v>3821</v>
      </c>
      <c r="F231" s="127"/>
      <c r="G231" s="321"/>
      <c r="H231" s="322"/>
    </row>
    <row r="232" spans="1:8" ht="30" customHeight="1" x14ac:dyDescent="0.3">
      <c r="A232" s="3">
        <v>1</v>
      </c>
      <c r="B232" s="8">
        <v>44876</v>
      </c>
      <c r="C232" s="20" t="s">
        <v>156</v>
      </c>
      <c r="D232" s="19" t="s">
        <v>155</v>
      </c>
      <c r="E232" s="119">
        <v>8440</v>
      </c>
      <c r="F232" s="20" t="s">
        <v>229</v>
      </c>
      <c r="G232" s="24" t="s">
        <v>157</v>
      </c>
      <c r="H232" s="22" t="s">
        <v>158</v>
      </c>
    </row>
    <row r="233" spans="1:8" ht="30" customHeight="1" x14ac:dyDescent="0.3">
      <c r="A233" s="129"/>
      <c r="B233" s="126"/>
      <c r="C233" s="126"/>
      <c r="D233" s="126"/>
      <c r="E233" s="128">
        <f>SUM(E232)</f>
        <v>8440</v>
      </c>
      <c r="F233" s="127"/>
      <c r="G233" s="321"/>
      <c r="H233" s="322"/>
    </row>
    <row r="234" spans="1:8" ht="30" customHeight="1" x14ac:dyDescent="0.3">
      <c r="A234" s="3">
        <v>1</v>
      </c>
      <c r="B234" s="8">
        <v>44658</v>
      </c>
      <c r="C234" s="323" t="s">
        <v>16</v>
      </c>
      <c r="D234" s="19" t="s">
        <v>15</v>
      </c>
      <c r="E234" s="119">
        <v>5956</v>
      </c>
      <c r="F234" s="20" t="s">
        <v>208</v>
      </c>
      <c r="G234" s="24" t="s">
        <v>52</v>
      </c>
      <c r="H234" s="22" t="s">
        <v>17</v>
      </c>
    </row>
    <row r="235" spans="1:8" ht="30" customHeight="1" x14ac:dyDescent="0.3">
      <c r="A235" s="3">
        <v>2</v>
      </c>
      <c r="B235" s="8">
        <v>44743</v>
      </c>
      <c r="C235" s="325"/>
      <c r="D235" s="19" t="s">
        <v>80</v>
      </c>
      <c r="E235" s="119">
        <v>809</v>
      </c>
      <c r="F235" s="20" t="s">
        <v>208</v>
      </c>
      <c r="G235" s="24" t="s">
        <v>81</v>
      </c>
      <c r="H235" s="22" t="s">
        <v>82</v>
      </c>
    </row>
    <row r="236" spans="1:8" ht="30" customHeight="1" x14ac:dyDescent="0.3">
      <c r="A236" s="3">
        <v>3</v>
      </c>
      <c r="B236" s="8">
        <v>44879</v>
      </c>
      <c r="C236" s="323" t="s">
        <v>181</v>
      </c>
      <c r="D236" s="19" t="s">
        <v>190</v>
      </c>
      <c r="E236" s="119">
        <v>215</v>
      </c>
      <c r="F236" s="23" t="s">
        <v>233</v>
      </c>
      <c r="G236" s="24" t="s">
        <v>182</v>
      </c>
      <c r="H236" s="22" t="s">
        <v>283</v>
      </c>
    </row>
    <row r="237" spans="1:8" ht="30" customHeight="1" x14ac:dyDescent="0.3">
      <c r="A237" s="3">
        <v>4</v>
      </c>
      <c r="B237" s="8">
        <v>44888</v>
      </c>
      <c r="C237" s="324"/>
      <c r="D237" s="19" t="s">
        <v>180</v>
      </c>
      <c r="E237" s="119">
        <v>484</v>
      </c>
      <c r="F237" s="20" t="s">
        <v>208</v>
      </c>
      <c r="G237" s="24" t="s">
        <v>182</v>
      </c>
      <c r="H237" s="22" t="s">
        <v>183</v>
      </c>
    </row>
    <row r="238" spans="1:8" ht="30" customHeight="1" x14ac:dyDescent="0.3">
      <c r="A238" s="4">
        <v>5</v>
      </c>
      <c r="B238" s="8">
        <v>44981</v>
      </c>
      <c r="C238" s="324"/>
      <c r="D238" s="19" t="s">
        <v>287</v>
      </c>
      <c r="E238" s="119">
        <v>516</v>
      </c>
      <c r="F238" s="20" t="s">
        <v>288</v>
      </c>
      <c r="G238" s="24" t="s">
        <v>289</v>
      </c>
      <c r="H238" s="20" t="s">
        <v>290</v>
      </c>
    </row>
    <row r="239" spans="1:8" ht="30" customHeight="1" x14ac:dyDescent="0.3">
      <c r="A239" s="4">
        <v>6</v>
      </c>
      <c r="B239" s="8">
        <v>45008</v>
      </c>
      <c r="C239" s="325"/>
      <c r="D239" s="19" t="s">
        <v>382</v>
      </c>
      <c r="E239" s="119">
        <v>1895</v>
      </c>
      <c r="F239" s="20" t="s">
        <v>288</v>
      </c>
      <c r="G239" s="24" t="s">
        <v>289</v>
      </c>
      <c r="H239" s="20" t="s">
        <v>390</v>
      </c>
    </row>
    <row r="240" spans="1:8" ht="30" customHeight="1" x14ac:dyDescent="0.3">
      <c r="A240" s="129"/>
      <c r="B240" s="126"/>
      <c r="C240" s="126"/>
      <c r="D240" s="126"/>
      <c r="E240" s="128">
        <f>SUM(E234:E239)</f>
        <v>9875</v>
      </c>
      <c r="F240" s="127"/>
      <c r="G240" s="321"/>
      <c r="H240" s="322"/>
    </row>
    <row r="241" spans="1:8" ht="30" customHeight="1" x14ac:dyDescent="0.3">
      <c r="A241" s="4"/>
      <c r="B241" s="8"/>
      <c r="C241" s="20"/>
      <c r="D241" s="19"/>
      <c r="E241" s="119"/>
      <c r="F241" s="20"/>
      <c r="G241" s="24"/>
      <c r="H241" s="20"/>
    </row>
    <row r="242" spans="1:8" ht="30" customHeight="1" x14ac:dyDescent="0.3">
      <c r="A242" s="4"/>
      <c r="B242" s="8"/>
      <c r="C242" s="20"/>
      <c r="D242" s="19"/>
      <c r="E242" s="119"/>
      <c r="F242" s="20"/>
      <c r="G242" s="24"/>
      <c r="H242" s="20"/>
    </row>
    <row r="243" spans="1:8" ht="30" customHeight="1" x14ac:dyDescent="0.3">
      <c r="A243" s="4"/>
      <c r="B243" s="8"/>
      <c r="C243" s="20"/>
      <c r="D243" s="19"/>
      <c r="E243" s="119"/>
      <c r="F243" s="20"/>
      <c r="G243" s="24"/>
      <c r="H243" s="20"/>
    </row>
    <row r="244" spans="1:8" ht="30" customHeight="1" x14ac:dyDescent="0.3">
      <c r="A244" s="4"/>
      <c r="B244" s="8"/>
      <c r="C244" s="20"/>
      <c r="D244" s="19"/>
      <c r="E244" s="119"/>
      <c r="F244" s="20"/>
      <c r="G244" s="24"/>
      <c r="H244" s="20"/>
    </row>
    <row r="245" spans="1:8" ht="30" customHeight="1" x14ac:dyDescent="0.3"/>
    <row r="246" spans="1:8" ht="30" customHeight="1" x14ac:dyDescent="0.3"/>
    <row r="247" spans="1:8" ht="30" customHeight="1" x14ac:dyDescent="0.3"/>
    <row r="248" spans="1:8" ht="30" customHeight="1" x14ac:dyDescent="0.3"/>
    <row r="249" spans="1:8" ht="30" customHeight="1" x14ac:dyDescent="0.3"/>
    <row r="250" spans="1:8" ht="30" customHeight="1" x14ac:dyDescent="0.3"/>
    <row r="251" spans="1:8" ht="30" customHeight="1" x14ac:dyDescent="0.3"/>
    <row r="252" spans="1:8" ht="30" customHeight="1" x14ac:dyDescent="0.3"/>
    <row r="253" spans="1:8" ht="30" customHeight="1" x14ac:dyDescent="0.3"/>
    <row r="254" spans="1:8" ht="30" customHeight="1" x14ac:dyDescent="0.3"/>
    <row r="255" spans="1:8" ht="30" customHeight="1" x14ac:dyDescent="0.3"/>
    <row r="256" spans="1:8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</sheetData>
  <autoFilter ref="A1:H346" xr:uid="{00000000-0009-0000-0000-000003000000}"/>
  <mergeCells count="96">
    <mergeCell ref="G240:H240"/>
    <mergeCell ref="G226:H226"/>
    <mergeCell ref="G231:H231"/>
    <mergeCell ref="G233:H233"/>
    <mergeCell ref="C229:C230"/>
    <mergeCell ref="C234:C235"/>
    <mergeCell ref="G123:H123"/>
    <mergeCell ref="G145:H145"/>
    <mergeCell ref="G156:H156"/>
    <mergeCell ref="G170:H170"/>
    <mergeCell ref="G214:H214"/>
    <mergeCell ref="G196:H196"/>
    <mergeCell ref="G130:H130"/>
    <mergeCell ref="G140:H140"/>
    <mergeCell ref="G212:H212"/>
    <mergeCell ref="G200:H200"/>
    <mergeCell ref="C126:C129"/>
    <mergeCell ref="C157:C169"/>
    <mergeCell ref="C203:C205"/>
    <mergeCell ref="G172:H172"/>
    <mergeCell ref="G174:H174"/>
    <mergeCell ref="G151:H151"/>
    <mergeCell ref="G135:H135"/>
    <mergeCell ref="G194:H194"/>
    <mergeCell ref="G149:H149"/>
    <mergeCell ref="G176:H176"/>
    <mergeCell ref="G186:H186"/>
    <mergeCell ref="G189:H189"/>
    <mergeCell ref="G192:H192"/>
    <mergeCell ref="G184:H184"/>
    <mergeCell ref="A3:B3"/>
    <mergeCell ref="G3:H3"/>
    <mergeCell ref="C82:C91"/>
    <mergeCell ref="C19:C24"/>
    <mergeCell ref="G115:H115"/>
    <mergeCell ref="C6:C7"/>
    <mergeCell ref="A13:B13"/>
    <mergeCell ref="A18:B18"/>
    <mergeCell ref="G45:H45"/>
    <mergeCell ref="G48:H48"/>
    <mergeCell ref="G50:H50"/>
    <mergeCell ref="G52:H52"/>
    <mergeCell ref="C57:C80"/>
    <mergeCell ref="A5:B5"/>
    <mergeCell ref="A8:B8"/>
    <mergeCell ref="A11:B11"/>
    <mergeCell ref="C118:C120"/>
    <mergeCell ref="C34:C44"/>
    <mergeCell ref="C9:C10"/>
    <mergeCell ref="C16:C17"/>
    <mergeCell ref="G33:H33"/>
    <mergeCell ref="G25:H25"/>
    <mergeCell ref="C28:C32"/>
    <mergeCell ref="G105:H105"/>
    <mergeCell ref="G93:H93"/>
    <mergeCell ref="G97:H97"/>
    <mergeCell ref="G99:H99"/>
    <mergeCell ref="G101:H101"/>
    <mergeCell ref="G103:H103"/>
    <mergeCell ref="G27:H27"/>
    <mergeCell ref="G56:H56"/>
    <mergeCell ref="G81:H81"/>
    <mergeCell ref="G5:H5"/>
    <mergeCell ref="G8:H8"/>
    <mergeCell ref="G11:H11"/>
    <mergeCell ref="G112:H112"/>
    <mergeCell ref="G117:H117"/>
    <mergeCell ref="C53:C55"/>
    <mergeCell ref="C46:C47"/>
    <mergeCell ref="G13:H13"/>
    <mergeCell ref="G18:H18"/>
    <mergeCell ref="G110:H110"/>
    <mergeCell ref="G121:H121"/>
    <mergeCell ref="G125:H125"/>
    <mergeCell ref="G107:H107"/>
    <mergeCell ref="C236:C239"/>
    <mergeCell ref="C136:C139"/>
    <mergeCell ref="G147:H147"/>
    <mergeCell ref="C141:C142"/>
    <mergeCell ref="C113:C114"/>
    <mergeCell ref="G210:H210"/>
    <mergeCell ref="G202:H202"/>
    <mergeCell ref="C187:C188"/>
    <mergeCell ref="C190:C191"/>
    <mergeCell ref="C177:C181"/>
    <mergeCell ref="G198:H198"/>
    <mergeCell ref="G207:H207"/>
    <mergeCell ref="C108:C109"/>
    <mergeCell ref="G219:H219"/>
    <mergeCell ref="C131:C134"/>
    <mergeCell ref="C182:C183"/>
    <mergeCell ref="C220:C225"/>
    <mergeCell ref="C208:C209"/>
    <mergeCell ref="C215:C218"/>
    <mergeCell ref="C152:C155"/>
    <mergeCell ref="G143:H143"/>
  </mergeCells>
  <phoneticPr fontId="1" type="noConversion"/>
  <conditionalFormatting sqref="A2:A16 A18:A244">
    <cfRule type="containsText" dxfId="31" priority="182" operator="containsText" text="하도급">
      <formula>NOT(ISERROR(SEARCH("하도급",A2)))</formula>
    </cfRule>
  </conditionalFormatting>
  <conditionalFormatting sqref="A18:A244 A2:A16">
    <cfRule type="containsText" dxfId="30" priority="181" operator="containsText" text="원도급">
      <formula>NOT(ISERROR(SEARCH("원도급",A2)))</formula>
    </cfRule>
  </conditionalFormatting>
  <conditionalFormatting sqref="A94">
    <cfRule type="containsText" dxfId="29" priority="1" operator="containsText" text="원도급">
      <formula>NOT(ISERROR(SEARCH("원도급",A94)))</formula>
    </cfRule>
    <cfRule type="containsText" dxfId="28" priority="2" operator="containsText" text="하도급">
      <formula>NOT(ISERROR(SEARCH("하도급",A94)))</formula>
    </cfRule>
  </conditionalFormatting>
  <pageMargins left="0.70866141732283472" right="0.70866141732283472" top="0.74803149606299213" bottom="0.74803149606299213" header="0.31496062992125984" footer="0.31496062992125984"/>
  <pageSetup paperSize="8" scale="65" orientation="portrait" r:id="rId1"/>
  <rowBreaks count="1" manualBreakCount="1">
    <brk id="214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K88"/>
  <sheetViews>
    <sheetView view="pageBreakPreview" zoomScale="115" zoomScaleNormal="70" zoomScaleSheetLayoutView="115" zoomScalePageLayoutView="40" workbookViewId="0">
      <pane ySplit="2" topLeftCell="A15" activePane="bottomLeft" state="frozen"/>
      <selection pane="bottomLeft" activeCell="H33" sqref="H33"/>
    </sheetView>
  </sheetViews>
  <sheetFormatPr defaultRowHeight="30" customHeight="1" x14ac:dyDescent="0.3"/>
  <cols>
    <col min="1" max="1" width="4.75" style="26" bestFit="1" customWidth="1"/>
    <col min="2" max="2" width="8" style="71" bestFit="1" customWidth="1"/>
    <col min="3" max="3" width="15" style="27" bestFit="1" customWidth="1"/>
    <col min="4" max="4" width="61.75" style="25" bestFit="1" customWidth="1"/>
    <col min="5" max="6" width="18.75" style="27" hidden="1" customWidth="1"/>
    <col min="7" max="8" width="11.875" style="61" customWidth="1"/>
    <col min="9" max="9" width="34.625" style="28" customWidth="1"/>
    <col min="10" max="10" width="19.625" style="26" bestFit="1" customWidth="1"/>
    <col min="11" max="16384" width="9" style="5"/>
  </cols>
  <sheetData>
    <row r="1" spans="1:11" s="14" customFormat="1" ht="21" customHeight="1" x14ac:dyDescent="0.3">
      <c r="A1" s="300" t="s">
        <v>3</v>
      </c>
      <c r="B1" s="302" t="s">
        <v>2</v>
      </c>
      <c r="C1" s="294" t="s">
        <v>0</v>
      </c>
      <c r="D1" s="294" t="s">
        <v>1</v>
      </c>
      <c r="E1" s="304" t="s">
        <v>18</v>
      </c>
      <c r="F1" s="305"/>
      <c r="G1" s="294" t="s">
        <v>647</v>
      </c>
      <c r="H1" s="294" t="s">
        <v>648</v>
      </c>
      <c r="I1" s="296" t="s">
        <v>24</v>
      </c>
      <c r="J1" s="298" t="s">
        <v>206</v>
      </c>
    </row>
    <row r="2" spans="1:11" s="14" customFormat="1" ht="21" customHeight="1" thickBot="1" x14ac:dyDescent="0.35">
      <c r="A2" s="301"/>
      <c r="B2" s="303"/>
      <c r="C2" s="295"/>
      <c r="D2" s="295"/>
      <c r="E2" s="140" t="s">
        <v>300</v>
      </c>
      <c r="F2" s="140" t="s">
        <v>301</v>
      </c>
      <c r="G2" s="295"/>
      <c r="H2" s="295"/>
      <c r="I2" s="297"/>
      <c r="J2" s="299"/>
    </row>
    <row r="3" spans="1:11" customFormat="1" ht="27" x14ac:dyDescent="0.3">
      <c r="A3" s="3">
        <v>1</v>
      </c>
      <c r="B3" s="8">
        <v>44973</v>
      </c>
      <c r="C3" s="336" t="s">
        <v>25</v>
      </c>
      <c r="D3" s="35" t="s">
        <v>275</v>
      </c>
      <c r="E3" s="20" t="s">
        <v>23</v>
      </c>
      <c r="F3" s="20"/>
      <c r="G3" s="60">
        <v>1806</v>
      </c>
      <c r="H3" s="60">
        <v>1228</v>
      </c>
      <c r="I3" s="24" t="s">
        <v>272</v>
      </c>
      <c r="J3" s="22" t="s">
        <v>274</v>
      </c>
    </row>
    <row r="4" spans="1:11" customFormat="1" ht="27" x14ac:dyDescent="0.3">
      <c r="A4" s="3">
        <v>2</v>
      </c>
      <c r="B4" s="8">
        <v>44993</v>
      </c>
      <c r="C4" s="324"/>
      <c r="D4" s="72" t="s">
        <v>287</v>
      </c>
      <c r="E4" s="20" t="s">
        <v>23</v>
      </c>
      <c r="F4" s="65"/>
      <c r="G4" s="59">
        <v>985</v>
      </c>
      <c r="H4" s="59">
        <v>985</v>
      </c>
      <c r="I4" s="17" t="s">
        <v>272</v>
      </c>
      <c r="J4" s="22" t="s">
        <v>356</v>
      </c>
    </row>
    <row r="5" spans="1:11" customFormat="1" ht="27" x14ac:dyDescent="0.3">
      <c r="A5" s="3">
        <v>3</v>
      </c>
      <c r="B5" s="8">
        <v>45006</v>
      </c>
      <c r="C5" s="324"/>
      <c r="D5" s="19" t="s">
        <v>382</v>
      </c>
      <c r="E5" s="20" t="s">
        <v>23</v>
      </c>
      <c r="F5" s="20"/>
      <c r="G5" s="60">
        <v>1339</v>
      </c>
      <c r="H5" s="60">
        <v>1031</v>
      </c>
      <c r="I5" s="24" t="s">
        <v>272</v>
      </c>
      <c r="J5" s="22" t="s">
        <v>383</v>
      </c>
    </row>
    <row r="6" spans="1:11" customFormat="1" ht="27" x14ac:dyDescent="0.3">
      <c r="A6" s="29">
        <v>4</v>
      </c>
      <c r="B6" s="30">
        <v>45029</v>
      </c>
      <c r="C6" s="324"/>
      <c r="D6" s="19" t="s">
        <v>391</v>
      </c>
      <c r="E6" s="20" t="s">
        <v>23</v>
      </c>
      <c r="F6" s="20"/>
      <c r="G6" s="60">
        <v>1314</v>
      </c>
      <c r="H6" s="60">
        <v>900</v>
      </c>
      <c r="I6" s="24" t="s">
        <v>394</v>
      </c>
      <c r="J6" s="22" t="s">
        <v>396</v>
      </c>
    </row>
    <row r="7" spans="1:11" customFormat="1" ht="24" x14ac:dyDescent="0.3">
      <c r="A7" s="3">
        <v>5</v>
      </c>
      <c r="B7" s="8">
        <v>45133</v>
      </c>
      <c r="C7" s="324"/>
      <c r="D7" s="19" t="s">
        <v>483</v>
      </c>
      <c r="E7" s="20" t="s">
        <v>23</v>
      </c>
      <c r="F7" s="20"/>
      <c r="G7" s="60">
        <v>505</v>
      </c>
      <c r="H7" s="60">
        <v>505</v>
      </c>
      <c r="I7" s="24" t="s">
        <v>272</v>
      </c>
      <c r="J7" s="56" t="s">
        <v>487</v>
      </c>
    </row>
    <row r="8" spans="1:11" customFormat="1" ht="24" x14ac:dyDescent="0.3">
      <c r="A8" s="29">
        <v>6</v>
      </c>
      <c r="B8" s="30">
        <v>45139</v>
      </c>
      <c r="C8" s="324"/>
      <c r="D8" s="31" t="s">
        <v>488</v>
      </c>
      <c r="E8" s="20" t="s">
        <v>23</v>
      </c>
      <c r="F8" s="32"/>
      <c r="G8" s="190">
        <v>1949</v>
      </c>
      <c r="H8" s="190">
        <v>1033</v>
      </c>
      <c r="I8" s="191" t="s">
        <v>272</v>
      </c>
      <c r="J8" s="64" t="s">
        <v>489</v>
      </c>
    </row>
    <row r="9" spans="1:11" customFormat="1" ht="24" x14ac:dyDescent="0.3">
      <c r="A9" s="3">
        <v>7</v>
      </c>
      <c r="B9" s="8">
        <v>45188</v>
      </c>
      <c r="C9" s="324"/>
      <c r="D9" s="19" t="s">
        <v>522</v>
      </c>
      <c r="E9" s="20" t="s">
        <v>23</v>
      </c>
      <c r="F9" s="20"/>
      <c r="G9" s="60">
        <v>659</v>
      </c>
      <c r="H9" s="60">
        <v>659</v>
      </c>
      <c r="I9" s="24" t="s">
        <v>272</v>
      </c>
      <c r="J9" s="56" t="s">
        <v>523</v>
      </c>
    </row>
    <row r="10" spans="1:11" customFormat="1" ht="24" x14ac:dyDescent="0.3">
      <c r="A10" s="3">
        <v>8</v>
      </c>
      <c r="B10" s="8">
        <v>45271</v>
      </c>
      <c r="C10" s="324"/>
      <c r="D10" s="19" t="s">
        <v>630</v>
      </c>
      <c r="E10" s="20" t="s">
        <v>23</v>
      </c>
      <c r="F10" s="20"/>
      <c r="G10" s="60">
        <v>826</v>
      </c>
      <c r="H10" s="60">
        <v>826</v>
      </c>
      <c r="I10" s="24" t="s">
        <v>272</v>
      </c>
      <c r="J10" s="79" t="s">
        <v>632</v>
      </c>
    </row>
    <row r="11" spans="1:11" ht="30" customHeight="1" x14ac:dyDescent="0.3">
      <c r="A11" s="4">
        <v>9</v>
      </c>
      <c r="B11" s="8">
        <v>45464</v>
      </c>
      <c r="C11" s="324"/>
      <c r="D11" s="19" t="s">
        <v>683</v>
      </c>
      <c r="E11" s="20" t="s">
        <v>23</v>
      </c>
      <c r="F11" s="20"/>
      <c r="G11" s="60">
        <v>872</v>
      </c>
      <c r="H11" s="60">
        <v>582</v>
      </c>
      <c r="I11" s="24" t="s">
        <v>272</v>
      </c>
      <c r="J11" s="55" t="s">
        <v>684</v>
      </c>
      <c r="K11" s="55"/>
    </row>
    <row r="12" spans="1:11" ht="30" customHeight="1" x14ac:dyDescent="0.3">
      <c r="A12" s="70">
        <v>10</v>
      </c>
      <c r="B12" s="8">
        <v>45492</v>
      </c>
      <c r="C12" s="324"/>
      <c r="D12" s="19" t="s">
        <v>673</v>
      </c>
      <c r="E12" s="20" t="s">
        <v>23</v>
      </c>
      <c r="F12" s="20"/>
      <c r="G12" s="201">
        <v>1828</v>
      </c>
      <c r="H12" s="60">
        <v>715</v>
      </c>
      <c r="I12" s="24" t="s">
        <v>272</v>
      </c>
      <c r="J12" s="55" t="s">
        <v>691</v>
      </c>
      <c r="K12" s="212"/>
    </row>
    <row r="13" spans="1:11" ht="30" customHeight="1" x14ac:dyDescent="0.3">
      <c r="A13" s="70">
        <v>11</v>
      </c>
      <c r="B13" s="8" t="s">
        <v>470</v>
      </c>
      <c r="C13" s="324"/>
      <c r="D13" s="19" t="s">
        <v>674</v>
      </c>
      <c r="E13" s="20"/>
      <c r="F13" s="20"/>
      <c r="G13" s="201">
        <v>1265</v>
      </c>
      <c r="H13" s="60">
        <v>1265</v>
      </c>
      <c r="I13" s="24" t="s">
        <v>272</v>
      </c>
      <c r="J13" s="292" t="s">
        <v>470</v>
      </c>
      <c r="K13" s="212"/>
    </row>
    <row r="14" spans="1:11" ht="30" customHeight="1" x14ac:dyDescent="0.3">
      <c r="A14" s="70">
        <v>12</v>
      </c>
      <c r="B14" s="8">
        <v>45713</v>
      </c>
      <c r="C14" s="324"/>
      <c r="D14" s="19" t="s">
        <v>726</v>
      </c>
      <c r="E14" s="20"/>
      <c r="F14" s="20"/>
      <c r="G14" s="201">
        <v>895</v>
      </c>
      <c r="H14" s="60">
        <v>895</v>
      </c>
      <c r="I14" s="24" t="s">
        <v>272</v>
      </c>
      <c r="J14" s="292" t="s">
        <v>727</v>
      </c>
      <c r="K14" s="212"/>
    </row>
    <row r="15" spans="1:11" ht="30" customHeight="1" x14ac:dyDescent="0.3">
      <c r="A15" s="70">
        <v>13</v>
      </c>
      <c r="B15" s="8">
        <v>45734</v>
      </c>
      <c r="C15" s="325"/>
      <c r="D15" s="19" t="s">
        <v>737</v>
      </c>
      <c r="E15" s="20"/>
      <c r="F15" s="20"/>
      <c r="G15" s="60">
        <v>585</v>
      </c>
      <c r="H15" s="60">
        <v>585</v>
      </c>
      <c r="I15" s="24" t="s">
        <v>272</v>
      </c>
      <c r="J15" s="55" t="s">
        <v>739</v>
      </c>
      <c r="K15" s="212"/>
    </row>
    <row r="16" spans="1:11" ht="30" customHeight="1" x14ac:dyDescent="0.3">
      <c r="A16" s="70">
        <v>14</v>
      </c>
      <c r="B16" s="8">
        <v>45797</v>
      </c>
      <c r="C16" s="16"/>
      <c r="D16" s="19" t="s">
        <v>755</v>
      </c>
      <c r="E16" s="20" t="s">
        <v>768</v>
      </c>
      <c r="F16" s="20"/>
      <c r="G16" s="60">
        <v>2048</v>
      </c>
      <c r="H16" s="60">
        <v>1170</v>
      </c>
      <c r="I16" s="24" t="s">
        <v>769</v>
      </c>
      <c r="J16" s="55" t="s">
        <v>770</v>
      </c>
      <c r="K16" s="212"/>
    </row>
    <row r="17" spans="1:11" s="87" customFormat="1" ht="24.95" customHeight="1" x14ac:dyDescent="0.3">
      <c r="A17" s="80"/>
      <c r="B17" s="81"/>
      <c r="C17" s="82"/>
      <c r="D17" s="84"/>
      <c r="E17" s="82"/>
      <c r="F17" s="82"/>
      <c r="G17" s="83">
        <f>SUM(G3:G16)</f>
        <v>16876</v>
      </c>
      <c r="H17" s="83">
        <f>SUM(H3:H16)</f>
        <v>12379</v>
      </c>
      <c r="I17" s="85"/>
      <c r="J17" s="86"/>
    </row>
    <row r="18" spans="1:11" customFormat="1" ht="27" x14ac:dyDescent="0.3">
      <c r="A18" s="3">
        <v>1</v>
      </c>
      <c r="B18" s="8">
        <v>44973</v>
      </c>
      <c r="C18" s="323" t="s">
        <v>26</v>
      </c>
      <c r="D18" s="35" t="s">
        <v>275</v>
      </c>
      <c r="E18" s="20" t="s">
        <v>23</v>
      </c>
      <c r="F18" s="20"/>
      <c r="G18" s="60">
        <v>1806</v>
      </c>
      <c r="H18" s="60">
        <v>578</v>
      </c>
      <c r="I18" s="24" t="s">
        <v>276</v>
      </c>
      <c r="J18" s="22" t="s">
        <v>274</v>
      </c>
    </row>
    <row r="19" spans="1:11" customFormat="1" ht="27" x14ac:dyDescent="0.3">
      <c r="A19" s="3">
        <v>2</v>
      </c>
      <c r="B19" s="8">
        <v>44980</v>
      </c>
      <c r="C19" s="324"/>
      <c r="D19" s="19" t="s">
        <v>277</v>
      </c>
      <c r="E19" s="20" t="s">
        <v>23</v>
      </c>
      <c r="F19" s="20"/>
      <c r="G19" s="60">
        <v>783</v>
      </c>
      <c r="H19" s="60">
        <v>783</v>
      </c>
      <c r="I19" s="24" t="s">
        <v>276</v>
      </c>
      <c r="J19" s="22" t="s">
        <v>278</v>
      </c>
    </row>
    <row r="20" spans="1:11" customFormat="1" ht="27" x14ac:dyDescent="0.3">
      <c r="A20" s="3">
        <v>3</v>
      </c>
      <c r="B20" s="8">
        <v>45006</v>
      </c>
      <c r="C20" s="324"/>
      <c r="D20" s="19" t="s">
        <v>382</v>
      </c>
      <c r="E20" s="20" t="s">
        <v>23</v>
      </c>
      <c r="F20" s="20"/>
      <c r="G20" s="60">
        <v>1339</v>
      </c>
      <c r="H20" s="60">
        <v>308</v>
      </c>
      <c r="I20" s="24" t="s">
        <v>276</v>
      </c>
      <c r="J20" s="22" t="s">
        <v>383</v>
      </c>
    </row>
    <row r="21" spans="1:11" customFormat="1" ht="24" x14ac:dyDescent="0.3">
      <c r="A21" s="3">
        <v>4</v>
      </c>
      <c r="B21" s="8">
        <v>45139</v>
      </c>
      <c r="C21" s="324"/>
      <c r="D21" s="19" t="s">
        <v>488</v>
      </c>
      <c r="E21" s="20"/>
      <c r="F21" s="20"/>
      <c r="G21" s="60">
        <v>1949</v>
      </c>
      <c r="H21" s="60">
        <v>916</v>
      </c>
      <c r="I21" s="24" t="s">
        <v>276</v>
      </c>
      <c r="J21" s="56" t="s">
        <v>489</v>
      </c>
    </row>
    <row r="22" spans="1:11" customFormat="1" ht="27" x14ac:dyDescent="0.3">
      <c r="A22" s="29">
        <v>5</v>
      </c>
      <c r="B22" s="30">
        <v>45233</v>
      </c>
      <c r="C22" s="324"/>
      <c r="D22" s="19" t="s">
        <v>537</v>
      </c>
      <c r="E22" s="20"/>
      <c r="F22" s="20"/>
      <c r="G22" s="60">
        <v>797</v>
      </c>
      <c r="H22" s="60">
        <v>797</v>
      </c>
      <c r="I22" s="24" t="s">
        <v>276</v>
      </c>
      <c r="J22" s="22" t="s">
        <v>538</v>
      </c>
    </row>
    <row r="23" spans="1:11" ht="30" customHeight="1" x14ac:dyDescent="0.3">
      <c r="A23" s="4">
        <v>6</v>
      </c>
      <c r="B23" s="8">
        <v>45464</v>
      </c>
      <c r="C23" s="324"/>
      <c r="D23" s="19" t="s">
        <v>683</v>
      </c>
      <c r="E23" s="20" t="s">
        <v>23</v>
      </c>
      <c r="F23" s="20"/>
      <c r="G23" s="60">
        <v>872</v>
      </c>
      <c r="H23" s="60">
        <v>290</v>
      </c>
      <c r="I23" s="24" t="s">
        <v>675</v>
      </c>
      <c r="J23" s="55" t="s">
        <v>684</v>
      </c>
      <c r="K23" s="55"/>
    </row>
    <row r="24" spans="1:11" ht="30" customHeight="1" x14ac:dyDescent="0.3">
      <c r="A24" s="213">
        <v>7</v>
      </c>
      <c r="B24" s="8">
        <v>45492</v>
      </c>
      <c r="C24" s="325"/>
      <c r="D24" s="19" t="s">
        <v>673</v>
      </c>
      <c r="E24" s="20" t="s">
        <v>23</v>
      </c>
      <c r="F24" s="32"/>
      <c r="G24" s="201">
        <v>1828</v>
      </c>
      <c r="H24" s="60">
        <v>688</v>
      </c>
      <c r="I24" s="24" t="s">
        <v>675</v>
      </c>
      <c r="J24" s="55" t="s">
        <v>691</v>
      </c>
      <c r="K24" s="212"/>
    </row>
    <row r="25" spans="1:11" ht="30" customHeight="1" x14ac:dyDescent="0.3">
      <c r="A25" s="213">
        <v>8</v>
      </c>
      <c r="B25" s="8">
        <v>45797</v>
      </c>
      <c r="C25" s="16"/>
      <c r="D25" s="19" t="s">
        <v>755</v>
      </c>
      <c r="E25" s="20" t="s">
        <v>768</v>
      </c>
      <c r="F25" s="20"/>
      <c r="G25" s="60">
        <v>2048</v>
      </c>
      <c r="H25" s="60">
        <v>877</v>
      </c>
      <c r="I25" s="24" t="s">
        <v>276</v>
      </c>
      <c r="J25" s="55" t="s">
        <v>770</v>
      </c>
      <c r="K25" s="212"/>
    </row>
    <row r="26" spans="1:11" s="87" customFormat="1" ht="24.95" customHeight="1" thickBot="1" x14ac:dyDescent="0.35">
      <c r="A26" s="88"/>
      <c r="B26" s="89"/>
      <c r="C26" s="90"/>
      <c r="D26" s="92"/>
      <c r="E26" s="90"/>
      <c r="F26" s="90"/>
      <c r="G26" s="91">
        <f>SUM(G18:G25)</f>
        <v>11422</v>
      </c>
      <c r="H26" s="91">
        <f>SUM(H18:H25)</f>
        <v>5237</v>
      </c>
      <c r="I26" s="93"/>
      <c r="J26" s="94"/>
    </row>
    <row r="27" spans="1:11" customFormat="1" ht="27" x14ac:dyDescent="0.3">
      <c r="A27" s="29">
        <v>1</v>
      </c>
      <c r="B27" s="30">
        <v>45064</v>
      </c>
      <c r="C27" s="336" t="s">
        <v>196</v>
      </c>
      <c r="D27" s="31" t="s">
        <v>341</v>
      </c>
      <c r="E27" s="32"/>
      <c r="F27" s="32"/>
      <c r="G27" s="190">
        <v>2703</v>
      </c>
      <c r="H27" s="190"/>
      <c r="I27" s="191" t="s">
        <v>197</v>
      </c>
      <c r="J27" s="33" t="s">
        <v>422</v>
      </c>
    </row>
    <row r="28" spans="1:11" customFormat="1" ht="24" x14ac:dyDescent="0.3">
      <c r="A28" s="3">
        <v>2</v>
      </c>
      <c r="B28" s="8">
        <v>45156</v>
      </c>
      <c r="C28" s="325"/>
      <c r="D28" s="19" t="s">
        <v>503</v>
      </c>
      <c r="E28" s="20"/>
      <c r="F28" s="20"/>
      <c r="G28" s="60">
        <v>1178</v>
      </c>
      <c r="H28" s="60"/>
      <c r="I28" s="24" t="s">
        <v>197</v>
      </c>
      <c r="J28" s="56" t="s">
        <v>504</v>
      </c>
    </row>
    <row r="29" spans="1:11" s="87" customFormat="1" ht="24.95" customHeight="1" x14ac:dyDescent="0.3">
      <c r="A29" s="99"/>
      <c r="B29" s="96"/>
      <c r="C29" s="82"/>
      <c r="D29" s="84"/>
      <c r="E29" s="82"/>
      <c r="F29" s="82"/>
      <c r="G29" s="83">
        <f>SUM(G27:G28)</f>
        <v>3881</v>
      </c>
      <c r="H29" s="83">
        <f>SUM(H27:H28)</f>
        <v>0</v>
      </c>
      <c r="I29" s="85"/>
      <c r="J29" s="100"/>
    </row>
    <row r="30" spans="1:11" customFormat="1" ht="27" x14ac:dyDescent="0.3">
      <c r="A30" s="29">
        <v>1</v>
      </c>
      <c r="B30" s="8">
        <v>45723</v>
      </c>
      <c r="C30" s="323" t="s">
        <v>731</v>
      </c>
      <c r="D30" s="19" t="s">
        <v>730</v>
      </c>
      <c r="E30" s="20"/>
      <c r="F30" s="20"/>
      <c r="G30" s="60">
        <v>2694</v>
      </c>
      <c r="H30" s="60">
        <v>0</v>
      </c>
      <c r="I30" s="24" t="s">
        <v>113</v>
      </c>
      <c r="J30" s="55" t="s">
        <v>734</v>
      </c>
    </row>
    <row r="31" spans="1:11" customFormat="1" ht="27" customHeight="1" x14ac:dyDescent="0.3">
      <c r="A31" s="29">
        <v>2</v>
      </c>
      <c r="B31" s="30">
        <v>45744</v>
      </c>
      <c r="C31" s="325"/>
      <c r="D31" s="19" t="s">
        <v>744</v>
      </c>
      <c r="E31" s="20" t="s">
        <v>358</v>
      </c>
      <c r="F31" s="20"/>
      <c r="G31" s="60">
        <v>1932</v>
      </c>
      <c r="H31" s="60">
        <v>0</v>
      </c>
      <c r="I31" s="24" t="s">
        <v>113</v>
      </c>
      <c r="J31" s="55" t="s">
        <v>745</v>
      </c>
    </row>
    <row r="32" spans="1:11" customFormat="1" ht="27" customHeight="1" x14ac:dyDescent="0.3">
      <c r="A32" s="29">
        <v>3</v>
      </c>
      <c r="B32" s="30">
        <v>45805</v>
      </c>
      <c r="C32" s="16"/>
      <c r="D32" s="19" t="s">
        <v>756</v>
      </c>
      <c r="E32" s="20" t="s">
        <v>771</v>
      </c>
      <c r="F32" s="20" t="s">
        <v>772</v>
      </c>
      <c r="G32" s="60">
        <v>851</v>
      </c>
      <c r="H32" s="60">
        <v>0</v>
      </c>
      <c r="I32" s="24" t="s">
        <v>113</v>
      </c>
      <c r="J32" s="55" t="s">
        <v>773</v>
      </c>
    </row>
    <row r="33" spans="1:10" s="87" customFormat="1" ht="24.95" customHeight="1" x14ac:dyDescent="0.3">
      <c r="A33" s="99"/>
      <c r="B33" s="96"/>
      <c r="C33" s="82"/>
      <c r="D33" s="84"/>
      <c r="E33" s="82"/>
      <c r="F33" s="82"/>
      <c r="G33" s="83">
        <f>SUM(G30:G32)</f>
        <v>5477</v>
      </c>
      <c r="H33" s="83">
        <f>SUM(H30:H32)</f>
        <v>0</v>
      </c>
      <c r="I33" s="85"/>
      <c r="J33" s="101"/>
    </row>
    <row r="34" spans="1:10" customFormat="1" ht="27" x14ac:dyDescent="0.3">
      <c r="A34" s="3">
        <v>1</v>
      </c>
      <c r="B34" s="8">
        <v>45072</v>
      </c>
      <c r="C34" s="323" t="s">
        <v>112</v>
      </c>
      <c r="D34" s="19" t="s">
        <v>382</v>
      </c>
      <c r="E34" s="20"/>
      <c r="F34" s="20"/>
      <c r="G34" s="60">
        <v>3907</v>
      </c>
      <c r="H34" s="60"/>
      <c r="I34" s="24" t="s">
        <v>113</v>
      </c>
      <c r="J34" s="22" t="s">
        <v>424</v>
      </c>
    </row>
    <row r="35" spans="1:10" customFormat="1" ht="24" x14ac:dyDescent="0.3">
      <c r="A35" s="29">
        <v>2</v>
      </c>
      <c r="B35" s="30">
        <v>45149</v>
      </c>
      <c r="C35" s="325"/>
      <c r="D35" s="19" t="s">
        <v>492</v>
      </c>
      <c r="E35" s="20"/>
      <c r="F35" s="20"/>
      <c r="G35" s="60">
        <v>971</v>
      </c>
      <c r="H35" s="60"/>
      <c r="I35" s="24" t="s">
        <v>113</v>
      </c>
      <c r="J35" s="64" t="s">
        <v>495</v>
      </c>
    </row>
    <row r="36" spans="1:10" s="87" customFormat="1" ht="24.95" customHeight="1" x14ac:dyDescent="0.3">
      <c r="A36" s="99"/>
      <c r="B36" s="96"/>
      <c r="C36" s="82"/>
      <c r="D36" s="84"/>
      <c r="E36" s="82"/>
      <c r="F36" s="82"/>
      <c r="G36" s="83">
        <f>SUM(G34:G35)</f>
        <v>4878</v>
      </c>
      <c r="H36" s="83">
        <f>SUM(H34:H34)</f>
        <v>0</v>
      </c>
      <c r="I36" s="85"/>
      <c r="J36" s="101"/>
    </row>
    <row r="37" spans="1:10" customFormat="1" ht="24" x14ac:dyDescent="0.3">
      <c r="A37" s="3">
        <v>1</v>
      </c>
      <c r="B37" s="8">
        <v>45128</v>
      </c>
      <c r="C37" s="20" t="s">
        <v>477</v>
      </c>
      <c r="D37" s="19" t="s">
        <v>475</v>
      </c>
      <c r="E37" s="20"/>
      <c r="F37" s="20"/>
      <c r="G37" s="60">
        <v>971</v>
      </c>
      <c r="H37" s="60"/>
      <c r="I37" s="24" t="s">
        <v>476</v>
      </c>
      <c r="J37" s="56" t="s">
        <v>478</v>
      </c>
    </row>
    <row r="38" spans="1:10" s="87" customFormat="1" ht="24.95" customHeight="1" x14ac:dyDescent="0.3">
      <c r="A38" s="80"/>
      <c r="B38" s="81"/>
      <c r="C38" s="82"/>
      <c r="D38" s="84"/>
      <c r="E38" s="82"/>
      <c r="F38" s="82"/>
      <c r="G38" s="83">
        <f>SUM(G37)</f>
        <v>971</v>
      </c>
      <c r="H38" s="83">
        <f>SUM(H37)</f>
        <v>0</v>
      </c>
      <c r="I38" s="85"/>
      <c r="J38" s="86"/>
    </row>
    <row r="39" spans="1:10" customFormat="1" ht="27" x14ac:dyDescent="0.3">
      <c r="A39" s="3">
        <v>1</v>
      </c>
      <c r="B39" s="8">
        <v>45058</v>
      </c>
      <c r="C39" s="20" t="s">
        <v>413</v>
      </c>
      <c r="D39" s="19" t="s">
        <v>341</v>
      </c>
      <c r="E39" s="20"/>
      <c r="F39" s="20"/>
      <c r="G39" s="60">
        <v>986</v>
      </c>
      <c r="H39" s="60"/>
      <c r="I39" s="24" t="s">
        <v>414</v>
      </c>
      <c r="J39" s="22" t="s">
        <v>415</v>
      </c>
    </row>
    <row r="40" spans="1:10" s="87" customFormat="1" ht="24.95" customHeight="1" x14ac:dyDescent="0.3">
      <c r="A40" s="80"/>
      <c r="B40" s="81"/>
      <c r="C40" s="82"/>
      <c r="D40" s="84"/>
      <c r="E40" s="82"/>
      <c r="F40" s="82"/>
      <c r="G40" s="83">
        <f>SUM(G39)</f>
        <v>986</v>
      </c>
      <c r="H40" s="83">
        <f>SUM(H39)</f>
        <v>0</v>
      </c>
      <c r="I40" s="85"/>
      <c r="J40" s="102"/>
    </row>
    <row r="41" spans="1:10" customFormat="1" ht="27" x14ac:dyDescent="0.3">
      <c r="A41" s="3">
        <v>1</v>
      </c>
      <c r="B41" s="8">
        <v>45079</v>
      </c>
      <c r="C41" s="20" t="s">
        <v>193</v>
      </c>
      <c r="D41" s="19" t="s">
        <v>423</v>
      </c>
      <c r="E41" s="20"/>
      <c r="F41" s="20"/>
      <c r="G41" s="60">
        <v>1219</v>
      </c>
      <c r="H41" s="60"/>
      <c r="I41" s="24" t="s">
        <v>194</v>
      </c>
      <c r="J41" s="22" t="s">
        <v>425</v>
      </c>
    </row>
    <row r="42" spans="1:10" s="87" customFormat="1" ht="24.95" customHeight="1" thickBot="1" x14ac:dyDescent="0.35">
      <c r="A42" s="88"/>
      <c r="B42" s="89"/>
      <c r="C42" s="90"/>
      <c r="D42" s="92"/>
      <c r="E42" s="90"/>
      <c r="F42" s="90"/>
      <c r="G42" s="91">
        <f>SUM(G41)</f>
        <v>1219</v>
      </c>
      <c r="H42" s="91">
        <f>SUM(H41)</f>
        <v>0</v>
      </c>
      <c r="I42" s="93"/>
      <c r="J42" s="94"/>
    </row>
    <row r="43" spans="1:10" customFormat="1" ht="27" x14ac:dyDescent="0.3">
      <c r="A43" s="103">
        <v>1</v>
      </c>
      <c r="B43" s="104">
        <v>44970</v>
      </c>
      <c r="C43" s="105" t="s">
        <v>65</v>
      </c>
      <c r="D43" s="106" t="s">
        <v>267</v>
      </c>
      <c r="E43" s="139"/>
      <c r="F43" s="139"/>
      <c r="G43" s="76">
        <v>2993</v>
      </c>
      <c r="H43" s="76"/>
      <c r="I43" s="78" t="s">
        <v>66</v>
      </c>
      <c r="J43" s="107" t="s">
        <v>269</v>
      </c>
    </row>
    <row r="44" spans="1:10" s="87" customFormat="1" ht="24.95" customHeight="1" x14ac:dyDescent="0.3">
      <c r="A44" s="99"/>
      <c r="B44" s="96"/>
      <c r="C44" s="82"/>
      <c r="D44" s="113"/>
      <c r="E44" s="97"/>
      <c r="F44" s="97"/>
      <c r="G44" s="83">
        <f>SUM(G43)</f>
        <v>2993</v>
      </c>
      <c r="H44" s="83">
        <f>SUM(H43)</f>
        <v>0</v>
      </c>
      <c r="I44" s="85"/>
      <c r="J44" s="100"/>
    </row>
    <row r="45" spans="1:10" customFormat="1" ht="27" x14ac:dyDescent="0.3">
      <c r="A45" s="3">
        <v>1</v>
      </c>
      <c r="B45" s="8">
        <v>44965</v>
      </c>
      <c r="C45" s="323" t="s">
        <v>122</v>
      </c>
      <c r="D45" s="19" t="s">
        <v>263</v>
      </c>
      <c r="E45" s="20"/>
      <c r="F45" s="20"/>
      <c r="G45" s="60">
        <v>7161</v>
      </c>
      <c r="H45" s="60"/>
      <c r="I45" s="24" t="s">
        <v>265</v>
      </c>
      <c r="J45" s="22" t="s">
        <v>266</v>
      </c>
    </row>
    <row r="46" spans="1:10" customFormat="1" ht="27" x14ac:dyDescent="0.3">
      <c r="A46" s="3">
        <v>2</v>
      </c>
      <c r="B46" s="8">
        <v>44971</v>
      </c>
      <c r="C46" s="324"/>
      <c r="D46" s="19" t="s">
        <v>270</v>
      </c>
      <c r="E46" s="20"/>
      <c r="F46" s="20"/>
      <c r="G46" s="60">
        <v>7345</v>
      </c>
      <c r="H46" s="60"/>
      <c r="I46" s="24" t="s">
        <v>265</v>
      </c>
      <c r="J46" s="22" t="s">
        <v>271</v>
      </c>
    </row>
    <row r="47" spans="1:10" customFormat="1" ht="27" x14ac:dyDescent="0.3">
      <c r="A47" s="3">
        <v>3</v>
      </c>
      <c r="B47" s="8">
        <v>45244</v>
      </c>
      <c r="C47" s="324"/>
      <c r="D47" s="19" t="s">
        <v>542</v>
      </c>
      <c r="E47" s="20"/>
      <c r="F47" s="20"/>
      <c r="G47" s="60">
        <v>13201</v>
      </c>
      <c r="H47" s="60"/>
      <c r="I47" s="24" t="s">
        <v>543</v>
      </c>
      <c r="J47" s="22" t="s">
        <v>544</v>
      </c>
    </row>
    <row r="48" spans="1:10" customFormat="1" ht="27" x14ac:dyDescent="0.3">
      <c r="A48" s="3">
        <v>4</v>
      </c>
      <c r="B48" s="8">
        <v>45245</v>
      </c>
      <c r="C48" s="324"/>
      <c r="D48" s="19" t="s">
        <v>548</v>
      </c>
      <c r="E48" s="20"/>
      <c r="F48" s="20"/>
      <c r="G48" s="60">
        <v>10576</v>
      </c>
      <c r="H48" s="60"/>
      <c r="I48" s="24" t="s">
        <v>543</v>
      </c>
      <c r="J48" s="22" t="s">
        <v>550</v>
      </c>
    </row>
    <row r="49" spans="1:10" customFormat="1" ht="27" x14ac:dyDescent="0.3">
      <c r="A49" s="3">
        <v>5</v>
      </c>
      <c r="B49" s="8">
        <v>45246</v>
      </c>
      <c r="C49" s="324"/>
      <c r="D49" s="19" t="s">
        <v>552</v>
      </c>
      <c r="E49" s="20"/>
      <c r="F49" s="20"/>
      <c r="G49" s="60">
        <v>6219</v>
      </c>
      <c r="H49" s="60"/>
      <c r="I49" s="24" t="s">
        <v>543</v>
      </c>
      <c r="J49" s="22" t="s">
        <v>554</v>
      </c>
    </row>
    <row r="50" spans="1:10" customFormat="1" ht="27" x14ac:dyDescent="0.3">
      <c r="A50" s="3">
        <v>6</v>
      </c>
      <c r="B50" s="8">
        <v>45254</v>
      </c>
      <c r="C50" s="324"/>
      <c r="D50" s="19" t="s">
        <v>581</v>
      </c>
      <c r="E50" s="20"/>
      <c r="F50" s="20"/>
      <c r="G50" s="60">
        <v>10869</v>
      </c>
      <c r="H50" s="60"/>
      <c r="I50" s="24" t="s">
        <v>543</v>
      </c>
      <c r="J50" s="108" t="s">
        <v>585</v>
      </c>
    </row>
    <row r="51" spans="1:10" customFormat="1" ht="27" x14ac:dyDescent="0.3">
      <c r="A51" s="3">
        <v>7</v>
      </c>
      <c r="B51" s="8">
        <v>45258</v>
      </c>
      <c r="C51" s="324"/>
      <c r="D51" s="19" t="s">
        <v>582</v>
      </c>
      <c r="E51" s="20"/>
      <c r="F51" s="20"/>
      <c r="G51" s="60">
        <v>6353</v>
      </c>
      <c r="H51" s="60"/>
      <c r="I51" s="24" t="s">
        <v>543</v>
      </c>
      <c r="J51" s="108" t="s">
        <v>586</v>
      </c>
    </row>
    <row r="52" spans="1:10" customFormat="1" ht="27" x14ac:dyDescent="0.3">
      <c r="A52" s="3">
        <v>8</v>
      </c>
      <c r="B52" s="8">
        <v>45260</v>
      </c>
      <c r="C52" s="324"/>
      <c r="D52" s="19" t="s">
        <v>584</v>
      </c>
      <c r="E52" s="20"/>
      <c r="F52" s="20"/>
      <c r="G52" s="60">
        <v>7250</v>
      </c>
      <c r="H52" s="60"/>
      <c r="I52" s="24" t="s">
        <v>543</v>
      </c>
      <c r="J52" s="108" t="s">
        <v>589</v>
      </c>
    </row>
    <row r="53" spans="1:10" customFormat="1" ht="27" x14ac:dyDescent="0.3">
      <c r="A53" s="3">
        <v>9</v>
      </c>
      <c r="B53" s="8">
        <v>45266</v>
      </c>
      <c r="C53" s="325"/>
      <c r="D53" s="19" t="s">
        <v>628</v>
      </c>
      <c r="E53" s="20"/>
      <c r="F53" s="20"/>
      <c r="G53" s="60">
        <v>5175</v>
      </c>
      <c r="H53" s="60"/>
      <c r="I53" s="24" t="s">
        <v>543</v>
      </c>
      <c r="J53" s="108" t="s">
        <v>629</v>
      </c>
    </row>
    <row r="54" spans="1:10" customFormat="1" ht="27" customHeight="1" x14ac:dyDescent="0.3">
      <c r="A54" s="29">
        <v>10</v>
      </c>
      <c r="B54" s="8">
        <v>45763</v>
      </c>
      <c r="C54" s="16"/>
      <c r="D54" s="19" t="s">
        <v>747</v>
      </c>
      <c r="E54" s="20"/>
      <c r="F54" s="20"/>
      <c r="G54" s="60">
        <v>1539</v>
      </c>
      <c r="H54" s="60"/>
      <c r="I54" s="24"/>
      <c r="J54" s="56" t="s">
        <v>751</v>
      </c>
    </row>
    <row r="55" spans="1:10" s="87" customFormat="1" ht="24.95" customHeight="1" x14ac:dyDescent="0.3">
      <c r="A55" s="99"/>
      <c r="B55" s="81"/>
      <c r="C55" s="82"/>
      <c r="D55" s="84"/>
      <c r="E55" s="82"/>
      <c r="F55" s="82"/>
      <c r="G55" s="83">
        <f>SUM(G45:G54)</f>
        <v>75688</v>
      </c>
      <c r="H55" s="83">
        <f>SUM(H45:H53)</f>
        <v>0</v>
      </c>
      <c r="I55" s="85"/>
      <c r="J55" s="112"/>
    </row>
    <row r="56" spans="1:10" customFormat="1" ht="27" x14ac:dyDescent="0.3">
      <c r="A56" s="3">
        <v>1</v>
      </c>
      <c r="B56" s="8">
        <v>45253</v>
      </c>
      <c r="C56" s="20" t="s">
        <v>578</v>
      </c>
      <c r="D56" s="19" t="s">
        <v>577</v>
      </c>
      <c r="E56" s="20"/>
      <c r="F56" s="20"/>
      <c r="G56" s="60">
        <v>14302</v>
      </c>
      <c r="H56" s="60"/>
      <c r="I56" s="24" t="s">
        <v>579</v>
      </c>
      <c r="J56" s="109" t="s">
        <v>580</v>
      </c>
    </row>
    <row r="57" spans="1:10" s="87" customFormat="1" ht="24.95" customHeight="1" x14ac:dyDescent="0.3">
      <c r="A57" s="80"/>
      <c r="B57" s="81"/>
      <c r="C57" s="82"/>
      <c r="D57" s="84"/>
      <c r="E57" s="82"/>
      <c r="F57" s="82"/>
      <c r="G57" s="83">
        <f>SUM(G56)</f>
        <v>14302</v>
      </c>
      <c r="H57" s="83">
        <f>SUM(H56)</f>
        <v>0</v>
      </c>
      <c r="I57" s="85"/>
      <c r="J57" s="112"/>
    </row>
    <row r="58" spans="1:10" customFormat="1" ht="27" x14ac:dyDescent="0.3">
      <c r="A58" s="3">
        <v>1</v>
      </c>
      <c r="B58" s="8">
        <v>45259</v>
      </c>
      <c r="C58" s="20" t="s">
        <v>128</v>
      </c>
      <c r="D58" s="19" t="s">
        <v>583</v>
      </c>
      <c r="E58" s="20"/>
      <c r="F58" s="20"/>
      <c r="G58" s="60">
        <v>3194</v>
      </c>
      <c r="H58" s="60"/>
      <c r="I58" s="24" t="s">
        <v>587</v>
      </c>
      <c r="J58" s="109" t="s">
        <v>588</v>
      </c>
    </row>
    <row r="59" spans="1:10" s="87" customFormat="1" ht="24.95" customHeight="1" thickBot="1" x14ac:dyDescent="0.35">
      <c r="A59" s="110"/>
      <c r="B59" s="89"/>
      <c r="C59" s="90"/>
      <c r="D59" s="92"/>
      <c r="E59" s="90"/>
      <c r="F59" s="90"/>
      <c r="G59" s="91">
        <f>SUM(G58)</f>
        <v>3194</v>
      </c>
      <c r="H59" s="91">
        <f>SUM(H58)</f>
        <v>0</v>
      </c>
      <c r="I59" s="93"/>
      <c r="J59" s="111"/>
    </row>
    <row r="60" spans="1:10" customFormat="1" ht="27" x14ac:dyDescent="0.3">
      <c r="A60" s="29">
        <v>1</v>
      </c>
      <c r="B60" s="30">
        <v>44978</v>
      </c>
      <c r="C60" s="336" t="s">
        <v>11</v>
      </c>
      <c r="D60" s="31" t="s">
        <v>275</v>
      </c>
      <c r="E60" s="32"/>
      <c r="F60" s="32"/>
      <c r="G60" s="190">
        <v>1544</v>
      </c>
      <c r="H60" s="190"/>
      <c r="I60" s="191" t="s">
        <v>291</v>
      </c>
      <c r="J60" s="33" t="s">
        <v>340</v>
      </c>
    </row>
    <row r="61" spans="1:10" customFormat="1" ht="27" x14ac:dyDescent="0.3">
      <c r="A61" s="3">
        <v>2</v>
      </c>
      <c r="B61" s="8">
        <v>44985</v>
      </c>
      <c r="C61" s="324"/>
      <c r="D61" s="19" t="s">
        <v>277</v>
      </c>
      <c r="E61" s="20"/>
      <c r="F61" s="20"/>
      <c r="G61" s="60">
        <v>720</v>
      </c>
      <c r="H61" s="60"/>
      <c r="I61" s="24" t="s">
        <v>291</v>
      </c>
      <c r="J61" s="22" t="s">
        <v>292</v>
      </c>
    </row>
    <row r="62" spans="1:10" customFormat="1" ht="27" x14ac:dyDescent="0.3">
      <c r="A62" s="3">
        <v>3</v>
      </c>
      <c r="B62" s="8">
        <v>44988</v>
      </c>
      <c r="C62" s="324"/>
      <c r="D62" s="19" t="s">
        <v>348</v>
      </c>
      <c r="E62" s="20"/>
      <c r="F62" s="20"/>
      <c r="G62" s="60">
        <v>544</v>
      </c>
      <c r="H62" s="60"/>
      <c r="I62" s="24" t="s">
        <v>291</v>
      </c>
      <c r="J62" s="22" t="s">
        <v>350</v>
      </c>
    </row>
    <row r="63" spans="1:10" customFormat="1" ht="27" x14ac:dyDescent="0.3">
      <c r="A63" s="3">
        <v>4</v>
      </c>
      <c r="B63" s="8">
        <v>45244</v>
      </c>
      <c r="C63" s="325"/>
      <c r="D63" s="19" t="s">
        <v>545</v>
      </c>
      <c r="E63" s="20"/>
      <c r="F63" s="20"/>
      <c r="G63" s="60">
        <v>872</v>
      </c>
      <c r="H63" s="60"/>
      <c r="I63" s="24" t="s">
        <v>546</v>
      </c>
      <c r="J63" s="108" t="s">
        <v>547</v>
      </c>
    </row>
    <row r="64" spans="1:10" s="87" customFormat="1" ht="24.95" customHeight="1" x14ac:dyDescent="0.3">
      <c r="A64" s="80"/>
      <c r="B64" s="81"/>
      <c r="C64" s="82"/>
      <c r="D64" s="84"/>
      <c r="E64" s="82"/>
      <c r="F64" s="82"/>
      <c r="G64" s="83">
        <f>SUM(G60:G63)</f>
        <v>3680</v>
      </c>
      <c r="H64" s="83">
        <f>SUM(H60:H63)</f>
        <v>0</v>
      </c>
      <c r="I64" s="85"/>
      <c r="J64" s="102"/>
    </row>
    <row r="65" spans="1:10" customFormat="1" ht="28.5" customHeight="1" x14ac:dyDescent="0.3">
      <c r="A65" s="3">
        <v>1</v>
      </c>
      <c r="B65" s="8">
        <v>45008</v>
      </c>
      <c r="C65" s="323" t="s">
        <v>181</v>
      </c>
      <c r="D65" s="19" t="s">
        <v>382</v>
      </c>
      <c r="E65" s="20"/>
      <c r="F65" s="20"/>
      <c r="G65" s="60">
        <v>1895</v>
      </c>
      <c r="H65" s="60"/>
      <c r="I65" s="24" t="s">
        <v>289</v>
      </c>
      <c r="J65" s="22" t="s">
        <v>390</v>
      </c>
    </row>
    <row r="66" spans="1:10" customFormat="1" ht="28.5" customHeight="1" x14ac:dyDescent="0.3">
      <c r="A66" s="3">
        <v>2</v>
      </c>
      <c r="B66" s="8">
        <v>44981</v>
      </c>
      <c r="C66" s="324"/>
      <c r="D66" s="19" t="s">
        <v>287</v>
      </c>
      <c r="E66" s="20"/>
      <c r="F66" s="20"/>
      <c r="G66" s="60">
        <v>516</v>
      </c>
      <c r="H66" s="60"/>
      <c r="I66" s="24" t="s">
        <v>289</v>
      </c>
      <c r="J66" s="22" t="s">
        <v>290</v>
      </c>
    </row>
    <row r="67" spans="1:10" customFormat="1" ht="28.5" customHeight="1" x14ac:dyDescent="0.3">
      <c r="A67" s="29">
        <v>3</v>
      </c>
      <c r="B67" s="8">
        <v>45728</v>
      </c>
      <c r="C67" s="325"/>
      <c r="D67" s="31" t="s">
        <v>728</v>
      </c>
      <c r="E67" s="32"/>
      <c r="F67" s="32"/>
      <c r="G67" s="60">
        <v>2437</v>
      </c>
      <c r="H67" s="190"/>
      <c r="I67" s="24" t="s">
        <v>735</v>
      </c>
      <c r="J67" s="55" t="s">
        <v>736</v>
      </c>
    </row>
    <row r="68" spans="1:10" customFormat="1" ht="28.5" customHeight="1" x14ac:dyDescent="0.3">
      <c r="A68" s="29">
        <v>4</v>
      </c>
      <c r="B68" s="30">
        <v>45791</v>
      </c>
      <c r="C68" s="65"/>
      <c r="D68" s="19" t="s">
        <v>754</v>
      </c>
      <c r="E68" s="20" t="s">
        <v>765</v>
      </c>
      <c r="F68" s="20"/>
      <c r="G68" s="60">
        <v>2016</v>
      </c>
      <c r="H68" s="190"/>
      <c r="I68" s="24" t="s">
        <v>289</v>
      </c>
      <c r="J68" s="55" t="s">
        <v>766</v>
      </c>
    </row>
    <row r="69" spans="1:10" s="87" customFormat="1" ht="24.95" customHeight="1" thickBot="1" x14ac:dyDescent="0.35">
      <c r="A69" s="88"/>
      <c r="B69" s="89"/>
      <c r="C69" s="90"/>
      <c r="D69" s="92"/>
      <c r="E69" s="90"/>
      <c r="F69" s="90"/>
      <c r="G69" s="91">
        <f>SUM(G65:G68)</f>
        <v>6864</v>
      </c>
      <c r="H69" s="91">
        <f>SUM(H65:H66)</f>
        <v>0</v>
      </c>
      <c r="I69" s="93"/>
      <c r="J69" s="94"/>
    </row>
    <row r="70" spans="1:10" customFormat="1" ht="24" x14ac:dyDescent="0.3">
      <c r="A70" s="74">
        <v>1</v>
      </c>
      <c r="B70" s="75">
        <v>45104</v>
      </c>
      <c r="C70" s="105" t="s">
        <v>451</v>
      </c>
      <c r="D70" s="77" t="s">
        <v>437</v>
      </c>
      <c r="E70" s="105"/>
      <c r="F70" s="105"/>
      <c r="G70" s="76">
        <v>3650</v>
      </c>
      <c r="H70" s="76"/>
      <c r="I70" s="78" t="s">
        <v>450</v>
      </c>
      <c r="J70" s="114" t="s">
        <v>452</v>
      </c>
    </row>
    <row r="71" spans="1:10" s="87" customFormat="1" ht="24.95" customHeight="1" x14ac:dyDescent="0.3">
      <c r="A71" s="80"/>
      <c r="B71" s="81"/>
      <c r="C71" s="82"/>
      <c r="D71" s="84"/>
      <c r="E71" s="82"/>
      <c r="F71" s="82"/>
      <c r="G71" s="83">
        <f>SUM(G70)</f>
        <v>3650</v>
      </c>
      <c r="H71" s="83">
        <f>SUM(H70)</f>
        <v>0</v>
      </c>
      <c r="I71" s="85"/>
      <c r="J71" s="115"/>
    </row>
    <row r="72" spans="1:10" customFormat="1" ht="27" x14ac:dyDescent="0.3">
      <c r="A72" s="4">
        <v>1</v>
      </c>
      <c r="B72" s="8">
        <v>45350</v>
      </c>
      <c r="C72" s="20" t="s">
        <v>419</v>
      </c>
      <c r="D72" s="19" t="s">
        <v>660</v>
      </c>
      <c r="E72" s="20"/>
      <c r="F72" s="20"/>
      <c r="G72" s="60">
        <v>792</v>
      </c>
      <c r="H72" s="60">
        <v>792</v>
      </c>
      <c r="I72" s="24" t="s">
        <v>420</v>
      </c>
      <c r="J72" s="55" t="s">
        <v>661</v>
      </c>
    </row>
    <row r="73" spans="1:10" s="87" customFormat="1" ht="24.95" customHeight="1" thickBot="1" x14ac:dyDescent="0.35">
      <c r="A73" s="88"/>
      <c r="B73" s="89"/>
      <c r="C73" s="90"/>
      <c r="D73" s="92"/>
      <c r="E73" s="90"/>
      <c r="F73" s="90"/>
      <c r="G73" s="91">
        <f>SUM(G72)</f>
        <v>792</v>
      </c>
      <c r="H73" s="91">
        <f>SUM(H72)</f>
        <v>792</v>
      </c>
      <c r="I73" s="93"/>
      <c r="J73" s="116"/>
    </row>
    <row r="74" spans="1:10" customFormat="1" ht="24" x14ac:dyDescent="0.3">
      <c r="A74" s="3">
        <v>1</v>
      </c>
      <c r="B74" s="8">
        <v>45091</v>
      </c>
      <c r="C74" s="20" t="s">
        <v>438</v>
      </c>
      <c r="D74" s="19" t="s">
        <v>437</v>
      </c>
      <c r="E74" s="20"/>
      <c r="F74" s="20"/>
      <c r="G74" s="60">
        <v>1958</v>
      </c>
      <c r="H74" s="60"/>
      <c r="I74" s="24" t="s">
        <v>439</v>
      </c>
      <c r="J74" s="56" t="s">
        <v>440</v>
      </c>
    </row>
    <row r="75" spans="1:10" s="87" customFormat="1" ht="24.95" customHeight="1" thickBot="1" x14ac:dyDescent="0.35">
      <c r="A75" s="88"/>
      <c r="B75" s="89"/>
      <c r="C75" s="90"/>
      <c r="D75" s="92"/>
      <c r="E75" s="90"/>
      <c r="F75" s="90"/>
      <c r="G75" s="91">
        <f>SUM(G74)</f>
        <v>1958</v>
      </c>
      <c r="H75" s="91">
        <f>SUM(H74)</f>
        <v>0</v>
      </c>
      <c r="I75" s="93"/>
      <c r="J75" s="116"/>
    </row>
    <row r="76" spans="1:10" customFormat="1" ht="27" x14ac:dyDescent="0.3">
      <c r="A76" s="3">
        <v>1</v>
      </c>
      <c r="B76" s="8">
        <v>45763</v>
      </c>
      <c r="C76" s="20" t="s">
        <v>750</v>
      </c>
      <c r="D76" s="19" t="s">
        <v>747</v>
      </c>
      <c r="E76" s="20"/>
      <c r="F76" s="20"/>
      <c r="G76" s="60">
        <v>1539</v>
      </c>
      <c r="H76" s="60"/>
      <c r="I76" s="24"/>
      <c r="J76" s="56" t="s">
        <v>751</v>
      </c>
    </row>
    <row r="77" spans="1:10" s="87" customFormat="1" ht="24.95" customHeight="1" thickBot="1" x14ac:dyDescent="0.35">
      <c r="A77" s="88"/>
      <c r="B77" s="89"/>
      <c r="C77" s="90"/>
      <c r="D77" s="92"/>
      <c r="E77" s="90"/>
      <c r="F77" s="90"/>
      <c r="G77" s="91">
        <f>SUM(G76)</f>
        <v>1539</v>
      </c>
      <c r="H77" s="91">
        <f>SUM(H76)</f>
        <v>0</v>
      </c>
      <c r="I77" s="93"/>
      <c r="J77" s="116"/>
    </row>
    <row r="78" spans="1:10" customFormat="1" ht="22.5" x14ac:dyDescent="0.3">
      <c r="A78" s="62">
        <v>1</v>
      </c>
      <c r="B78" s="30">
        <v>45107</v>
      </c>
      <c r="C78" s="20" t="s">
        <v>71</v>
      </c>
      <c r="D78" s="31" t="s">
        <v>362</v>
      </c>
      <c r="E78" s="32"/>
      <c r="F78" s="32"/>
      <c r="G78" s="60">
        <v>2576</v>
      </c>
      <c r="H78" s="60"/>
      <c r="I78" s="24"/>
      <c r="J78" s="73" t="s">
        <v>469</v>
      </c>
    </row>
    <row r="79" spans="1:10" s="87" customFormat="1" ht="24.95" customHeight="1" x14ac:dyDescent="0.3">
      <c r="A79" s="95"/>
      <c r="B79" s="96"/>
      <c r="C79" s="82"/>
      <c r="D79" s="113"/>
      <c r="E79" s="97"/>
      <c r="F79" s="97"/>
      <c r="G79" s="83">
        <f>SUM(G78)</f>
        <v>2576</v>
      </c>
      <c r="H79" s="83">
        <f>SUM(H78)</f>
        <v>0</v>
      </c>
      <c r="I79" s="85"/>
      <c r="J79" s="117"/>
    </row>
    <row r="80" spans="1:10" customFormat="1" ht="27" customHeight="1" x14ac:dyDescent="0.3">
      <c r="A80" s="4">
        <v>1</v>
      </c>
      <c r="B80" s="8">
        <v>45205</v>
      </c>
      <c r="C80" s="323" t="s">
        <v>633</v>
      </c>
      <c r="D80" s="19" t="s">
        <v>526</v>
      </c>
      <c r="E80" s="20"/>
      <c r="F80" s="20"/>
      <c r="G80" s="60">
        <v>3451</v>
      </c>
      <c r="H80" s="60"/>
      <c r="I80" s="24" t="s">
        <v>530</v>
      </c>
      <c r="J80" s="20" t="s">
        <v>531</v>
      </c>
    </row>
    <row r="81" spans="1:10" customFormat="1" ht="27" customHeight="1" x14ac:dyDescent="0.3">
      <c r="A81" s="4">
        <v>2</v>
      </c>
      <c r="B81" s="8">
        <v>45785</v>
      </c>
      <c r="C81" s="325"/>
      <c r="D81" s="19" t="s">
        <v>753</v>
      </c>
      <c r="E81" s="20" t="s">
        <v>763</v>
      </c>
      <c r="F81" s="20"/>
      <c r="G81" s="60">
        <v>924</v>
      </c>
      <c r="H81" s="60"/>
      <c r="I81" s="24" t="s">
        <v>530</v>
      </c>
      <c r="J81" s="55" t="s">
        <v>764</v>
      </c>
    </row>
    <row r="82" spans="1:10" s="87" customFormat="1" ht="24.95" customHeight="1" x14ac:dyDescent="0.3">
      <c r="A82" s="98"/>
      <c r="B82" s="81"/>
      <c r="C82" s="82"/>
      <c r="D82" s="84"/>
      <c r="E82" s="82"/>
      <c r="F82" s="82"/>
      <c r="G82" s="83">
        <f>SUM(G80:G81)</f>
        <v>4375</v>
      </c>
      <c r="H82" s="83">
        <f>SUM(H80)</f>
        <v>0</v>
      </c>
      <c r="I82" s="85"/>
      <c r="J82" s="82"/>
    </row>
    <row r="83" spans="1:10" customFormat="1" ht="27" x14ac:dyDescent="0.3">
      <c r="A83" s="4">
        <v>1</v>
      </c>
      <c r="B83" s="8">
        <v>44958</v>
      </c>
      <c r="C83" s="20" t="s">
        <v>258</v>
      </c>
      <c r="D83" s="35" t="s">
        <v>256</v>
      </c>
      <c r="E83" s="20"/>
      <c r="F83" s="20"/>
      <c r="G83" s="60">
        <v>891</v>
      </c>
      <c r="H83" s="60"/>
      <c r="I83" s="24" t="s">
        <v>260</v>
      </c>
      <c r="J83" s="20" t="s">
        <v>262</v>
      </c>
    </row>
    <row r="84" spans="1:10" s="87" customFormat="1" ht="24.95" customHeight="1" x14ac:dyDescent="0.3">
      <c r="A84" s="98"/>
      <c r="B84" s="81"/>
      <c r="C84" s="82"/>
      <c r="D84" s="118"/>
      <c r="E84" s="82"/>
      <c r="F84" s="82"/>
      <c r="G84" s="83">
        <f>SUM(G83)</f>
        <v>891</v>
      </c>
      <c r="H84" s="83">
        <f>SUM(H83)</f>
        <v>0</v>
      </c>
      <c r="I84" s="85"/>
      <c r="J84" s="82"/>
    </row>
    <row r="85" spans="1:10" customFormat="1" ht="27" x14ac:dyDescent="0.3">
      <c r="A85" s="4">
        <v>1</v>
      </c>
      <c r="B85" s="8">
        <v>44958</v>
      </c>
      <c r="C85" s="20" t="s">
        <v>259</v>
      </c>
      <c r="D85" s="35" t="s">
        <v>256</v>
      </c>
      <c r="E85" s="20"/>
      <c r="F85" s="20"/>
      <c r="G85" s="60">
        <v>891</v>
      </c>
      <c r="H85" s="60"/>
      <c r="I85" s="24" t="s">
        <v>261</v>
      </c>
      <c r="J85" s="20" t="s">
        <v>262</v>
      </c>
    </row>
    <row r="86" spans="1:10" s="87" customFormat="1" ht="24.95" customHeight="1" x14ac:dyDescent="0.3">
      <c r="A86" s="98"/>
      <c r="B86" s="81"/>
      <c r="C86" s="82"/>
      <c r="D86" s="118"/>
      <c r="E86" s="82"/>
      <c r="F86" s="82"/>
      <c r="G86" s="83">
        <f>SUM(G85)</f>
        <v>891</v>
      </c>
      <c r="H86" s="83">
        <f>SUM(H85)</f>
        <v>0</v>
      </c>
      <c r="I86" s="85"/>
      <c r="J86" s="82"/>
    </row>
    <row r="87" spans="1:10" ht="30" customHeight="1" x14ac:dyDescent="0.3">
      <c r="A87" s="4">
        <v>1</v>
      </c>
      <c r="B87" s="8">
        <v>45358</v>
      </c>
      <c r="C87" s="20" t="s">
        <v>662</v>
      </c>
      <c r="D87" s="19" t="s">
        <v>644</v>
      </c>
      <c r="E87" s="20" t="s">
        <v>645</v>
      </c>
      <c r="F87" s="20"/>
      <c r="G87" s="60">
        <v>904</v>
      </c>
      <c r="H87" s="60">
        <v>0</v>
      </c>
      <c r="I87" s="24" t="s">
        <v>138</v>
      </c>
      <c r="J87" s="46" t="s">
        <v>663</v>
      </c>
    </row>
    <row r="88" spans="1:10" s="87" customFormat="1" ht="24.95" customHeight="1" x14ac:dyDescent="0.3">
      <c r="A88" s="98"/>
      <c r="B88" s="81"/>
      <c r="C88" s="82"/>
      <c r="D88" s="118"/>
      <c r="E88" s="82"/>
      <c r="F88" s="82"/>
      <c r="G88" s="83">
        <f>SUM(G87)</f>
        <v>904</v>
      </c>
      <c r="H88" s="83">
        <f>SUM(H87)</f>
        <v>0</v>
      </c>
      <c r="I88" s="85"/>
      <c r="J88" s="82"/>
    </row>
  </sheetData>
  <mergeCells count="18">
    <mergeCell ref="C3:C15"/>
    <mergeCell ref="C18:C24"/>
    <mergeCell ref="C60:C63"/>
    <mergeCell ref="C27:C28"/>
    <mergeCell ref="J1:J2"/>
    <mergeCell ref="A1:A2"/>
    <mergeCell ref="B1:B2"/>
    <mergeCell ref="C1:C2"/>
    <mergeCell ref="D1:D2"/>
    <mergeCell ref="E1:F1"/>
    <mergeCell ref="G1:G2"/>
    <mergeCell ref="H1:H2"/>
    <mergeCell ref="I1:I2"/>
    <mergeCell ref="C45:C53"/>
    <mergeCell ref="C34:C35"/>
    <mergeCell ref="C30:C31"/>
    <mergeCell ref="C80:C81"/>
    <mergeCell ref="C65:C67"/>
  </mergeCells>
  <phoneticPr fontId="1" type="noConversion"/>
  <conditionalFormatting sqref="A3:A57">
    <cfRule type="containsText" dxfId="27" priority="17" operator="containsText" text="원도급">
      <formula>NOT(ISERROR(SEARCH("원도급",A3)))</formula>
    </cfRule>
    <cfRule type="containsText" dxfId="26" priority="18" operator="containsText" text="하도급">
      <formula>NOT(ISERROR(SEARCH("하도급",A3)))</formula>
    </cfRule>
  </conditionalFormatting>
  <conditionalFormatting sqref="A60:A88">
    <cfRule type="containsText" dxfId="25" priority="22" operator="containsText" text="원도급">
      <formula>NOT(ISERROR(SEARCH("원도급",A60)))</formula>
    </cfRule>
    <cfRule type="containsText" dxfId="24" priority="23" operator="containsText" text="하도급">
      <formula>NOT(ISERROR(SEARCH("하도급",A60)))</formula>
    </cfRule>
  </conditionalFormatting>
  <conditionalFormatting sqref="G11:G16">
    <cfRule type="cellIs" dxfId="23" priority="3" operator="greaterThanOrEqual">
      <formula>500</formula>
    </cfRule>
  </conditionalFormatting>
  <conditionalFormatting sqref="G23:G25">
    <cfRule type="cellIs" dxfId="22" priority="2" operator="greaterThanOrEqual">
      <formula>500</formula>
    </cfRule>
  </conditionalFormatting>
  <conditionalFormatting sqref="G30:G32">
    <cfRule type="cellIs" dxfId="21" priority="1" operator="greaterThanOrEqual">
      <formula>500</formula>
    </cfRule>
  </conditionalFormatting>
  <conditionalFormatting sqref="G54">
    <cfRule type="cellIs" dxfId="20" priority="7" operator="greaterThanOrEqual">
      <formula>500</formula>
    </cfRule>
  </conditionalFormatting>
  <conditionalFormatting sqref="G67:G68">
    <cfRule type="cellIs" dxfId="19" priority="4" operator="greaterThanOrEqual">
      <formula>500</formula>
    </cfRule>
  </conditionalFormatting>
  <conditionalFormatting sqref="G76">
    <cfRule type="cellIs" dxfId="18" priority="6" operator="greaterThanOrEqual">
      <formula>500</formula>
    </cfRule>
  </conditionalFormatting>
  <conditionalFormatting sqref="G81">
    <cfRule type="cellIs" dxfId="17" priority="5" operator="greaterThanOrEqual">
      <formula>500</formula>
    </cfRule>
  </conditionalFormatting>
  <pageMargins left="0.70866141732283472" right="0.70866141732283472" top="0.74803149606299213" bottom="0.55118110236220474" header="0.31496062992125984" footer="0.11811023622047245"/>
  <pageSetup paperSize="8" scale="7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4"/>
  <sheetViews>
    <sheetView view="pageBreakPreview" zoomScale="115" zoomScaleNormal="70" zoomScaleSheetLayoutView="115" zoomScalePageLayoutView="40" workbookViewId="0">
      <pane ySplit="1" topLeftCell="A11" activePane="bottomLeft" state="frozen"/>
      <selection activeCell="M14" sqref="M14:O15"/>
      <selection pane="bottomLeft" activeCell="M14" sqref="M14:O15"/>
    </sheetView>
  </sheetViews>
  <sheetFormatPr defaultRowHeight="30" customHeight="1" x14ac:dyDescent="0.3"/>
  <cols>
    <col min="1" max="1" width="4.75" style="26" bestFit="1" customWidth="1"/>
    <col min="2" max="2" width="8" style="71" bestFit="1" customWidth="1"/>
    <col min="3" max="3" width="15" style="27" bestFit="1" customWidth="1"/>
    <col min="4" max="4" width="61.75" style="25" bestFit="1" customWidth="1"/>
    <col min="5" max="6" width="10.5" style="25" hidden="1" customWidth="1"/>
    <col min="7" max="8" width="10.625" style="27" customWidth="1"/>
    <col min="9" max="9" width="13.375" style="188" customWidth="1"/>
    <col min="10" max="10" width="34.625" style="28" customWidth="1"/>
    <col min="11" max="11" width="17.5" style="26" customWidth="1"/>
    <col min="12" max="16384" width="9" style="5"/>
  </cols>
  <sheetData>
    <row r="1" spans="1:15" s="14" customFormat="1" ht="45.75" customHeight="1" thickBot="1" x14ac:dyDescent="0.35">
      <c r="A1" s="1" t="s">
        <v>3</v>
      </c>
      <c r="B1" s="6" t="s">
        <v>2</v>
      </c>
      <c r="C1" s="10" t="s">
        <v>0</v>
      </c>
      <c r="D1" s="10" t="s">
        <v>1</v>
      </c>
      <c r="E1" s="10"/>
      <c r="F1" s="10"/>
      <c r="G1" s="10" t="s">
        <v>647</v>
      </c>
      <c r="H1" s="10" t="s">
        <v>648</v>
      </c>
      <c r="I1" s="10" t="s">
        <v>657</v>
      </c>
      <c r="J1" s="12" t="s">
        <v>24</v>
      </c>
      <c r="K1" s="13" t="s">
        <v>206</v>
      </c>
    </row>
    <row r="2" spans="1:15" customFormat="1" ht="30" customHeight="1" x14ac:dyDescent="0.3">
      <c r="A2" s="141">
        <v>1</v>
      </c>
      <c r="B2" s="142">
        <v>44973</v>
      </c>
      <c r="C2" s="339" t="s">
        <v>25</v>
      </c>
      <c r="D2" s="144" t="s">
        <v>275</v>
      </c>
      <c r="E2" s="144"/>
      <c r="F2" s="144"/>
      <c r="G2" s="145">
        <v>1806</v>
      </c>
      <c r="H2" s="146">
        <v>1228.0800000000002</v>
      </c>
      <c r="I2" s="147"/>
      <c r="J2" s="148" t="s">
        <v>272</v>
      </c>
      <c r="K2" s="149" t="s">
        <v>274</v>
      </c>
      <c r="L2" s="150">
        <v>0.68</v>
      </c>
      <c r="M2" s="60">
        <v>1806</v>
      </c>
      <c r="N2" s="60">
        <v>1806</v>
      </c>
      <c r="O2">
        <f>N2*L2</f>
        <v>1228.0800000000002</v>
      </c>
    </row>
    <row r="3" spans="1:15" customFormat="1" ht="30" customHeight="1" x14ac:dyDescent="0.3">
      <c r="A3" s="151">
        <v>2</v>
      </c>
      <c r="B3" s="152">
        <v>44993</v>
      </c>
      <c r="C3" s="341"/>
      <c r="D3" s="153" t="s">
        <v>287</v>
      </c>
      <c r="E3" s="153"/>
      <c r="F3" s="153"/>
      <c r="G3" s="154">
        <v>985</v>
      </c>
      <c r="H3" s="155">
        <v>985</v>
      </c>
      <c r="I3" s="156"/>
      <c r="J3" s="157" t="s">
        <v>272</v>
      </c>
      <c r="K3" s="158" t="s">
        <v>356</v>
      </c>
      <c r="L3" s="150"/>
      <c r="M3" s="59">
        <v>985</v>
      </c>
      <c r="N3" s="59">
        <v>985</v>
      </c>
      <c r="O3" s="59">
        <v>985</v>
      </c>
    </row>
    <row r="4" spans="1:15" customFormat="1" ht="30" customHeight="1" x14ac:dyDescent="0.3">
      <c r="A4" s="151">
        <v>3</v>
      </c>
      <c r="B4" s="152">
        <v>45006</v>
      </c>
      <c r="C4" s="341"/>
      <c r="D4" s="153" t="s">
        <v>382</v>
      </c>
      <c r="E4" s="153"/>
      <c r="F4" s="153"/>
      <c r="G4" s="154">
        <v>1339</v>
      </c>
      <c r="H4" s="159">
        <v>1031.03</v>
      </c>
      <c r="I4" s="160"/>
      <c r="J4" s="157" t="s">
        <v>272</v>
      </c>
      <c r="K4" s="158" t="s">
        <v>383</v>
      </c>
      <c r="L4" s="150">
        <v>0.77</v>
      </c>
      <c r="M4" s="60">
        <v>1338</v>
      </c>
      <c r="N4">
        <v>1339</v>
      </c>
      <c r="O4">
        <f>N4*L4</f>
        <v>1031.03</v>
      </c>
    </row>
    <row r="5" spans="1:15" customFormat="1" ht="30" customHeight="1" thickBot="1" x14ac:dyDescent="0.35">
      <c r="A5" s="151">
        <v>4</v>
      </c>
      <c r="B5" s="152">
        <v>45029</v>
      </c>
      <c r="C5" s="341"/>
      <c r="D5" s="153" t="s">
        <v>391</v>
      </c>
      <c r="E5" s="153"/>
      <c r="F5" s="153"/>
      <c r="G5" s="154">
        <v>1314</v>
      </c>
      <c r="H5" s="155">
        <v>900</v>
      </c>
      <c r="I5" s="156"/>
      <c r="J5" s="157" t="s">
        <v>394</v>
      </c>
      <c r="K5" s="158" t="s">
        <v>396</v>
      </c>
      <c r="L5" s="150"/>
      <c r="M5" s="59"/>
    </row>
    <row r="6" spans="1:15" customFormat="1" ht="30" customHeight="1" x14ac:dyDescent="0.3">
      <c r="A6" s="151">
        <v>5</v>
      </c>
      <c r="B6" s="152">
        <v>45133</v>
      </c>
      <c r="C6" s="341"/>
      <c r="D6" s="153" t="s">
        <v>483</v>
      </c>
      <c r="E6" s="153"/>
      <c r="F6" s="153"/>
      <c r="G6" s="154">
        <v>505</v>
      </c>
      <c r="H6" s="155">
        <v>505</v>
      </c>
      <c r="I6" s="156"/>
      <c r="J6" s="157" t="s">
        <v>272</v>
      </c>
      <c r="K6" s="161" t="s">
        <v>487</v>
      </c>
      <c r="M6" s="76">
        <v>505</v>
      </c>
      <c r="N6" s="76">
        <v>505</v>
      </c>
      <c r="O6" s="76">
        <v>505</v>
      </c>
    </row>
    <row r="7" spans="1:15" customFormat="1" ht="30" customHeight="1" x14ac:dyDescent="0.3">
      <c r="A7" s="151">
        <v>6</v>
      </c>
      <c r="B7" s="152">
        <v>45139</v>
      </c>
      <c r="C7" s="341"/>
      <c r="D7" s="153" t="s">
        <v>488</v>
      </c>
      <c r="E7" s="153"/>
      <c r="F7" s="153"/>
      <c r="G7" s="154">
        <v>1949</v>
      </c>
      <c r="H7" s="159">
        <v>1032.97</v>
      </c>
      <c r="I7" s="160"/>
      <c r="J7" s="157" t="s">
        <v>272</v>
      </c>
      <c r="K7" s="161" t="s">
        <v>489</v>
      </c>
      <c r="L7" s="150"/>
      <c r="M7" s="60"/>
    </row>
    <row r="8" spans="1:15" customFormat="1" ht="30" customHeight="1" x14ac:dyDescent="0.3">
      <c r="A8" s="151">
        <v>7</v>
      </c>
      <c r="B8" s="152">
        <v>45188</v>
      </c>
      <c r="C8" s="341"/>
      <c r="D8" s="153" t="s">
        <v>522</v>
      </c>
      <c r="E8" s="153"/>
      <c r="F8" s="153"/>
      <c r="G8" s="154">
        <v>659</v>
      </c>
      <c r="H8" s="155">
        <v>659</v>
      </c>
      <c r="I8" s="156"/>
      <c r="J8" s="157" t="s">
        <v>272</v>
      </c>
      <c r="K8" s="161" t="s">
        <v>523</v>
      </c>
      <c r="L8" s="150"/>
      <c r="M8" s="60"/>
    </row>
    <row r="9" spans="1:15" customFormat="1" ht="30" customHeight="1" x14ac:dyDescent="0.3">
      <c r="A9" s="151">
        <v>8</v>
      </c>
      <c r="B9" s="152">
        <v>45271</v>
      </c>
      <c r="C9" s="341"/>
      <c r="D9" s="153" t="s">
        <v>630</v>
      </c>
      <c r="E9" s="153"/>
      <c r="F9" s="153"/>
      <c r="G9" s="154">
        <v>826</v>
      </c>
      <c r="H9" s="155">
        <v>826</v>
      </c>
      <c r="I9" s="156"/>
      <c r="J9" s="157" t="s">
        <v>272</v>
      </c>
      <c r="K9" s="162" t="s">
        <v>632</v>
      </c>
      <c r="L9" s="150"/>
      <c r="M9" s="60"/>
    </row>
    <row r="10" spans="1:15" customFormat="1" ht="30" customHeight="1" x14ac:dyDescent="0.3">
      <c r="A10" s="193">
        <v>9</v>
      </c>
      <c r="B10" s="194">
        <v>45422</v>
      </c>
      <c r="C10" s="341"/>
      <c r="D10" s="19" t="s">
        <v>666</v>
      </c>
      <c r="E10" s="19"/>
      <c r="F10" s="19"/>
      <c r="G10" s="60">
        <v>246</v>
      </c>
      <c r="H10" s="195">
        <v>246</v>
      </c>
      <c r="I10" s="196"/>
      <c r="J10" s="157" t="s">
        <v>272</v>
      </c>
      <c r="K10" s="55" t="s">
        <v>667</v>
      </c>
      <c r="L10" s="150"/>
      <c r="M10" s="197"/>
    </row>
    <row r="11" spans="1:15" ht="30" customHeight="1" x14ac:dyDescent="0.3">
      <c r="A11" s="4">
        <v>10</v>
      </c>
      <c r="B11" s="8">
        <v>45461</v>
      </c>
      <c r="C11" s="341"/>
      <c r="D11" s="19" t="s">
        <v>681</v>
      </c>
      <c r="E11" s="20" t="s">
        <v>23</v>
      </c>
      <c r="F11" s="20"/>
      <c r="G11" s="60">
        <v>291</v>
      </c>
      <c r="H11" s="60">
        <v>291</v>
      </c>
      <c r="I11" s="60"/>
      <c r="J11" s="24" t="s">
        <v>272</v>
      </c>
      <c r="K11" s="55" t="s">
        <v>682</v>
      </c>
    </row>
    <row r="12" spans="1:15" ht="30" customHeight="1" x14ac:dyDescent="0.3">
      <c r="A12" s="4">
        <v>11</v>
      </c>
      <c r="B12" s="8">
        <v>45464</v>
      </c>
      <c r="C12" s="341"/>
      <c r="D12" s="19" t="s">
        <v>683</v>
      </c>
      <c r="E12" s="20" t="s">
        <v>23</v>
      </c>
      <c r="F12" s="20"/>
      <c r="G12" s="60">
        <v>872</v>
      </c>
      <c r="H12" s="60">
        <v>582</v>
      </c>
      <c r="I12" s="60"/>
      <c r="J12" s="24" t="s">
        <v>272</v>
      </c>
      <c r="K12" s="55" t="s">
        <v>684</v>
      </c>
    </row>
    <row r="13" spans="1:15" ht="30" customHeight="1" x14ac:dyDescent="0.3">
      <c r="A13" s="213">
        <v>12</v>
      </c>
      <c r="B13" s="8">
        <v>45492</v>
      </c>
      <c r="C13" s="340"/>
      <c r="D13" s="19" t="s">
        <v>673</v>
      </c>
      <c r="E13" s="32"/>
      <c r="F13" s="32"/>
      <c r="G13" s="201">
        <v>1828</v>
      </c>
      <c r="H13" s="60">
        <v>731</v>
      </c>
      <c r="I13" s="190"/>
      <c r="J13" s="24" t="s">
        <v>272</v>
      </c>
      <c r="K13" s="55" t="s">
        <v>691</v>
      </c>
    </row>
    <row r="14" spans="1:15" ht="30" customHeight="1" x14ac:dyDescent="0.3">
      <c r="A14" s="70">
        <v>11</v>
      </c>
      <c r="B14" s="8" t="s">
        <v>470</v>
      </c>
      <c r="C14" s="287"/>
      <c r="D14" s="19" t="s">
        <v>674</v>
      </c>
      <c r="E14" s="20"/>
      <c r="F14" s="20"/>
      <c r="G14" s="201">
        <v>1265</v>
      </c>
      <c r="H14" s="60">
        <v>1265</v>
      </c>
      <c r="I14" s="24"/>
      <c r="J14" s="24" t="s">
        <v>272</v>
      </c>
      <c r="K14" s="212" t="s">
        <v>470</v>
      </c>
    </row>
    <row r="15" spans="1:15" ht="30" customHeight="1" x14ac:dyDescent="0.3">
      <c r="A15" s="213">
        <v>12</v>
      </c>
      <c r="B15" s="30">
        <v>45587</v>
      </c>
      <c r="C15" s="287"/>
      <c r="D15" s="19" t="s">
        <v>722</v>
      </c>
      <c r="E15" s="20" t="s">
        <v>23</v>
      </c>
      <c r="F15" s="32"/>
      <c r="G15" s="60">
        <v>209</v>
      </c>
      <c r="H15" s="190">
        <v>209</v>
      </c>
      <c r="I15" s="191"/>
      <c r="J15" s="24" t="s">
        <v>272</v>
      </c>
      <c r="K15" s="55" t="s">
        <v>723</v>
      </c>
    </row>
    <row r="16" spans="1:15" s="87" customFormat="1" ht="30" customHeight="1" thickBot="1" x14ac:dyDescent="0.35">
      <c r="A16" s="88"/>
      <c r="B16" s="89"/>
      <c r="C16" s="90"/>
      <c r="D16" s="92"/>
      <c r="E16" s="92"/>
      <c r="F16" s="92"/>
      <c r="G16" s="163">
        <f>SUM(G2:G15)</f>
        <v>14094</v>
      </c>
      <c r="H16" s="203">
        <f>SUM(H2:H15)</f>
        <v>10491.08</v>
      </c>
      <c r="I16" s="165">
        <f>H16/H34</f>
        <v>0.61469971289623249</v>
      </c>
      <c r="J16" s="93"/>
      <c r="K16" s="116"/>
      <c r="O16" s="166">
        <f>SUM(O2:O9)</f>
        <v>3749.1099999999997</v>
      </c>
    </row>
    <row r="17" spans="1:15" customFormat="1" ht="30" customHeight="1" x14ac:dyDescent="0.3">
      <c r="A17" s="141">
        <v>1</v>
      </c>
      <c r="B17" s="142">
        <v>44973</v>
      </c>
      <c r="C17" s="339" t="s">
        <v>26</v>
      </c>
      <c r="D17" s="144" t="s">
        <v>275</v>
      </c>
      <c r="E17" s="144"/>
      <c r="F17" s="144"/>
      <c r="G17" s="145">
        <v>1806</v>
      </c>
      <c r="H17" s="167">
        <v>577.91999999999985</v>
      </c>
      <c r="I17" s="168"/>
      <c r="J17" s="148" t="s">
        <v>276</v>
      </c>
      <c r="K17" s="149" t="s">
        <v>274</v>
      </c>
      <c r="O17" s="169" t="e">
        <f>#REF!-O2</f>
        <v>#REF!</v>
      </c>
    </row>
    <row r="18" spans="1:15" customFormat="1" ht="30" customHeight="1" x14ac:dyDescent="0.3">
      <c r="A18" s="151">
        <v>2</v>
      </c>
      <c r="B18" s="152">
        <v>44980</v>
      </c>
      <c r="C18" s="341"/>
      <c r="D18" s="153" t="s">
        <v>277</v>
      </c>
      <c r="E18" s="153"/>
      <c r="F18" s="153"/>
      <c r="G18" s="154">
        <v>783</v>
      </c>
      <c r="H18" s="170">
        <v>783</v>
      </c>
      <c r="I18" s="171"/>
      <c r="J18" s="157" t="s">
        <v>276</v>
      </c>
      <c r="K18" s="158" t="s">
        <v>278</v>
      </c>
      <c r="N18" s="60">
        <v>783</v>
      </c>
      <c r="O18" s="60">
        <v>783</v>
      </c>
    </row>
    <row r="19" spans="1:15" customFormat="1" ht="30" customHeight="1" x14ac:dyDescent="0.3">
      <c r="A19" s="151">
        <v>3</v>
      </c>
      <c r="B19" s="152">
        <v>45006</v>
      </c>
      <c r="C19" s="341"/>
      <c r="D19" s="153" t="s">
        <v>382</v>
      </c>
      <c r="E19" s="153"/>
      <c r="F19" s="153"/>
      <c r="G19" s="154">
        <v>1339</v>
      </c>
      <c r="H19" s="170">
        <v>307.97000000000003</v>
      </c>
      <c r="I19" s="171"/>
      <c r="J19" s="157" t="s">
        <v>276</v>
      </c>
      <c r="K19" s="158" t="s">
        <v>383</v>
      </c>
      <c r="O19" s="169" t="e">
        <f>#REF!-O4</f>
        <v>#REF!</v>
      </c>
    </row>
    <row r="20" spans="1:15" customFormat="1" ht="30" customHeight="1" x14ac:dyDescent="0.3">
      <c r="A20" s="151">
        <v>4</v>
      </c>
      <c r="B20" s="152">
        <v>45139</v>
      </c>
      <c r="C20" s="341"/>
      <c r="D20" s="153" t="s">
        <v>488</v>
      </c>
      <c r="E20" s="153"/>
      <c r="F20" s="153"/>
      <c r="G20" s="154">
        <v>1949</v>
      </c>
      <c r="H20" s="172">
        <v>916.03</v>
      </c>
      <c r="I20" s="173"/>
      <c r="J20" s="157" t="s">
        <v>276</v>
      </c>
      <c r="K20" s="161" t="s">
        <v>489</v>
      </c>
      <c r="L20" s="60"/>
      <c r="O20" s="169" t="e">
        <f>#REF!-#REF!</f>
        <v>#REF!</v>
      </c>
    </row>
    <row r="21" spans="1:15" customFormat="1" ht="30" customHeight="1" x14ac:dyDescent="0.3">
      <c r="A21" s="151">
        <v>5</v>
      </c>
      <c r="B21" s="152">
        <v>45233</v>
      </c>
      <c r="C21" s="341"/>
      <c r="D21" s="153" t="s">
        <v>537</v>
      </c>
      <c r="E21" s="153"/>
      <c r="F21" s="153"/>
      <c r="G21" s="154">
        <v>797</v>
      </c>
      <c r="H21" s="170">
        <v>797</v>
      </c>
      <c r="I21" s="171"/>
      <c r="J21" s="157" t="s">
        <v>276</v>
      </c>
      <c r="K21" s="158" t="s">
        <v>538</v>
      </c>
      <c r="L21" s="60"/>
      <c r="N21" s="60">
        <v>797</v>
      </c>
      <c r="O21" s="60">
        <v>797</v>
      </c>
    </row>
    <row r="22" spans="1:15" ht="30" customHeight="1" x14ac:dyDescent="0.3">
      <c r="A22" s="4">
        <v>6</v>
      </c>
      <c r="B22" s="8">
        <v>45434</v>
      </c>
      <c r="C22" s="341"/>
      <c r="D22" s="19" t="s">
        <v>670</v>
      </c>
      <c r="E22" s="20" t="s">
        <v>23</v>
      </c>
      <c r="F22" s="20"/>
      <c r="G22" s="154">
        <v>346</v>
      </c>
      <c r="H22" s="60">
        <v>346</v>
      </c>
      <c r="I22" s="60"/>
      <c r="J22" s="24" t="s">
        <v>675</v>
      </c>
      <c r="K22" s="55" t="s">
        <v>676</v>
      </c>
      <c r="L22" s="60"/>
    </row>
    <row r="23" spans="1:15" ht="30" customHeight="1" x14ac:dyDescent="0.3">
      <c r="A23" s="4">
        <v>7</v>
      </c>
      <c r="B23" s="8">
        <v>45464</v>
      </c>
      <c r="C23" s="341"/>
      <c r="D23" s="19" t="s">
        <v>683</v>
      </c>
      <c r="E23" s="20" t="s">
        <v>23</v>
      </c>
      <c r="F23" s="20"/>
      <c r="G23" s="60">
        <v>872</v>
      </c>
      <c r="H23" s="60">
        <v>290</v>
      </c>
      <c r="I23" s="60"/>
      <c r="J23" s="24" t="s">
        <v>675</v>
      </c>
      <c r="K23" s="55" t="s">
        <v>684</v>
      </c>
    </row>
    <row r="24" spans="1:15" ht="30" customHeight="1" x14ac:dyDescent="0.3">
      <c r="A24" s="213">
        <v>8</v>
      </c>
      <c r="B24" s="8">
        <v>45492</v>
      </c>
      <c r="C24" s="340"/>
      <c r="D24" s="19" t="s">
        <v>673</v>
      </c>
      <c r="E24" s="32"/>
      <c r="F24" s="32"/>
      <c r="G24" s="201">
        <v>1828</v>
      </c>
      <c r="H24" s="60">
        <v>703</v>
      </c>
      <c r="I24" s="190"/>
      <c r="J24" s="24" t="s">
        <v>675</v>
      </c>
      <c r="K24" s="55" t="s">
        <v>691</v>
      </c>
    </row>
    <row r="25" spans="1:15" ht="30" customHeight="1" x14ac:dyDescent="0.3">
      <c r="A25" s="4">
        <v>9</v>
      </c>
      <c r="B25" s="8">
        <v>45545</v>
      </c>
      <c r="C25" s="20"/>
      <c r="D25" s="19" t="s">
        <v>685</v>
      </c>
      <c r="E25" s="20" t="s">
        <v>23</v>
      </c>
      <c r="F25" s="20"/>
      <c r="G25" s="201">
        <v>255</v>
      </c>
      <c r="H25" s="60">
        <v>255</v>
      </c>
      <c r="I25" s="60"/>
      <c r="J25" s="24" t="s">
        <v>675</v>
      </c>
      <c r="K25" s="55" t="s">
        <v>718</v>
      </c>
    </row>
    <row r="26" spans="1:15" s="87" customFormat="1" ht="30" customHeight="1" thickBot="1" x14ac:dyDescent="0.35">
      <c r="A26" s="99"/>
      <c r="B26" s="96"/>
      <c r="C26" s="97"/>
      <c r="D26" s="113"/>
      <c r="E26" s="113"/>
      <c r="F26" s="113"/>
      <c r="G26" s="174">
        <f>SUM(G17:G25)</f>
        <v>9975</v>
      </c>
      <c r="H26" s="175">
        <f>SUM(H17:H25)</f>
        <v>4975.92</v>
      </c>
      <c r="I26" s="176">
        <f>H26/H34</f>
        <v>0.29155211812269294</v>
      </c>
      <c r="J26" s="177"/>
      <c r="K26" s="100"/>
      <c r="N26" s="166">
        <f>SUM(N2:N21)</f>
        <v>6215</v>
      </c>
      <c r="O26" s="166" t="e">
        <f>SUM(O17:O21)</f>
        <v>#REF!</v>
      </c>
    </row>
    <row r="27" spans="1:15" s="87" customFormat="1" ht="30" customHeight="1" x14ac:dyDescent="0.3">
      <c r="A27" s="141">
        <v>1</v>
      </c>
      <c r="B27" s="142">
        <v>45350</v>
      </c>
      <c r="C27" s="339" t="s">
        <v>419</v>
      </c>
      <c r="D27" s="178" t="s">
        <v>660</v>
      </c>
      <c r="E27" s="178"/>
      <c r="F27" s="178"/>
      <c r="G27" s="145">
        <v>792</v>
      </c>
      <c r="H27" s="179">
        <v>792</v>
      </c>
      <c r="I27" s="180"/>
      <c r="J27" s="24" t="s">
        <v>420</v>
      </c>
      <c r="K27" s="55" t="s">
        <v>661</v>
      </c>
      <c r="N27" s="166"/>
      <c r="O27" s="166"/>
    </row>
    <row r="28" spans="1:15" s="87" customFormat="1" ht="30" customHeight="1" x14ac:dyDescent="0.3">
      <c r="A28" s="204">
        <v>2</v>
      </c>
      <c r="B28" s="205">
        <v>45477</v>
      </c>
      <c r="C28" s="340"/>
      <c r="D28" s="19" t="s">
        <v>686</v>
      </c>
      <c r="E28" s="20" t="s">
        <v>23</v>
      </c>
      <c r="F28" s="20"/>
      <c r="G28" s="201">
        <v>216</v>
      </c>
      <c r="H28" s="201">
        <v>216</v>
      </c>
      <c r="I28" s="206"/>
      <c r="J28" s="24" t="s">
        <v>420</v>
      </c>
      <c r="K28" s="55" t="s">
        <v>688</v>
      </c>
      <c r="N28" s="166"/>
      <c r="O28" s="166"/>
    </row>
    <row r="29" spans="1:15" s="87" customFormat="1" ht="30" customHeight="1" thickBot="1" x14ac:dyDescent="0.35">
      <c r="A29" s="88"/>
      <c r="B29" s="89"/>
      <c r="C29" s="90"/>
      <c r="D29" s="92"/>
      <c r="E29" s="92"/>
      <c r="F29" s="92"/>
      <c r="G29" s="163">
        <f>G27</f>
        <v>792</v>
      </c>
      <c r="H29" s="181">
        <f>H27</f>
        <v>792</v>
      </c>
      <c r="I29" s="165">
        <f>H29/H34</f>
        <v>4.6405343645631925E-2</v>
      </c>
      <c r="J29" s="93"/>
      <c r="K29" s="94"/>
      <c r="N29" s="166">
        <f>SUM(N5:N27)</f>
        <v>8300</v>
      </c>
      <c r="O29" s="166" t="e">
        <f>SUM(O20:O27)</f>
        <v>#REF!</v>
      </c>
    </row>
    <row r="30" spans="1:15" s="87" customFormat="1" ht="30" customHeight="1" x14ac:dyDescent="0.3">
      <c r="A30" s="141">
        <v>1</v>
      </c>
      <c r="B30" s="8">
        <v>45492</v>
      </c>
      <c r="C30" s="20" t="s">
        <v>30</v>
      </c>
      <c r="D30" s="19" t="s">
        <v>673</v>
      </c>
      <c r="E30" s="178"/>
      <c r="F30" s="178"/>
      <c r="G30" s="201">
        <v>1828</v>
      </c>
      <c r="H30" s="60">
        <v>394</v>
      </c>
      <c r="I30" s="180"/>
      <c r="J30" s="24" t="s">
        <v>53</v>
      </c>
      <c r="K30" s="55" t="s">
        <v>691</v>
      </c>
      <c r="N30" s="166"/>
      <c r="O30" s="166"/>
    </row>
    <row r="31" spans="1:15" s="87" customFormat="1" ht="30" customHeight="1" thickBot="1" x14ac:dyDescent="0.35">
      <c r="A31" s="88"/>
      <c r="B31" s="89"/>
      <c r="C31" s="90"/>
      <c r="D31" s="92"/>
      <c r="E31" s="92"/>
      <c r="F31" s="92"/>
      <c r="G31" s="163">
        <f>G30</f>
        <v>1828</v>
      </c>
      <c r="H31" s="181">
        <f>H30</f>
        <v>394</v>
      </c>
      <c r="I31" s="165">
        <f>H31/H34</f>
        <v>2.3085486611589618E-2</v>
      </c>
      <c r="J31" s="93"/>
      <c r="K31" s="94"/>
      <c r="N31" s="166">
        <f>SUM(N5:N30)</f>
        <v>16600</v>
      </c>
      <c r="O31" s="166" t="e">
        <f>SUM(O23:O30)</f>
        <v>#REF!</v>
      </c>
    </row>
    <row r="32" spans="1:15" s="87" customFormat="1" ht="30" customHeight="1" x14ac:dyDescent="0.3">
      <c r="A32" s="141">
        <v>1</v>
      </c>
      <c r="B32" s="142">
        <v>45029</v>
      </c>
      <c r="C32" s="143" t="s">
        <v>658</v>
      </c>
      <c r="D32" s="178" t="s">
        <v>391</v>
      </c>
      <c r="E32" s="178"/>
      <c r="F32" s="178"/>
      <c r="G32" s="145">
        <v>1314</v>
      </c>
      <c r="H32" s="179">
        <v>414</v>
      </c>
      <c r="I32" s="180"/>
      <c r="J32" s="148" t="s">
        <v>395</v>
      </c>
      <c r="K32" s="149" t="s">
        <v>396</v>
      </c>
      <c r="N32" s="166"/>
      <c r="O32" s="166"/>
    </row>
    <row r="33" spans="1:15" s="87" customFormat="1" ht="30" customHeight="1" thickBot="1" x14ac:dyDescent="0.35">
      <c r="A33" s="88"/>
      <c r="B33" s="89"/>
      <c r="C33" s="90"/>
      <c r="D33" s="92"/>
      <c r="E33" s="92"/>
      <c r="F33" s="92"/>
      <c r="G33" s="163">
        <f>G32</f>
        <v>1314</v>
      </c>
      <c r="H33" s="181">
        <f>H32</f>
        <v>414</v>
      </c>
      <c r="I33" s="165">
        <f>H33/H34</f>
        <v>2.425733872385305E-2</v>
      </c>
      <c r="J33" s="93"/>
      <c r="K33" s="94"/>
      <c r="N33" s="166">
        <f>SUM(N7:N32)</f>
        <v>32695</v>
      </c>
      <c r="O33" s="166" t="e">
        <f>SUM(O26:O32)</f>
        <v>#REF!</v>
      </c>
    </row>
    <row r="34" spans="1:15" ht="30" customHeight="1" thickBot="1" x14ac:dyDescent="0.35">
      <c r="A34" s="337" t="s">
        <v>659</v>
      </c>
      <c r="B34" s="338"/>
      <c r="C34" s="338"/>
      <c r="D34" s="182"/>
      <c r="E34" s="182"/>
      <c r="F34" s="182"/>
      <c r="G34" s="183"/>
      <c r="H34" s="184">
        <f>H16+H26+H33+H29+H31</f>
        <v>17067</v>
      </c>
      <c r="I34" s="185"/>
      <c r="J34" s="186"/>
      <c r="K34" s="187"/>
    </row>
  </sheetData>
  <autoFilter ref="A1:K1" xr:uid="{00000000-0009-0000-0000-000005000000}">
    <sortState xmlns:xlrd2="http://schemas.microsoft.com/office/spreadsheetml/2017/richdata2" ref="A2:J2">
      <sortCondition ref="C1"/>
    </sortState>
  </autoFilter>
  <mergeCells count="4">
    <mergeCell ref="A34:C34"/>
    <mergeCell ref="C27:C28"/>
    <mergeCell ref="C2:C13"/>
    <mergeCell ref="C17:C24"/>
  </mergeCells>
  <phoneticPr fontId="1" type="noConversion"/>
  <conditionalFormatting sqref="A2:A33">
    <cfRule type="containsText" dxfId="16" priority="3" operator="containsText" text="원도급">
      <formula>NOT(ISERROR(SEARCH("원도급",A2)))</formula>
    </cfRule>
    <cfRule type="containsText" dxfId="15" priority="4" operator="containsText" text="하도급">
      <formula>NOT(ISERROR(SEARCH("하도급",A2)))</formula>
    </cfRule>
  </conditionalFormatting>
  <conditionalFormatting sqref="G11:G15">
    <cfRule type="cellIs" dxfId="14" priority="1" operator="greaterThanOrEqual">
      <formula>500</formula>
    </cfRule>
  </conditionalFormatting>
  <conditionalFormatting sqref="G23:G25">
    <cfRule type="cellIs" dxfId="13" priority="2" operator="greaterThanOrEqual">
      <formula>500</formula>
    </cfRule>
  </conditionalFormatting>
  <conditionalFormatting sqref="G30">
    <cfRule type="cellIs" dxfId="12" priority="10" operator="greaterThanOrEqual">
      <formula>500</formula>
    </cfRule>
  </conditionalFormatting>
  <conditionalFormatting sqref="G28:H28">
    <cfRule type="cellIs" dxfId="11" priority="11" operator="greaterThanOrEqual">
      <formula>500</formula>
    </cfRule>
  </conditionalFormatting>
  <pageMargins left="0.70866141732283472" right="0.70866141732283472" top="0.74803149606299213" bottom="0.55118110236220474" header="0.31496062992125984" footer="0.11811023622047245"/>
  <pageSetup paperSize="9" scale="6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4"/>
  <sheetViews>
    <sheetView view="pageBreakPreview" zoomScale="115" zoomScaleNormal="70" zoomScaleSheetLayoutView="115" zoomScalePageLayoutView="40" workbookViewId="0">
      <pane ySplit="1" topLeftCell="A2" activePane="bottomLeft" state="frozen"/>
      <selection activeCell="M14" sqref="M14:O15"/>
      <selection pane="bottomLeft" activeCell="M14" sqref="M14:O15"/>
    </sheetView>
  </sheetViews>
  <sheetFormatPr defaultRowHeight="30" customHeight="1" x14ac:dyDescent="0.3"/>
  <cols>
    <col min="1" max="1" width="4.75" style="26" bestFit="1" customWidth="1"/>
    <col min="2" max="2" width="8" style="71" bestFit="1" customWidth="1"/>
    <col min="3" max="3" width="15" style="27" bestFit="1" customWidth="1"/>
    <col min="4" max="4" width="53.5" style="25" customWidth="1"/>
    <col min="5" max="7" width="10.625" style="27" customWidth="1"/>
    <col min="8" max="8" width="10.625" style="27" hidden="1" customWidth="1"/>
    <col min="9" max="9" width="13.375" style="188" customWidth="1"/>
    <col min="10" max="10" width="34.625" style="28" customWidth="1"/>
    <col min="11" max="11" width="14.25" style="26" bestFit="1" customWidth="1"/>
    <col min="12" max="16384" width="9" style="5"/>
  </cols>
  <sheetData>
    <row r="1" spans="1:15" s="14" customFormat="1" ht="45.75" customHeight="1" thickBot="1" x14ac:dyDescent="0.35">
      <c r="A1" s="1" t="s">
        <v>3</v>
      </c>
      <c r="B1" s="6" t="s">
        <v>2</v>
      </c>
      <c r="C1" s="10" t="s">
        <v>0</v>
      </c>
      <c r="D1" s="10" t="s">
        <v>1</v>
      </c>
      <c r="E1" s="10" t="s">
        <v>647</v>
      </c>
      <c r="F1" s="10" t="s">
        <v>648</v>
      </c>
      <c r="G1" s="10" t="s">
        <v>669</v>
      </c>
      <c r="H1" s="10" t="s">
        <v>668</v>
      </c>
      <c r="I1" s="10" t="s">
        <v>657</v>
      </c>
      <c r="J1" s="12" t="s">
        <v>24</v>
      </c>
      <c r="K1" s="13" t="s">
        <v>206</v>
      </c>
    </row>
    <row r="2" spans="1:15" customFormat="1" ht="30" customHeight="1" x14ac:dyDescent="0.3">
      <c r="A2" s="141">
        <v>1</v>
      </c>
      <c r="B2" s="142">
        <v>44973</v>
      </c>
      <c r="C2" s="339" t="s">
        <v>25</v>
      </c>
      <c r="D2" s="144" t="s">
        <v>275</v>
      </c>
      <c r="E2" s="145">
        <v>1806</v>
      </c>
      <c r="F2" s="146">
        <v>1228.0800000000002</v>
      </c>
      <c r="G2" s="146">
        <f>F2*0.6806</f>
        <v>835.83124800000007</v>
      </c>
      <c r="H2" s="146">
        <f>G2*16.6%</f>
        <v>138.74798716800001</v>
      </c>
      <c r="I2" s="147"/>
      <c r="J2" s="148" t="s">
        <v>272</v>
      </c>
      <c r="K2" s="149" t="s">
        <v>274</v>
      </c>
      <c r="L2" s="150">
        <v>0.68</v>
      </c>
      <c r="M2" s="60">
        <v>1806</v>
      </c>
      <c r="N2" s="60">
        <v>1806</v>
      </c>
      <c r="O2">
        <f>N2*L2</f>
        <v>1228.0800000000002</v>
      </c>
    </row>
    <row r="3" spans="1:15" customFormat="1" ht="30" customHeight="1" x14ac:dyDescent="0.3">
      <c r="A3" s="151">
        <v>2</v>
      </c>
      <c r="B3" s="152">
        <v>44993</v>
      </c>
      <c r="C3" s="341"/>
      <c r="D3" s="153" t="s">
        <v>287</v>
      </c>
      <c r="E3" s="154">
        <v>985</v>
      </c>
      <c r="F3" s="155">
        <v>985</v>
      </c>
      <c r="G3" s="159">
        <f t="shared" ref="G3:G22" si="0">F3*0.6806</f>
        <v>670.39099999999996</v>
      </c>
      <c r="H3" s="155">
        <f t="shared" ref="H3:H22" si="1">G3*16.6%</f>
        <v>111.28490600000001</v>
      </c>
      <c r="I3" s="156"/>
      <c r="J3" s="157" t="s">
        <v>272</v>
      </c>
      <c r="K3" s="158" t="s">
        <v>356</v>
      </c>
      <c r="L3" s="150"/>
      <c r="M3" s="59">
        <v>985</v>
      </c>
      <c r="N3" s="59">
        <v>985</v>
      </c>
      <c r="O3" s="59">
        <v>985</v>
      </c>
    </row>
    <row r="4" spans="1:15" customFormat="1" ht="30" customHeight="1" x14ac:dyDescent="0.3">
      <c r="A4" s="151">
        <v>3</v>
      </c>
      <c r="B4" s="152">
        <v>45006</v>
      </c>
      <c r="C4" s="341"/>
      <c r="D4" s="153" t="s">
        <v>382</v>
      </c>
      <c r="E4" s="154">
        <v>1339</v>
      </c>
      <c r="F4" s="159">
        <v>1031.03</v>
      </c>
      <c r="G4" s="159">
        <f t="shared" si="0"/>
        <v>701.71901800000001</v>
      </c>
      <c r="H4" s="159">
        <f t="shared" si="1"/>
        <v>116.48535698800001</v>
      </c>
      <c r="I4" s="160"/>
      <c r="J4" s="157" t="s">
        <v>272</v>
      </c>
      <c r="K4" s="158" t="s">
        <v>383</v>
      </c>
      <c r="L4" s="150">
        <v>0.77</v>
      </c>
      <c r="M4" s="60">
        <v>1338</v>
      </c>
      <c r="N4">
        <v>1339</v>
      </c>
      <c r="O4">
        <f>N4*L4</f>
        <v>1031.03</v>
      </c>
    </row>
    <row r="5" spans="1:15" customFormat="1" ht="30" customHeight="1" thickBot="1" x14ac:dyDescent="0.35">
      <c r="A5" s="151">
        <v>4</v>
      </c>
      <c r="B5" s="152">
        <v>45029</v>
      </c>
      <c r="C5" s="341"/>
      <c r="D5" s="153" t="s">
        <v>391</v>
      </c>
      <c r="E5" s="154">
        <v>1314</v>
      </c>
      <c r="F5" s="155">
        <v>900</v>
      </c>
      <c r="G5" s="159">
        <f t="shared" si="0"/>
        <v>612.54</v>
      </c>
      <c r="H5" s="155">
        <f t="shared" si="1"/>
        <v>101.68164</v>
      </c>
      <c r="I5" s="156"/>
      <c r="J5" s="157" t="s">
        <v>394</v>
      </c>
      <c r="K5" s="158" t="s">
        <v>396</v>
      </c>
      <c r="L5" s="150"/>
      <c r="M5" s="59"/>
    </row>
    <row r="6" spans="1:15" customFormat="1" ht="30" customHeight="1" x14ac:dyDescent="0.3">
      <c r="A6" s="151">
        <v>5</v>
      </c>
      <c r="B6" s="152">
        <v>45133</v>
      </c>
      <c r="C6" s="341"/>
      <c r="D6" s="153" t="s">
        <v>483</v>
      </c>
      <c r="E6" s="154">
        <v>505</v>
      </c>
      <c r="F6" s="155">
        <v>505</v>
      </c>
      <c r="G6" s="159">
        <f t="shared" si="0"/>
        <v>343.70299999999997</v>
      </c>
      <c r="H6" s="155">
        <f t="shared" si="1"/>
        <v>57.054698000000002</v>
      </c>
      <c r="I6" s="156"/>
      <c r="J6" s="157" t="s">
        <v>272</v>
      </c>
      <c r="K6" s="161" t="s">
        <v>487</v>
      </c>
      <c r="M6" s="76">
        <v>505</v>
      </c>
      <c r="N6" s="76">
        <v>505</v>
      </c>
      <c r="O6" s="76">
        <v>505</v>
      </c>
    </row>
    <row r="7" spans="1:15" customFormat="1" ht="30" customHeight="1" x14ac:dyDescent="0.3">
      <c r="A7" s="151">
        <v>6</v>
      </c>
      <c r="B7" s="152">
        <v>45139</v>
      </c>
      <c r="C7" s="341"/>
      <c r="D7" s="153" t="s">
        <v>488</v>
      </c>
      <c r="E7" s="154">
        <v>1949</v>
      </c>
      <c r="F7" s="159">
        <v>1032.97</v>
      </c>
      <c r="G7" s="159">
        <f t="shared" si="0"/>
        <v>703.03938200000005</v>
      </c>
      <c r="H7" s="159">
        <f t="shared" si="1"/>
        <v>116.70453741200001</v>
      </c>
      <c r="I7" s="160"/>
      <c r="J7" s="157" t="s">
        <v>272</v>
      </c>
      <c r="K7" s="161" t="s">
        <v>489</v>
      </c>
      <c r="L7" s="150"/>
      <c r="M7" s="60"/>
    </row>
    <row r="8" spans="1:15" customFormat="1" ht="30" customHeight="1" x14ac:dyDescent="0.3">
      <c r="A8" s="151">
        <v>7</v>
      </c>
      <c r="B8" s="152">
        <v>45188</v>
      </c>
      <c r="C8" s="341"/>
      <c r="D8" s="153" t="s">
        <v>522</v>
      </c>
      <c r="E8" s="154">
        <v>659</v>
      </c>
      <c r="F8" s="155">
        <v>659</v>
      </c>
      <c r="G8" s="159">
        <f t="shared" si="0"/>
        <v>448.5154</v>
      </c>
      <c r="H8" s="155">
        <f t="shared" si="1"/>
        <v>74.453556400000011</v>
      </c>
      <c r="I8" s="156"/>
      <c r="J8" s="157" t="s">
        <v>272</v>
      </c>
      <c r="K8" s="161" t="s">
        <v>523</v>
      </c>
      <c r="L8" s="150"/>
      <c r="M8" s="60"/>
    </row>
    <row r="9" spans="1:15" customFormat="1" ht="30" customHeight="1" x14ac:dyDescent="0.3">
      <c r="A9" s="151">
        <v>8</v>
      </c>
      <c r="B9" s="152">
        <v>45271</v>
      </c>
      <c r="C9" s="341"/>
      <c r="D9" s="153" t="s">
        <v>630</v>
      </c>
      <c r="E9" s="154">
        <v>826</v>
      </c>
      <c r="F9" s="155">
        <v>826</v>
      </c>
      <c r="G9" s="159">
        <f t="shared" si="0"/>
        <v>562.17560000000003</v>
      </c>
      <c r="H9" s="155">
        <f t="shared" si="1"/>
        <v>93.321149600000012</v>
      </c>
      <c r="I9" s="156"/>
      <c r="J9" s="157" t="s">
        <v>272</v>
      </c>
      <c r="K9" s="162" t="s">
        <v>632</v>
      </c>
      <c r="L9" s="60"/>
      <c r="M9" s="60"/>
    </row>
    <row r="10" spans="1:15" customFormat="1" ht="30" customHeight="1" x14ac:dyDescent="0.3">
      <c r="A10" s="193">
        <v>9</v>
      </c>
      <c r="B10" s="8">
        <v>45492</v>
      </c>
      <c r="C10" s="340"/>
      <c r="D10" s="19" t="s">
        <v>673</v>
      </c>
      <c r="E10" s="201">
        <v>1828</v>
      </c>
      <c r="F10" s="60">
        <v>731</v>
      </c>
      <c r="G10" s="159">
        <f t="shared" si="0"/>
        <v>497.51859999999999</v>
      </c>
      <c r="H10" s="195"/>
      <c r="I10" s="196"/>
      <c r="J10" s="157" t="s">
        <v>272</v>
      </c>
      <c r="K10" s="55" t="s">
        <v>691</v>
      </c>
      <c r="L10" s="60"/>
      <c r="M10" s="197"/>
    </row>
    <row r="11" spans="1:15" s="87" customFormat="1" ht="30" customHeight="1" thickBot="1" x14ac:dyDescent="0.35">
      <c r="A11" s="88"/>
      <c r="B11" s="89"/>
      <c r="C11" s="90"/>
      <c r="D11" s="92"/>
      <c r="E11" s="163">
        <f>SUM(E2:E10)</f>
        <v>11211</v>
      </c>
      <c r="F11" s="163">
        <f>SUM(F2:F10)</f>
        <v>7898.08</v>
      </c>
      <c r="G11" s="164">
        <f>SUM(G2:H10)</f>
        <v>6185.1670795680011</v>
      </c>
      <c r="H11" s="164">
        <f>SUM(H2:H9)</f>
        <v>809.73383156800014</v>
      </c>
      <c r="I11" s="165">
        <f>F11/F24</f>
        <v>0.62219001102883253</v>
      </c>
      <c r="J11" s="93"/>
      <c r="K11" s="116"/>
      <c r="L11" s="60"/>
      <c r="O11" s="166">
        <f>SUM(O2:O9)</f>
        <v>3749.1099999999997</v>
      </c>
    </row>
    <row r="12" spans="1:15" customFormat="1" ht="30" customHeight="1" x14ac:dyDescent="0.3">
      <c r="A12" s="141">
        <v>1</v>
      </c>
      <c r="B12" s="142">
        <v>44973</v>
      </c>
      <c r="C12" s="339" t="s">
        <v>26</v>
      </c>
      <c r="D12" s="144" t="s">
        <v>275</v>
      </c>
      <c r="E12" s="145">
        <v>1806</v>
      </c>
      <c r="F12" s="167">
        <v>577.91999999999985</v>
      </c>
      <c r="G12" s="159">
        <f t="shared" si="0"/>
        <v>393.3323519999999</v>
      </c>
      <c r="H12" s="167">
        <f t="shared" si="1"/>
        <v>65.293170431999982</v>
      </c>
      <c r="I12" s="168"/>
      <c r="J12" s="148" t="s">
        <v>276</v>
      </c>
      <c r="K12" s="149" t="s">
        <v>274</v>
      </c>
      <c r="O12" s="169" t="e">
        <f>#REF!-O2</f>
        <v>#REF!</v>
      </c>
    </row>
    <row r="13" spans="1:15" customFormat="1" ht="30" customHeight="1" x14ac:dyDescent="0.3">
      <c r="A13" s="151">
        <v>2</v>
      </c>
      <c r="B13" s="152">
        <v>44980</v>
      </c>
      <c r="C13" s="341"/>
      <c r="D13" s="153" t="s">
        <v>277</v>
      </c>
      <c r="E13" s="154">
        <v>783</v>
      </c>
      <c r="F13" s="170">
        <v>783</v>
      </c>
      <c r="G13" s="159">
        <f t="shared" si="0"/>
        <v>532.90980000000002</v>
      </c>
      <c r="H13" s="170">
        <f t="shared" si="1"/>
        <v>88.463026800000009</v>
      </c>
      <c r="I13" s="171"/>
      <c r="J13" s="157" t="s">
        <v>276</v>
      </c>
      <c r="K13" s="158" t="s">
        <v>278</v>
      </c>
      <c r="N13" s="60">
        <v>783</v>
      </c>
      <c r="O13" s="60">
        <v>783</v>
      </c>
    </row>
    <row r="14" spans="1:15" customFormat="1" ht="30" customHeight="1" x14ac:dyDescent="0.3">
      <c r="A14" s="151">
        <v>3</v>
      </c>
      <c r="B14" s="152">
        <v>45006</v>
      </c>
      <c r="C14" s="341"/>
      <c r="D14" s="153" t="s">
        <v>382</v>
      </c>
      <c r="E14" s="154">
        <v>1339</v>
      </c>
      <c r="F14" s="170">
        <v>307.97000000000003</v>
      </c>
      <c r="G14" s="159">
        <f t="shared" si="0"/>
        <v>209.60438200000002</v>
      </c>
      <c r="H14" s="170">
        <f t="shared" si="1"/>
        <v>34.794327412000001</v>
      </c>
      <c r="I14" s="171"/>
      <c r="J14" s="157" t="s">
        <v>276</v>
      </c>
      <c r="K14" s="158" t="s">
        <v>383</v>
      </c>
      <c r="O14" s="169" t="e">
        <f>#REF!-O4</f>
        <v>#REF!</v>
      </c>
    </row>
    <row r="15" spans="1:15" customFormat="1" ht="30" customHeight="1" x14ac:dyDescent="0.3">
      <c r="A15" s="151">
        <v>4</v>
      </c>
      <c r="B15" s="152">
        <v>45139</v>
      </c>
      <c r="C15" s="341"/>
      <c r="D15" s="153" t="s">
        <v>488</v>
      </c>
      <c r="E15" s="154">
        <v>1949</v>
      </c>
      <c r="F15" s="172">
        <v>916.03</v>
      </c>
      <c r="G15" s="159">
        <f t="shared" si="0"/>
        <v>623.450018</v>
      </c>
      <c r="H15" s="172">
        <f t="shared" si="1"/>
        <v>103.492702988</v>
      </c>
      <c r="I15" s="173"/>
      <c r="J15" s="157" t="s">
        <v>276</v>
      </c>
      <c r="K15" s="161" t="s">
        <v>489</v>
      </c>
      <c r="O15" s="169" t="e">
        <f>#REF!-#REF!</f>
        <v>#REF!</v>
      </c>
    </row>
    <row r="16" spans="1:15" customFormat="1" ht="30" customHeight="1" x14ac:dyDescent="0.3">
      <c r="A16" s="151">
        <v>5</v>
      </c>
      <c r="B16" s="152">
        <v>45233</v>
      </c>
      <c r="C16" s="341"/>
      <c r="D16" s="153" t="s">
        <v>537</v>
      </c>
      <c r="E16" s="154">
        <v>797</v>
      </c>
      <c r="F16" s="170">
        <v>797</v>
      </c>
      <c r="G16" s="159">
        <f t="shared" si="0"/>
        <v>542.43819999999994</v>
      </c>
      <c r="H16" s="170">
        <f t="shared" si="1"/>
        <v>90.04474119999999</v>
      </c>
      <c r="I16" s="171"/>
      <c r="J16" s="157" t="s">
        <v>276</v>
      </c>
      <c r="K16" s="158" t="s">
        <v>538</v>
      </c>
      <c r="N16" s="60">
        <v>797</v>
      </c>
      <c r="O16" s="60">
        <v>797</v>
      </c>
    </row>
    <row r="17" spans="1:15" customFormat="1" ht="30" customHeight="1" x14ac:dyDescent="0.3">
      <c r="A17" s="193">
        <v>6</v>
      </c>
      <c r="B17" s="194">
        <v>45485</v>
      </c>
      <c r="C17" s="341"/>
      <c r="D17" s="19" t="s">
        <v>496</v>
      </c>
      <c r="E17" s="207">
        <v>297</v>
      </c>
      <c r="F17" s="208">
        <v>297</v>
      </c>
      <c r="G17" s="209">
        <f t="shared" si="0"/>
        <v>202.13819999999998</v>
      </c>
      <c r="H17" s="208">
        <f t="shared" si="1"/>
        <v>33.554941200000002</v>
      </c>
      <c r="I17" s="210"/>
      <c r="J17" s="157" t="s">
        <v>276</v>
      </c>
      <c r="K17" s="46" t="s">
        <v>690</v>
      </c>
      <c r="N17" s="197"/>
      <c r="O17" s="197"/>
    </row>
    <row r="18" spans="1:15" customFormat="1" ht="30" customHeight="1" x14ac:dyDescent="0.3">
      <c r="A18" s="193">
        <v>7</v>
      </c>
      <c r="B18" s="8">
        <v>45492</v>
      </c>
      <c r="C18" s="340"/>
      <c r="D18" s="19" t="s">
        <v>673</v>
      </c>
      <c r="E18" s="201">
        <v>1828</v>
      </c>
      <c r="F18" s="60">
        <v>703</v>
      </c>
      <c r="G18" s="209">
        <f t="shared" si="0"/>
        <v>478.46179999999998</v>
      </c>
      <c r="H18" s="208"/>
      <c r="I18" s="210"/>
      <c r="J18" s="157" t="s">
        <v>276</v>
      </c>
      <c r="K18" s="55" t="s">
        <v>691</v>
      </c>
      <c r="N18" s="197"/>
      <c r="O18" s="197"/>
    </row>
    <row r="19" spans="1:15" s="87" customFormat="1" ht="30" customHeight="1" thickBot="1" x14ac:dyDescent="0.35">
      <c r="A19" s="88"/>
      <c r="B19" s="89"/>
      <c r="C19" s="90"/>
      <c r="D19" s="92"/>
      <c r="E19" s="163">
        <f>SUM(E12:E18)</f>
        <v>8799</v>
      </c>
      <c r="F19" s="181">
        <f>SUM(F12:F18)</f>
        <v>4381.92</v>
      </c>
      <c r="G19" s="181">
        <f>SUM(G12:G18)</f>
        <v>2982.3347519999998</v>
      </c>
      <c r="H19" s="181">
        <f>SUM(H12:H16)</f>
        <v>382.08796883199994</v>
      </c>
      <c r="I19" s="165">
        <f>F19/F24</f>
        <v>0.34519615566409328</v>
      </c>
      <c r="J19" s="93"/>
      <c r="K19" s="94"/>
      <c r="N19" s="166">
        <f>SUM(N2:N16)</f>
        <v>6215</v>
      </c>
      <c r="O19" s="166" t="e">
        <f>SUM(O12:O16)</f>
        <v>#REF!</v>
      </c>
    </row>
    <row r="20" spans="1:15" s="87" customFormat="1" ht="30" customHeight="1" x14ac:dyDescent="0.3">
      <c r="A20" s="214">
        <v>1</v>
      </c>
      <c r="B20" s="7">
        <v>45492</v>
      </c>
      <c r="C20" s="16" t="s">
        <v>30</v>
      </c>
      <c r="D20" s="15" t="s">
        <v>673</v>
      </c>
      <c r="E20" s="215">
        <v>1828</v>
      </c>
      <c r="F20" s="60">
        <v>394</v>
      </c>
      <c r="G20" s="198">
        <f t="shared" ref="G20" si="2">F20*0.6806</f>
        <v>268.15640000000002</v>
      </c>
      <c r="H20" s="216">
        <f t="shared" ref="H20" si="3">G20*16.6%</f>
        <v>44.513962400000004</v>
      </c>
      <c r="I20" s="217"/>
      <c r="J20" s="17" t="s">
        <v>53</v>
      </c>
      <c r="K20" s="218" t="s">
        <v>691</v>
      </c>
      <c r="N20" s="166"/>
      <c r="O20" s="166"/>
    </row>
    <row r="21" spans="1:15" s="87" customFormat="1" ht="30" customHeight="1" thickBot="1" x14ac:dyDescent="0.35">
      <c r="A21" s="88"/>
      <c r="B21" s="89"/>
      <c r="C21" s="90"/>
      <c r="D21" s="92"/>
      <c r="E21" s="163">
        <f>E20</f>
        <v>1828</v>
      </c>
      <c r="F21" s="181">
        <f>F20</f>
        <v>394</v>
      </c>
      <c r="G21" s="181">
        <f>G20</f>
        <v>268.15640000000002</v>
      </c>
      <c r="H21" s="181">
        <f>H20</f>
        <v>44.513962400000004</v>
      </c>
      <c r="I21" s="165">
        <f>F21/F24</f>
        <v>3.1038285804317001E-2</v>
      </c>
      <c r="J21" s="93"/>
      <c r="K21" s="94"/>
      <c r="N21" s="166">
        <f>SUM(N5:N20)</f>
        <v>8300</v>
      </c>
      <c r="O21" s="166" t="e">
        <f>SUM(O17:O20)</f>
        <v>#REF!</v>
      </c>
    </row>
    <row r="22" spans="1:15" s="87" customFormat="1" ht="30" customHeight="1" x14ac:dyDescent="0.3">
      <c r="A22" s="141">
        <v>1</v>
      </c>
      <c r="B22" s="142">
        <v>45029</v>
      </c>
      <c r="C22" s="143" t="s">
        <v>658</v>
      </c>
      <c r="D22" s="178" t="s">
        <v>391</v>
      </c>
      <c r="E22" s="145">
        <v>1314</v>
      </c>
      <c r="F22" s="179">
        <v>414</v>
      </c>
      <c r="G22" s="198">
        <f t="shared" si="0"/>
        <v>281.76839999999999</v>
      </c>
      <c r="H22" s="179">
        <f t="shared" si="1"/>
        <v>46.773554400000002</v>
      </c>
      <c r="I22" s="180"/>
      <c r="J22" s="148" t="s">
        <v>395</v>
      </c>
      <c r="K22" s="149" t="s">
        <v>396</v>
      </c>
      <c r="N22" s="166"/>
      <c r="O22" s="166"/>
    </row>
    <row r="23" spans="1:15" s="87" customFormat="1" ht="30" customHeight="1" thickBot="1" x14ac:dyDescent="0.35">
      <c r="A23" s="88"/>
      <c r="B23" s="89"/>
      <c r="C23" s="90"/>
      <c r="D23" s="92"/>
      <c r="E23" s="163">
        <f>E22</f>
        <v>1314</v>
      </c>
      <c r="F23" s="181">
        <f>F22</f>
        <v>414</v>
      </c>
      <c r="G23" s="181">
        <f>G22</f>
        <v>281.76839999999999</v>
      </c>
      <c r="H23" s="181">
        <f>H22</f>
        <v>46.773554400000002</v>
      </c>
      <c r="I23" s="165">
        <f>F23/F24</f>
        <v>3.2613833307074208E-2</v>
      </c>
      <c r="J23" s="93"/>
      <c r="K23" s="94"/>
      <c r="N23" s="166">
        <f>SUM(N7:N22)</f>
        <v>16095</v>
      </c>
      <c r="O23" s="166" t="e">
        <f>SUM(O19:O22)</f>
        <v>#REF!</v>
      </c>
    </row>
    <row r="24" spans="1:15" ht="30" customHeight="1" thickBot="1" x14ac:dyDescent="0.35">
      <c r="A24" s="337" t="s">
        <v>659</v>
      </c>
      <c r="B24" s="338"/>
      <c r="C24" s="338"/>
      <c r="D24" s="182"/>
      <c r="E24" s="183"/>
      <c r="F24" s="184">
        <f>F11+F19+F23</f>
        <v>12694</v>
      </c>
      <c r="G24" s="184"/>
      <c r="H24" s="184"/>
      <c r="I24" s="185"/>
      <c r="J24" s="186"/>
      <c r="K24" s="187"/>
    </row>
  </sheetData>
  <autoFilter ref="A1:K1" xr:uid="{00000000-0009-0000-0000-000006000000}">
    <sortState xmlns:xlrd2="http://schemas.microsoft.com/office/spreadsheetml/2017/richdata2" ref="A2:H2">
      <sortCondition ref="C1"/>
    </sortState>
  </autoFilter>
  <mergeCells count="3">
    <mergeCell ref="A24:C24"/>
    <mergeCell ref="C12:C18"/>
    <mergeCell ref="C2:C10"/>
  </mergeCells>
  <phoneticPr fontId="1" type="noConversion"/>
  <conditionalFormatting sqref="A2:A23">
    <cfRule type="containsText" dxfId="10" priority="4" operator="containsText" text="원도급">
      <formula>NOT(ISERROR(SEARCH("원도급",A2)))</formula>
    </cfRule>
    <cfRule type="containsText" dxfId="9" priority="5" operator="containsText" text="하도급">
      <formula>NOT(ISERROR(SEARCH("하도급",A2)))</formula>
    </cfRule>
  </conditionalFormatting>
  <conditionalFormatting sqref="E10">
    <cfRule type="cellIs" dxfId="8" priority="3" operator="greaterThanOrEqual">
      <formula>500</formula>
    </cfRule>
  </conditionalFormatting>
  <conditionalFormatting sqref="E18">
    <cfRule type="cellIs" dxfId="7" priority="2" operator="greaterThanOrEqual">
      <formula>500</formula>
    </cfRule>
  </conditionalFormatting>
  <conditionalFormatting sqref="E20">
    <cfRule type="cellIs" dxfId="6" priority="1" operator="greaterThanOrEqual">
      <formula>500</formula>
    </cfRule>
  </conditionalFormatting>
  <pageMargins left="0.70866141732283472" right="0.70866141732283472" top="0.74803149606299213" bottom="0.55118110236220474" header="0.31496062992125984" footer="0.11811023622047245"/>
  <pageSetup paperSize="9"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AA19"/>
  <sheetViews>
    <sheetView showGridLines="0" view="pageBreakPreview" zoomScale="85" zoomScaleNormal="70" zoomScaleSheetLayoutView="85" zoomScalePageLayoutView="40" workbookViewId="0">
      <pane ySplit="2" topLeftCell="A9" activePane="bottomLeft" state="frozen"/>
      <selection activeCell="M14" sqref="M14:O15"/>
      <selection pane="bottomLeft" activeCell="M14" sqref="M14:O15"/>
    </sheetView>
  </sheetViews>
  <sheetFormatPr defaultRowHeight="30" customHeight="1" x14ac:dyDescent="0.3"/>
  <cols>
    <col min="1" max="1" width="4.625" style="281" customWidth="1"/>
    <col min="2" max="2" width="8" style="282" bestFit="1" customWidth="1"/>
    <col min="3" max="3" width="15" style="283" bestFit="1" customWidth="1"/>
    <col min="4" max="4" width="47.625" style="284" bestFit="1" customWidth="1"/>
    <col min="5" max="5" width="21.75" style="281" bestFit="1" customWidth="1"/>
    <col min="6" max="6" width="19.625" style="281" hidden="1" customWidth="1"/>
    <col min="7" max="7" width="11.875" style="285" customWidth="1"/>
    <col min="8" max="8" width="11.75" style="285" customWidth="1"/>
    <col min="9" max="9" width="11.875" style="285" hidden="1" customWidth="1"/>
    <col min="10" max="10" width="34.625" style="286" customWidth="1"/>
    <col min="11" max="11" width="15.375" style="26" hidden="1" customWidth="1"/>
    <col min="12" max="12" width="1.875" style="26" customWidth="1"/>
    <col min="13" max="15" width="9" style="5"/>
    <col min="16" max="16" width="6.75" style="5" customWidth="1"/>
    <col min="17" max="18" width="5.75" style="5" customWidth="1"/>
    <col min="19" max="19" width="2.75" style="5" customWidth="1"/>
    <col min="20" max="22" width="9" style="5"/>
    <col min="23" max="23" width="6.75" style="5" customWidth="1"/>
    <col min="24" max="25" width="5.75" style="5" customWidth="1"/>
    <col min="26" max="16384" width="9" style="5"/>
  </cols>
  <sheetData>
    <row r="1" spans="1:27" s="14" customFormat="1" ht="21" customHeight="1" x14ac:dyDescent="0.3">
      <c r="A1" s="348" t="s">
        <v>3</v>
      </c>
      <c r="B1" s="350" t="s">
        <v>2</v>
      </c>
      <c r="C1" s="342" t="s">
        <v>0</v>
      </c>
      <c r="D1" s="342" t="s">
        <v>1</v>
      </c>
      <c r="E1" s="352" t="s">
        <v>18</v>
      </c>
      <c r="F1" s="353"/>
      <c r="G1" s="342" t="s">
        <v>647</v>
      </c>
      <c r="H1" s="342" t="s">
        <v>648</v>
      </c>
      <c r="I1" s="260"/>
      <c r="J1" s="344" t="s">
        <v>24</v>
      </c>
      <c r="K1" s="346" t="s">
        <v>206</v>
      </c>
      <c r="L1" s="237"/>
    </row>
    <row r="2" spans="1:27" s="14" customFormat="1" ht="21" customHeight="1" thickBot="1" x14ac:dyDescent="0.35">
      <c r="A2" s="349"/>
      <c r="B2" s="351"/>
      <c r="C2" s="343"/>
      <c r="D2" s="343"/>
      <c r="E2" s="262" t="s">
        <v>300</v>
      </c>
      <c r="F2" s="262" t="s">
        <v>301</v>
      </c>
      <c r="G2" s="343"/>
      <c r="H2" s="343"/>
      <c r="I2" s="261"/>
      <c r="J2" s="345"/>
      <c r="K2" s="347"/>
      <c r="L2" s="237"/>
    </row>
    <row r="3" spans="1:27" ht="43.5" customHeight="1" thickBot="1" x14ac:dyDescent="0.3">
      <c r="A3" s="263">
        <v>1</v>
      </c>
      <c r="B3" s="264">
        <v>45299</v>
      </c>
      <c r="C3" s="265" t="s">
        <v>636</v>
      </c>
      <c r="D3" s="266" t="s">
        <v>635</v>
      </c>
      <c r="E3" s="265" t="s">
        <v>207</v>
      </c>
      <c r="F3" s="265" t="s">
        <v>656</v>
      </c>
      <c r="G3" s="267">
        <v>447</v>
      </c>
      <c r="H3" s="267"/>
      <c r="I3" s="267"/>
      <c r="J3" s="268" t="s">
        <v>637</v>
      </c>
      <c r="K3" s="257" t="s">
        <v>470</v>
      </c>
      <c r="L3" s="256"/>
      <c r="M3" s="366"/>
      <c r="N3" s="366"/>
      <c r="O3" s="366"/>
      <c r="Q3" s="377" t="s">
        <v>696</v>
      </c>
      <c r="R3" s="377"/>
      <c r="T3" s="366"/>
      <c r="U3" s="366"/>
      <c r="V3" s="366"/>
      <c r="X3" s="424" t="s">
        <v>696</v>
      </c>
      <c r="Y3" s="424"/>
    </row>
    <row r="4" spans="1:27" ht="43.5" customHeight="1" x14ac:dyDescent="0.3">
      <c r="A4" s="263">
        <v>2</v>
      </c>
      <c r="B4" s="264">
        <v>45301</v>
      </c>
      <c r="C4" s="265" t="s">
        <v>427</v>
      </c>
      <c r="D4" s="266" t="s">
        <v>505</v>
      </c>
      <c r="E4" s="265" t="s">
        <v>207</v>
      </c>
      <c r="F4" s="265" t="s">
        <v>656</v>
      </c>
      <c r="G4" s="269">
        <v>486</v>
      </c>
      <c r="H4" s="269"/>
      <c r="I4" s="269"/>
      <c r="J4" s="268" t="s">
        <v>634</v>
      </c>
      <c r="K4" s="257" t="s">
        <v>470</v>
      </c>
      <c r="L4" s="256"/>
      <c r="M4" s="354" t="s">
        <v>699</v>
      </c>
      <c r="N4" s="355"/>
      <c r="O4" s="356"/>
      <c r="P4" s="363"/>
      <c r="Q4" s="378">
        <f>AA6</f>
        <v>7841</v>
      </c>
      <c r="R4" s="379"/>
      <c r="T4" s="354" t="s">
        <v>701</v>
      </c>
      <c r="U4" s="355"/>
      <c r="V4" s="356"/>
      <c r="W4" s="363"/>
      <c r="X4" s="425">
        <f>Q16</f>
        <v>4888</v>
      </c>
      <c r="Y4" s="426"/>
    </row>
    <row r="5" spans="1:27" ht="43.5" customHeight="1" x14ac:dyDescent="0.3">
      <c r="A5" s="263">
        <v>3</v>
      </c>
      <c r="B5" s="264">
        <v>45350</v>
      </c>
      <c r="C5" s="265" t="s">
        <v>419</v>
      </c>
      <c r="D5" s="266" t="s">
        <v>660</v>
      </c>
      <c r="E5" s="265" t="s">
        <v>23</v>
      </c>
      <c r="F5" s="265"/>
      <c r="G5" s="269">
        <v>792</v>
      </c>
      <c r="H5" s="269"/>
      <c r="I5" s="269"/>
      <c r="J5" s="270" t="s">
        <v>420</v>
      </c>
      <c r="K5" s="258" t="s">
        <v>661</v>
      </c>
      <c r="L5" s="212"/>
      <c r="M5" s="357"/>
      <c r="N5" s="358"/>
      <c r="O5" s="359"/>
      <c r="P5" s="364"/>
      <c r="Q5" s="380"/>
      <c r="R5" s="381"/>
      <c r="T5" s="357"/>
      <c r="U5" s="358"/>
      <c r="V5" s="359"/>
      <c r="W5" s="364"/>
      <c r="X5" s="427"/>
      <c r="Y5" s="428"/>
    </row>
    <row r="6" spans="1:27" ht="43.5" customHeight="1" x14ac:dyDescent="0.3">
      <c r="A6" s="263">
        <v>4</v>
      </c>
      <c r="B6" s="264">
        <v>45357</v>
      </c>
      <c r="C6" s="265" t="s">
        <v>193</v>
      </c>
      <c r="D6" s="266" t="s">
        <v>643</v>
      </c>
      <c r="E6" s="265" t="s">
        <v>207</v>
      </c>
      <c r="F6" s="265" t="s">
        <v>324</v>
      </c>
      <c r="G6" s="269">
        <v>455</v>
      </c>
      <c r="H6" s="269"/>
      <c r="I6" s="269"/>
      <c r="J6" s="270" t="s">
        <v>664</v>
      </c>
      <c r="K6" s="258" t="s">
        <v>665</v>
      </c>
      <c r="L6" s="212"/>
      <c r="M6" s="360"/>
      <c r="N6" s="361"/>
      <c r="O6" s="362"/>
      <c r="P6" s="365"/>
      <c r="Q6" s="382"/>
      <c r="R6" s="383"/>
      <c r="T6" s="360"/>
      <c r="U6" s="361"/>
      <c r="V6" s="362"/>
      <c r="W6" s="365"/>
      <c r="X6" s="427"/>
      <c r="Y6" s="428"/>
      <c r="AA6" s="242">
        <f>G3+G4+G5+G6+G7+G8+G9+G10+G11+G12+G13+G15+G16+G17</f>
        <v>7841</v>
      </c>
    </row>
    <row r="7" spans="1:27" ht="43.5" customHeight="1" x14ac:dyDescent="0.3">
      <c r="A7" s="263">
        <v>5</v>
      </c>
      <c r="B7" s="264">
        <v>45358</v>
      </c>
      <c r="C7" s="265" t="s">
        <v>662</v>
      </c>
      <c r="D7" s="266" t="s">
        <v>644</v>
      </c>
      <c r="E7" s="265" t="s">
        <v>645</v>
      </c>
      <c r="F7" s="265"/>
      <c r="G7" s="271">
        <v>904</v>
      </c>
      <c r="H7" s="269"/>
      <c r="I7" s="269"/>
      <c r="J7" s="270" t="s">
        <v>138</v>
      </c>
      <c r="K7" s="257" t="s">
        <v>663</v>
      </c>
      <c r="L7" s="256"/>
      <c r="M7" s="384" t="s">
        <v>697</v>
      </c>
      <c r="N7" s="385"/>
      <c r="O7" s="386"/>
      <c r="P7" s="227" t="s">
        <v>698</v>
      </c>
      <c r="Q7" s="387" t="s">
        <v>700</v>
      </c>
      <c r="R7" s="388"/>
      <c r="T7" s="384" t="s">
        <v>702</v>
      </c>
      <c r="U7" s="385"/>
      <c r="V7" s="386"/>
      <c r="W7" s="227" t="s">
        <v>698</v>
      </c>
      <c r="X7" s="429" t="s">
        <v>700</v>
      </c>
      <c r="Y7" s="430"/>
    </row>
    <row r="8" spans="1:27" ht="43.5" customHeight="1" x14ac:dyDescent="0.3">
      <c r="A8" s="263">
        <v>6</v>
      </c>
      <c r="B8" s="264">
        <v>45422</v>
      </c>
      <c r="C8" s="265" t="s">
        <v>447</v>
      </c>
      <c r="D8" s="266" t="s">
        <v>666</v>
      </c>
      <c r="E8" s="265" t="s">
        <v>23</v>
      </c>
      <c r="F8" s="265"/>
      <c r="G8" s="269">
        <v>246</v>
      </c>
      <c r="H8" s="269"/>
      <c r="I8" s="269"/>
      <c r="J8" s="270" t="s">
        <v>272</v>
      </c>
      <c r="K8" s="258" t="s">
        <v>667</v>
      </c>
      <c r="L8" s="212"/>
      <c r="M8" s="367" t="s">
        <v>646</v>
      </c>
      <c r="N8" s="368"/>
      <c r="O8" s="369"/>
      <c r="P8" s="419">
        <f>Q8/$Q$4</f>
        <v>0.17701823746971049</v>
      </c>
      <c r="Q8" s="373">
        <f>G3+G4+G6</f>
        <v>1388</v>
      </c>
      <c r="R8" s="374"/>
      <c r="T8" s="367" t="s">
        <v>703</v>
      </c>
      <c r="U8" s="368"/>
      <c r="V8" s="369"/>
      <c r="W8" s="419">
        <f>X8/$Q$4</f>
        <v>0.23593929345746717</v>
      </c>
      <c r="X8" s="421">
        <f>G8+G12+H13+H17</f>
        <v>1850</v>
      </c>
      <c r="Y8" s="422"/>
    </row>
    <row r="9" spans="1:27" ht="43.5" customHeight="1" x14ac:dyDescent="0.3">
      <c r="A9" s="263">
        <v>7</v>
      </c>
      <c r="B9" s="264">
        <v>45434</v>
      </c>
      <c r="C9" s="265" t="s">
        <v>26</v>
      </c>
      <c r="D9" s="266" t="s">
        <v>670</v>
      </c>
      <c r="E9" s="265" t="s">
        <v>23</v>
      </c>
      <c r="F9" s="265"/>
      <c r="G9" s="269">
        <v>346</v>
      </c>
      <c r="H9" s="269"/>
      <c r="I9" s="269"/>
      <c r="J9" s="270" t="s">
        <v>675</v>
      </c>
      <c r="K9" s="258" t="s">
        <v>676</v>
      </c>
      <c r="L9" s="212"/>
      <c r="M9" s="370"/>
      <c r="N9" s="371"/>
      <c r="O9" s="372"/>
      <c r="P9" s="420"/>
      <c r="Q9" s="375"/>
      <c r="R9" s="376"/>
      <c r="T9" s="370"/>
      <c r="U9" s="371"/>
      <c r="V9" s="372"/>
      <c r="W9" s="420"/>
      <c r="X9" s="423"/>
      <c r="Y9" s="422"/>
    </row>
    <row r="10" spans="1:27" ht="43.5" customHeight="1" x14ac:dyDescent="0.3">
      <c r="A10" s="263">
        <v>8</v>
      </c>
      <c r="B10" s="264">
        <v>45443</v>
      </c>
      <c r="C10" s="265" t="s">
        <v>679</v>
      </c>
      <c r="D10" s="266" t="s">
        <v>671</v>
      </c>
      <c r="E10" s="265" t="s">
        <v>672</v>
      </c>
      <c r="F10" s="265"/>
      <c r="G10" s="272">
        <v>403</v>
      </c>
      <c r="H10" s="269"/>
      <c r="I10" s="269"/>
      <c r="J10" s="270" t="s">
        <v>678</v>
      </c>
      <c r="K10" s="258" t="s">
        <v>677</v>
      </c>
      <c r="L10" s="212"/>
      <c r="M10" s="413" t="s">
        <v>645</v>
      </c>
      <c r="N10" s="414"/>
      <c r="O10" s="415"/>
      <c r="P10" s="419">
        <f>Q10/$Q$4</f>
        <v>0.11529141691110828</v>
      </c>
      <c r="Q10" s="373">
        <f>G7</f>
        <v>904</v>
      </c>
      <c r="R10" s="374"/>
      <c r="T10" s="413" t="s">
        <v>704</v>
      </c>
      <c r="U10" s="414"/>
      <c r="V10" s="415"/>
      <c r="W10" s="419">
        <f>X10/$Q$4</f>
        <v>0.20864685626833313</v>
      </c>
      <c r="X10" s="421">
        <f>G9+H14+H16+H18</f>
        <v>1636</v>
      </c>
      <c r="Y10" s="422"/>
    </row>
    <row r="11" spans="1:27" ht="43.5" customHeight="1" x14ac:dyDescent="0.3">
      <c r="A11" s="263">
        <v>9</v>
      </c>
      <c r="B11" s="264">
        <v>45455</v>
      </c>
      <c r="C11" s="265" t="s">
        <v>243</v>
      </c>
      <c r="D11" s="266" t="s">
        <v>692</v>
      </c>
      <c r="E11" s="265" t="s">
        <v>695</v>
      </c>
      <c r="F11" s="265"/>
      <c r="G11" s="272">
        <v>258</v>
      </c>
      <c r="H11" s="269"/>
      <c r="I11" s="269"/>
      <c r="J11" s="270" t="s">
        <v>693</v>
      </c>
      <c r="K11" s="258" t="s">
        <v>694</v>
      </c>
      <c r="L11" s="212"/>
      <c r="M11" s="416"/>
      <c r="N11" s="417"/>
      <c r="O11" s="418"/>
      <c r="P11" s="420"/>
      <c r="Q11" s="375"/>
      <c r="R11" s="376"/>
      <c r="T11" s="416"/>
      <c r="U11" s="417"/>
      <c r="V11" s="418"/>
      <c r="W11" s="420"/>
      <c r="X11" s="423"/>
      <c r="Y11" s="422"/>
    </row>
    <row r="12" spans="1:27" ht="43.5" customHeight="1" x14ac:dyDescent="0.3">
      <c r="A12" s="263">
        <v>10</v>
      </c>
      <c r="B12" s="264">
        <v>45461</v>
      </c>
      <c r="C12" s="265" t="s">
        <v>447</v>
      </c>
      <c r="D12" s="266" t="s">
        <v>681</v>
      </c>
      <c r="E12" s="265" t="s">
        <v>23</v>
      </c>
      <c r="F12" s="265"/>
      <c r="G12" s="269">
        <v>291</v>
      </c>
      <c r="H12" s="269"/>
      <c r="I12" s="269"/>
      <c r="J12" s="270" t="s">
        <v>272</v>
      </c>
      <c r="K12" s="258" t="s">
        <v>682</v>
      </c>
      <c r="L12" s="212"/>
      <c r="M12" s="413" t="str">
        <f>E10</f>
        <v>비구조적 갱생 공법</v>
      </c>
      <c r="N12" s="414"/>
      <c r="O12" s="415"/>
      <c r="P12" s="419">
        <f>Q12/$Q$4</f>
        <v>5.1396505547761762E-2</v>
      </c>
      <c r="Q12" s="373">
        <f>G10</f>
        <v>403</v>
      </c>
      <c r="R12" s="374"/>
      <c r="T12" s="413" t="s">
        <v>705</v>
      </c>
      <c r="U12" s="414"/>
      <c r="V12" s="415"/>
      <c r="W12" s="419">
        <f>X12/$Q$4</f>
        <v>0.12855503124601453</v>
      </c>
      <c r="X12" s="421">
        <f>G5+H15</f>
        <v>1008</v>
      </c>
      <c r="Y12" s="422"/>
    </row>
    <row r="13" spans="1:27" ht="43.5" customHeight="1" x14ac:dyDescent="0.3">
      <c r="A13" s="263">
        <v>11</v>
      </c>
      <c r="B13" s="264">
        <v>45464</v>
      </c>
      <c r="C13" s="265" t="s">
        <v>447</v>
      </c>
      <c r="D13" s="266" t="s">
        <v>683</v>
      </c>
      <c r="E13" s="265" t="s">
        <v>23</v>
      </c>
      <c r="F13" s="265"/>
      <c r="G13" s="269">
        <v>872</v>
      </c>
      <c r="H13" s="269">
        <v>582</v>
      </c>
      <c r="I13" s="269"/>
      <c r="J13" s="270" t="s">
        <v>272</v>
      </c>
      <c r="K13" s="258" t="s">
        <v>684</v>
      </c>
      <c r="L13" s="212"/>
      <c r="M13" s="416"/>
      <c r="N13" s="417"/>
      <c r="O13" s="418"/>
      <c r="P13" s="420"/>
      <c r="Q13" s="375"/>
      <c r="R13" s="376"/>
      <c r="T13" s="416"/>
      <c r="U13" s="417"/>
      <c r="V13" s="418"/>
      <c r="W13" s="420"/>
      <c r="X13" s="423"/>
      <c r="Y13" s="422"/>
    </row>
    <row r="14" spans="1:27" ht="43.5" customHeight="1" x14ac:dyDescent="0.3">
      <c r="A14" s="263"/>
      <c r="B14" s="264">
        <v>45464</v>
      </c>
      <c r="C14" s="265" t="s">
        <v>26</v>
      </c>
      <c r="D14" s="266" t="s">
        <v>683</v>
      </c>
      <c r="E14" s="265" t="s">
        <v>23</v>
      </c>
      <c r="F14" s="265"/>
      <c r="G14" s="269">
        <v>872</v>
      </c>
      <c r="H14" s="269">
        <v>290</v>
      </c>
      <c r="I14" s="269"/>
      <c r="J14" s="270" t="s">
        <v>675</v>
      </c>
      <c r="K14" s="258" t="s">
        <v>684</v>
      </c>
      <c r="L14" s="212"/>
      <c r="M14" s="413" t="str">
        <f>E11</f>
        <v>건축물 노출 복합방수공법</v>
      </c>
      <c r="N14" s="414"/>
      <c r="O14" s="415"/>
      <c r="P14" s="419">
        <f>Q14/$Q$4</f>
        <v>3.2903966330825152E-2</v>
      </c>
      <c r="Q14" s="373">
        <f>G11</f>
        <v>258</v>
      </c>
      <c r="R14" s="374"/>
      <c r="T14" s="389" t="s">
        <v>30</v>
      </c>
      <c r="U14" s="390"/>
      <c r="V14" s="391"/>
      <c r="W14" s="395">
        <f>X14/$Q$4</f>
        <v>5.0248692768779489E-2</v>
      </c>
      <c r="X14" s="397">
        <f>H19</f>
        <v>394</v>
      </c>
      <c r="Y14" s="398"/>
    </row>
    <row r="15" spans="1:27" ht="43.5" customHeight="1" thickBot="1" x14ac:dyDescent="0.35">
      <c r="A15" s="263">
        <v>12</v>
      </c>
      <c r="B15" s="264">
        <v>45477</v>
      </c>
      <c r="C15" s="265" t="s">
        <v>419</v>
      </c>
      <c r="D15" s="266" t="s">
        <v>686</v>
      </c>
      <c r="E15" s="265" t="s">
        <v>23</v>
      </c>
      <c r="F15" s="265"/>
      <c r="G15" s="269">
        <v>216</v>
      </c>
      <c r="H15" s="269">
        <v>216</v>
      </c>
      <c r="I15" s="269"/>
      <c r="J15" s="270" t="s">
        <v>420</v>
      </c>
      <c r="K15" s="258" t="s">
        <v>688</v>
      </c>
      <c r="L15" s="212"/>
      <c r="M15" s="416"/>
      <c r="N15" s="417"/>
      <c r="O15" s="418"/>
      <c r="P15" s="420"/>
      <c r="Q15" s="375"/>
      <c r="R15" s="376"/>
      <c r="T15" s="392"/>
      <c r="U15" s="393"/>
      <c r="V15" s="394"/>
      <c r="W15" s="396"/>
      <c r="X15" s="399"/>
      <c r="Y15" s="400"/>
    </row>
    <row r="16" spans="1:27" ht="43.5" customHeight="1" x14ac:dyDescent="0.3">
      <c r="A16" s="263">
        <v>13</v>
      </c>
      <c r="B16" s="264">
        <v>45485</v>
      </c>
      <c r="C16" s="265" t="s">
        <v>26</v>
      </c>
      <c r="D16" s="266" t="s">
        <v>496</v>
      </c>
      <c r="E16" s="265" t="s">
        <v>23</v>
      </c>
      <c r="F16" s="265"/>
      <c r="G16" s="272">
        <v>297</v>
      </c>
      <c r="H16" s="269">
        <v>297</v>
      </c>
      <c r="I16" s="273"/>
      <c r="J16" s="270" t="s">
        <v>675</v>
      </c>
      <c r="K16" s="258" t="s">
        <v>689</v>
      </c>
      <c r="L16" s="212"/>
      <c r="M16" s="401" t="str">
        <f>E8</f>
        <v>부단수 차단</v>
      </c>
      <c r="N16" s="402"/>
      <c r="O16" s="403"/>
      <c r="P16" s="407">
        <f>Q16/$Q$4</f>
        <v>0.62338987374059429</v>
      </c>
      <c r="Q16" s="409">
        <f>G5+G8+G9+G12+G13+G15+G16+G17</f>
        <v>4888</v>
      </c>
      <c r="R16" s="410"/>
    </row>
    <row r="17" spans="1:18" ht="43.5" customHeight="1" thickBot="1" x14ac:dyDescent="0.35">
      <c r="A17" s="263">
        <v>14</v>
      </c>
      <c r="B17" s="264">
        <v>45492</v>
      </c>
      <c r="C17" s="265" t="s">
        <v>447</v>
      </c>
      <c r="D17" s="266" t="s">
        <v>673</v>
      </c>
      <c r="E17" s="265" t="s">
        <v>23</v>
      </c>
      <c r="F17" s="265"/>
      <c r="G17" s="272">
        <v>1828</v>
      </c>
      <c r="H17" s="269">
        <v>731</v>
      </c>
      <c r="I17" s="273"/>
      <c r="J17" s="270" t="s">
        <v>272</v>
      </c>
      <c r="K17" s="258" t="s">
        <v>691</v>
      </c>
      <c r="L17" s="212"/>
      <c r="M17" s="404"/>
      <c r="N17" s="405"/>
      <c r="O17" s="406"/>
      <c r="P17" s="408"/>
      <c r="Q17" s="411"/>
      <c r="R17" s="412"/>
    </row>
    <row r="18" spans="1:18" ht="43.5" customHeight="1" x14ac:dyDescent="0.3">
      <c r="A18" s="263"/>
      <c r="B18" s="264">
        <v>45492</v>
      </c>
      <c r="C18" s="265" t="s">
        <v>26</v>
      </c>
      <c r="D18" s="266" t="s">
        <v>673</v>
      </c>
      <c r="E18" s="265" t="s">
        <v>23</v>
      </c>
      <c r="F18" s="265"/>
      <c r="G18" s="272">
        <v>1828</v>
      </c>
      <c r="H18" s="269">
        <v>703</v>
      </c>
      <c r="I18" s="269"/>
      <c r="J18" s="270" t="s">
        <v>675</v>
      </c>
      <c r="K18" s="258" t="s">
        <v>691</v>
      </c>
      <c r="L18" s="212"/>
    </row>
    <row r="19" spans="1:18" ht="43.5" customHeight="1" thickBot="1" x14ac:dyDescent="0.35">
      <c r="A19" s="274"/>
      <c r="B19" s="275">
        <v>45492</v>
      </c>
      <c r="C19" s="276" t="s">
        <v>30</v>
      </c>
      <c r="D19" s="277" t="s">
        <v>673</v>
      </c>
      <c r="E19" s="276" t="s">
        <v>23</v>
      </c>
      <c r="F19" s="276"/>
      <c r="G19" s="278">
        <v>1828</v>
      </c>
      <c r="H19" s="279">
        <v>394</v>
      </c>
      <c r="I19" s="279"/>
      <c r="J19" s="280" t="s">
        <v>53</v>
      </c>
      <c r="K19" s="259" t="s">
        <v>691</v>
      </c>
      <c r="L19" s="212"/>
    </row>
  </sheetData>
  <autoFilter ref="A2:K14" xr:uid="{00000000-0009-0000-0000-000007000000}"/>
  <mergeCells count="50">
    <mergeCell ref="T12:V13"/>
    <mergeCell ref="W12:W13"/>
    <mergeCell ref="X12:Y13"/>
    <mergeCell ref="T3:V3"/>
    <mergeCell ref="X3:Y3"/>
    <mergeCell ref="T4:V6"/>
    <mergeCell ref="W4:W6"/>
    <mergeCell ref="X4:Y6"/>
    <mergeCell ref="T7:V7"/>
    <mergeCell ref="X7:Y7"/>
    <mergeCell ref="T8:V9"/>
    <mergeCell ref="W8:W9"/>
    <mergeCell ref="X8:Y9"/>
    <mergeCell ref="T10:V11"/>
    <mergeCell ref="W10:W11"/>
    <mergeCell ref="X10:Y11"/>
    <mergeCell ref="M10:O11"/>
    <mergeCell ref="P8:P9"/>
    <mergeCell ref="P10:P11"/>
    <mergeCell ref="Q10:R11"/>
    <mergeCell ref="M12:O13"/>
    <mergeCell ref="P12:P13"/>
    <mergeCell ref="Q12:R13"/>
    <mergeCell ref="T14:V15"/>
    <mergeCell ref="W14:W15"/>
    <mergeCell ref="X14:Y15"/>
    <mergeCell ref="M16:O17"/>
    <mergeCell ref="P16:P17"/>
    <mergeCell ref="Q16:R17"/>
    <mergeCell ref="M14:O15"/>
    <mergeCell ref="P14:P15"/>
    <mergeCell ref="Q14:R15"/>
    <mergeCell ref="M4:O6"/>
    <mergeCell ref="P4:P6"/>
    <mergeCell ref="M3:O3"/>
    <mergeCell ref="M8:O9"/>
    <mergeCell ref="Q8:R9"/>
    <mergeCell ref="Q3:R3"/>
    <mergeCell ref="Q4:R6"/>
    <mergeCell ref="M7:O7"/>
    <mergeCell ref="Q7:R7"/>
    <mergeCell ref="H1:H2"/>
    <mergeCell ref="J1:J2"/>
    <mergeCell ref="K1:K2"/>
    <mergeCell ref="A1:A2"/>
    <mergeCell ref="B1:B2"/>
    <mergeCell ref="C1:C2"/>
    <mergeCell ref="D1:D2"/>
    <mergeCell ref="E1:F1"/>
    <mergeCell ref="G1:G2"/>
  </mergeCells>
  <phoneticPr fontId="1" type="noConversion"/>
  <conditionalFormatting sqref="A3:A19">
    <cfRule type="containsText" dxfId="5" priority="3" operator="containsText" text="원도급">
      <formula>NOT(ISERROR(SEARCH("원도급",A3)))</formula>
    </cfRule>
    <cfRule type="containsText" dxfId="4" priority="4" operator="containsText" text="하도급">
      <formula>NOT(ISERROR(SEARCH("하도급",A3)))</formula>
    </cfRule>
  </conditionalFormatting>
  <conditionalFormatting sqref="G1:G14 AA6 G16:G1048576">
    <cfRule type="cellIs" dxfId="3" priority="2" operator="greaterThanOrEqual">
      <formula>500</formula>
    </cfRule>
  </conditionalFormatting>
  <pageMargins left="0.70866141732283472" right="0.70866141732283472" top="0.74803149606299213" bottom="0.74803149606299213" header="0.31496062992125984" footer="0.31496062992125984"/>
  <pageSetup paperSize="8" scale="46" fitToHeight="0" orientation="portrait" r:id="rId1"/>
  <colBreaks count="1" manualBreakCount="1">
    <brk id="11" max="40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79998168889431442"/>
    <pageSetUpPr fitToPage="1"/>
  </sheetPr>
  <dimension ref="A1:T29"/>
  <sheetViews>
    <sheetView view="pageBreakPreview" zoomScaleNormal="70" zoomScaleSheetLayoutView="100" zoomScalePageLayoutView="40" workbookViewId="0">
      <pane ySplit="2" topLeftCell="A12" activePane="bottomLeft" state="frozen"/>
      <selection activeCell="M14" sqref="M14"/>
      <selection pane="bottomLeft" activeCell="M14" sqref="M14:O15"/>
    </sheetView>
  </sheetViews>
  <sheetFormatPr defaultRowHeight="30" customHeight="1" x14ac:dyDescent="0.3"/>
  <cols>
    <col min="1" max="1" width="4.75" style="26" bestFit="1" customWidth="1"/>
    <col min="2" max="2" width="8" style="71" hidden="1" customWidth="1"/>
    <col min="3" max="3" width="15" style="27" bestFit="1" customWidth="1"/>
    <col min="4" max="4" width="61.75" style="25" customWidth="1"/>
    <col min="5" max="5" width="15.125" style="26" customWidth="1"/>
    <col min="6" max="6" width="3.25" style="26" hidden="1" customWidth="1"/>
    <col min="7" max="8" width="11.875" style="61" customWidth="1"/>
    <col min="9" max="9" width="11.875" style="61" hidden="1" customWidth="1"/>
    <col min="10" max="10" width="34.625" style="28" hidden="1" customWidth="1"/>
    <col min="11" max="11" width="15.375" style="26" hidden="1" customWidth="1"/>
    <col min="12" max="12" width="1.75" style="5" customWidth="1"/>
    <col min="13" max="19" width="9" style="5"/>
    <col min="20" max="20" width="11.875" style="5" bestFit="1" customWidth="1"/>
    <col min="21" max="16384" width="9" style="5"/>
  </cols>
  <sheetData>
    <row r="1" spans="1:20" s="14" customFormat="1" ht="21" customHeight="1" x14ac:dyDescent="0.3">
      <c r="A1" s="300" t="s">
        <v>3</v>
      </c>
      <c r="B1" s="302" t="s">
        <v>2</v>
      </c>
      <c r="C1" s="294" t="s">
        <v>0</v>
      </c>
      <c r="D1" s="294" t="s">
        <v>1</v>
      </c>
      <c r="E1" s="304" t="s">
        <v>18</v>
      </c>
      <c r="F1" s="305"/>
      <c r="G1" s="294" t="s">
        <v>647</v>
      </c>
      <c r="H1" s="298" t="s">
        <v>648</v>
      </c>
      <c r="I1" s="243"/>
      <c r="J1" s="296" t="s">
        <v>24</v>
      </c>
      <c r="K1" s="298" t="s">
        <v>206</v>
      </c>
    </row>
    <row r="2" spans="1:20" s="14" customFormat="1" ht="21" customHeight="1" thickBot="1" x14ac:dyDescent="0.35">
      <c r="A2" s="301"/>
      <c r="B2" s="303"/>
      <c r="C2" s="295"/>
      <c r="D2" s="295"/>
      <c r="E2" s="140" t="s">
        <v>300</v>
      </c>
      <c r="F2" s="140" t="s">
        <v>301</v>
      </c>
      <c r="G2" s="295"/>
      <c r="H2" s="299"/>
      <c r="I2" s="244"/>
      <c r="J2" s="297"/>
      <c r="K2" s="299"/>
      <c r="S2" s="14" t="s">
        <v>717</v>
      </c>
    </row>
    <row r="3" spans="1:20" ht="30" customHeight="1" thickBot="1" x14ac:dyDescent="0.3">
      <c r="A3" s="3">
        <v>1</v>
      </c>
      <c r="B3" s="8">
        <v>45350</v>
      </c>
      <c r="C3" s="20" t="s">
        <v>419</v>
      </c>
      <c r="D3" s="19" t="s">
        <v>660</v>
      </c>
      <c r="E3" s="20" t="s">
        <v>23</v>
      </c>
      <c r="F3" s="20"/>
      <c r="G3" s="60">
        <v>792</v>
      </c>
      <c r="H3" s="248"/>
      <c r="I3" s="245"/>
      <c r="J3" s="24" t="s">
        <v>420</v>
      </c>
      <c r="K3" s="55" t="s">
        <v>661</v>
      </c>
      <c r="M3" s="431"/>
      <c r="N3" s="431"/>
      <c r="O3" s="431"/>
      <c r="Q3" s="424" t="s">
        <v>696</v>
      </c>
      <c r="R3" s="424"/>
    </row>
    <row r="4" spans="1:20" ht="30" customHeight="1" x14ac:dyDescent="0.3">
      <c r="A4" s="80">
        <v>2</v>
      </c>
      <c r="B4" s="8"/>
      <c r="C4" s="20" t="s">
        <v>710</v>
      </c>
      <c r="D4" s="19" t="s">
        <v>706</v>
      </c>
      <c r="E4" s="20" t="s">
        <v>23</v>
      </c>
      <c r="F4" s="20"/>
      <c r="G4" s="60">
        <v>678</v>
      </c>
      <c r="H4" s="248"/>
      <c r="I4" s="245"/>
      <c r="J4" s="24"/>
      <c r="K4" s="55"/>
      <c r="L4" s="289"/>
      <c r="M4" s="432" t="s">
        <v>712</v>
      </c>
      <c r="N4" s="433"/>
      <c r="O4" s="433"/>
      <c r="P4" s="436"/>
      <c r="Q4" s="425">
        <f>T11</f>
        <v>7352</v>
      </c>
      <c r="R4" s="426"/>
    </row>
    <row r="5" spans="1:20" ht="30" customHeight="1" x14ac:dyDescent="0.3">
      <c r="A5" s="3">
        <v>3</v>
      </c>
      <c r="B5" s="8">
        <v>45422</v>
      </c>
      <c r="C5" s="20" t="s">
        <v>447</v>
      </c>
      <c r="D5" s="19" t="s">
        <v>666</v>
      </c>
      <c r="E5" s="20" t="s">
        <v>23</v>
      </c>
      <c r="F5" s="20"/>
      <c r="G5" s="60">
        <v>246</v>
      </c>
      <c r="H5" s="248"/>
      <c r="I5" s="245"/>
      <c r="J5" s="24" t="s">
        <v>272</v>
      </c>
      <c r="K5" s="55" t="s">
        <v>667</v>
      </c>
      <c r="M5" s="434"/>
      <c r="N5" s="435"/>
      <c r="O5" s="435"/>
      <c r="P5" s="437"/>
      <c r="Q5" s="427"/>
      <c r="R5" s="428"/>
    </row>
    <row r="6" spans="1:20" ht="30" customHeight="1" x14ac:dyDescent="0.3">
      <c r="A6" s="3">
        <v>4</v>
      </c>
      <c r="B6" s="8">
        <v>45434</v>
      </c>
      <c r="C6" s="20" t="s">
        <v>26</v>
      </c>
      <c r="D6" s="19" t="s">
        <v>670</v>
      </c>
      <c r="E6" s="20" t="s">
        <v>23</v>
      </c>
      <c r="F6" s="20"/>
      <c r="G6" s="60">
        <v>346</v>
      </c>
      <c r="H6" s="248"/>
      <c r="I6" s="245"/>
      <c r="J6" s="24" t="s">
        <v>675</v>
      </c>
      <c r="K6" s="55" t="s">
        <v>676</v>
      </c>
      <c r="M6" s="434"/>
      <c r="N6" s="435"/>
      <c r="O6" s="435"/>
      <c r="P6" s="437"/>
      <c r="Q6" s="427"/>
      <c r="R6" s="428"/>
    </row>
    <row r="7" spans="1:20" ht="30" customHeight="1" x14ac:dyDescent="0.3">
      <c r="A7" s="80">
        <v>5</v>
      </c>
      <c r="B7" s="8">
        <v>45470</v>
      </c>
      <c r="C7" s="20" t="s">
        <v>26</v>
      </c>
      <c r="D7" s="19" t="s">
        <v>707</v>
      </c>
      <c r="E7" s="20" t="s">
        <v>23</v>
      </c>
      <c r="F7" s="20"/>
      <c r="G7" s="60">
        <v>696</v>
      </c>
      <c r="H7" s="248"/>
      <c r="I7" s="245"/>
      <c r="J7" s="24"/>
      <c r="K7" s="55"/>
      <c r="M7" s="438" t="s">
        <v>702</v>
      </c>
      <c r="N7" s="429"/>
      <c r="O7" s="429"/>
      <c r="P7" s="227" t="s">
        <v>698</v>
      </c>
      <c r="Q7" s="429" t="s">
        <v>700</v>
      </c>
      <c r="R7" s="430"/>
    </row>
    <row r="8" spans="1:20" ht="30" customHeight="1" x14ac:dyDescent="0.3">
      <c r="A8" s="80">
        <v>6</v>
      </c>
      <c r="B8" s="8"/>
      <c r="C8" s="20" t="s">
        <v>447</v>
      </c>
      <c r="D8" s="19" t="s">
        <v>708</v>
      </c>
      <c r="E8" s="20" t="s">
        <v>23</v>
      </c>
      <c r="F8" s="20"/>
      <c r="G8" s="60">
        <v>72</v>
      </c>
      <c r="H8" s="248"/>
      <c r="I8" s="245"/>
      <c r="J8" s="24"/>
      <c r="K8" s="55"/>
      <c r="M8" s="439" t="str">
        <f>C5</f>
        <v>(주)대호스토퍼</v>
      </c>
      <c r="N8" s="440"/>
      <c r="O8" s="440"/>
      <c r="P8" s="441">
        <f>Q8/$Q$4</f>
        <v>0.26509793253536451</v>
      </c>
      <c r="Q8" s="421">
        <f>G5+G8+G11+H12+H18+G15</f>
        <v>1949</v>
      </c>
      <c r="R8" s="422"/>
    </row>
    <row r="9" spans="1:20" ht="30" customHeight="1" x14ac:dyDescent="0.3">
      <c r="A9" s="80"/>
      <c r="B9" s="8"/>
      <c r="C9" s="20" t="s">
        <v>419</v>
      </c>
      <c r="D9" s="19" t="s">
        <v>708</v>
      </c>
      <c r="E9" s="20" t="s">
        <v>23</v>
      </c>
      <c r="F9" s="20"/>
      <c r="G9" s="60">
        <v>72</v>
      </c>
      <c r="H9" s="248"/>
      <c r="I9" s="245"/>
      <c r="J9" s="24"/>
      <c r="K9" s="55"/>
      <c r="M9" s="439"/>
      <c r="N9" s="440"/>
      <c r="O9" s="440"/>
      <c r="P9" s="441"/>
      <c r="Q9" s="423"/>
      <c r="R9" s="422"/>
    </row>
    <row r="10" spans="1:20" ht="30" customHeight="1" thickBot="1" x14ac:dyDescent="0.35">
      <c r="A10" s="80">
        <v>7</v>
      </c>
      <c r="B10" s="8"/>
      <c r="C10" s="20" t="s">
        <v>710</v>
      </c>
      <c r="D10" s="19" t="s">
        <v>709</v>
      </c>
      <c r="E10" s="20" t="s">
        <v>23</v>
      </c>
      <c r="F10" s="20"/>
      <c r="G10" s="60">
        <v>378</v>
      </c>
      <c r="H10" s="248"/>
      <c r="I10" s="245"/>
      <c r="J10" s="24"/>
      <c r="K10" s="55"/>
      <c r="M10" s="442" t="str">
        <f>C6</f>
        <v>㈜장수티엔시</v>
      </c>
      <c r="N10" s="423"/>
      <c r="O10" s="423"/>
      <c r="P10" s="441">
        <f t="shared" ref="P10" si="0">Q10/$Q$4</f>
        <v>0.35799782372143635</v>
      </c>
      <c r="Q10" s="421">
        <f>G6+G7+H13+G16+G17+H19</f>
        <v>2632</v>
      </c>
      <c r="R10" s="422"/>
    </row>
    <row r="11" spans="1:20" ht="30" customHeight="1" thickTop="1" x14ac:dyDescent="0.3">
      <c r="A11" s="3">
        <v>8</v>
      </c>
      <c r="B11" s="8">
        <v>45461</v>
      </c>
      <c r="C11" s="20" t="s">
        <v>447</v>
      </c>
      <c r="D11" s="19" t="s">
        <v>681</v>
      </c>
      <c r="E11" s="20" t="s">
        <v>23</v>
      </c>
      <c r="F11" s="20"/>
      <c r="G11" s="60">
        <v>291</v>
      </c>
      <c r="H11" s="248"/>
      <c r="I11" s="245"/>
      <c r="J11" s="24" t="s">
        <v>272</v>
      </c>
      <c r="K11" s="55" t="s">
        <v>682</v>
      </c>
      <c r="M11" s="442"/>
      <c r="N11" s="423"/>
      <c r="O11" s="423"/>
      <c r="P11" s="441"/>
      <c r="Q11" s="423"/>
      <c r="R11" s="422"/>
      <c r="T11" s="232">
        <f>G3+G4+G5+G6+G7+G8+G14+G11+G12+G10+G9+G16+G17+G18+G15+G21</f>
        <v>7352</v>
      </c>
    </row>
    <row r="12" spans="1:20" ht="30" customHeight="1" x14ac:dyDescent="0.3">
      <c r="A12" s="3">
        <v>9</v>
      </c>
      <c r="B12" s="8">
        <v>45464</v>
      </c>
      <c r="C12" s="20" t="s">
        <v>447</v>
      </c>
      <c r="D12" s="19" t="s">
        <v>683</v>
      </c>
      <c r="E12" s="20" t="s">
        <v>23</v>
      </c>
      <c r="F12" s="20"/>
      <c r="G12" s="60">
        <v>872</v>
      </c>
      <c r="H12" s="248">
        <v>582</v>
      </c>
      <c r="I12" s="245"/>
      <c r="J12" s="24" t="s">
        <v>272</v>
      </c>
      <c r="K12" s="55" t="s">
        <v>684</v>
      </c>
      <c r="M12" s="442" t="str">
        <f>C9</f>
        <v>㈜이앤에스시스템</v>
      </c>
      <c r="N12" s="423"/>
      <c r="O12" s="423"/>
      <c r="P12" s="441">
        <f t="shared" ref="P12" si="1">Q12/$Q$4</f>
        <v>0.14689880304678998</v>
      </c>
      <c r="Q12" s="421">
        <f>G3+G9+G14</f>
        <v>1080</v>
      </c>
      <c r="R12" s="422"/>
    </row>
    <row r="13" spans="1:20" ht="30" customHeight="1" x14ac:dyDescent="0.3">
      <c r="A13" s="3"/>
      <c r="B13" s="8">
        <v>45464</v>
      </c>
      <c r="C13" s="20" t="s">
        <v>26</v>
      </c>
      <c r="D13" s="19" t="s">
        <v>683</v>
      </c>
      <c r="E13" s="20" t="s">
        <v>23</v>
      </c>
      <c r="F13" s="20"/>
      <c r="G13" s="60">
        <v>872</v>
      </c>
      <c r="H13" s="248">
        <v>290</v>
      </c>
      <c r="I13" s="245"/>
      <c r="J13" s="24" t="s">
        <v>675</v>
      </c>
      <c r="K13" s="55" t="s">
        <v>684</v>
      </c>
      <c r="M13" s="442"/>
      <c r="N13" s="423"/>
      <c r="O13" s="423"/>
      <c r="P13" s="441"/>
      <c r="Q13" s="423"/>
      <c r="R13" s="422"/>
    </row>
    <row r="14" spans="1:20" ht="30" customHeight="1" x14ac:dyDescent="0.3">
      <c r="A14" s="3">
        <v>10</v>
      </c>
      <c r="B14" s="8">
        <v>45477</v>
      </c>
      <c r="C14" s="20" t="s">
        <v>419</v>
      </c>
      <c r="D14" s="19" t="s">
        <v>686</v>
      </c>
      <c r="E14" s="20" t="s">
        <v>23</v>
      </c>
      <c r="F14" s="20"/>
      <c r="G14" s="60">
        <v>216</v>
      </c>
      <c r="H14" s="248"/>
      <c r="I14" s="245"/>
      <c r="J14" s="24" t="s">
        <v>420</v>
      </c>
      <c r="K14" s="55" t="s">
        <v>688</v>
      </c>
      <c r="M14" s="413" t="str">
        <f>C10</f>
        <v>LS밸브</v>
      </c>
      <c r="N14" s="414"/>
      <c r="O14" s="415"/>
      <c r="P14" s="419">
        <f t="shared" ref="P14" si="2">Q14/$Q$4</f>
        <v>0.14363438520130578</v>
      </c>
      <c r="Q14" s="373">
        <f>G10+G4</f>
        <v>1056</v>
      </c>
      <c r="R14" s="374"/>
    </row>
    <row r="15" spans="1:20" ht="30" customHeight="1" x14ac:dyDescent="0.3">
      <c r="A15" s="80">
        <v>11</v>
      </c>
      <c r="B15" s="8"/>
      <c r="C15" s="20" t="s">
        <v>447</v>
      </c>
      <c r="D15" s="19" t="s">
        <v>713</v>
      </c>
      <c r="E15" s="20" t="s">
        <v>23</v>
      </c>
      <c r="F15" s="20"/>
      <c r="G15" s="60">
        <v>27</v>
      </c>
      <c r="H15" s="248"/>
      <c r="I15" s="245"/>
      <c r="J15" s="24"/>
      <c r="K15" s="55"/>
      <c r="M15" s="416"/>
      <c r="N15" s="417"/>
      <c r="O15" s="418"/>
      <c r="P15" s="420"/>
      <c r="Q15" s="375"/>
      <c r="R15" s="376"/>
    </row>
    <row r="16" spans="1:20" ht="30" customHeight="1" x14ac:dyDescent="0.3">
      <c r="A16" s="3">
        <v>12</v>
      </c>
      <c r="B16" s="8">
        <v>45485</v>
      </c>
      <c r="C16" s="20" t="s">
        <v>26</v>
      </c>
      <c r="D16" s="19" t="s">
        <v>496</v>
      </c>
      <c r="E16" s="20" t="s">
        <v>23</v>
      </c>
      <c r="F16" s="20"/>
      <c r="G16" s="201">
        <v>297</v>
      </c>
      <c r="H16" s="248"/>
      <c r="I16" s="246"/>
      <c r="J16" s="24" t="s">
        <v>675</v>
      </c>
      <c r="K16" s="55" t="s">
        <v>689</v>
      </c>
      <c r="M16" s="389" t="str">
        <f>C21</f>
        <v>동진산업</v>
      </c>
      <c r="N16" s="390"/>
      <c r="O16" s="391"/>
      <c r="P16" s="395">
        <f>Q16/$Q$4</f>
        <v>8.6371055495103377E-2</v>
      </c>
      <c r="Q16" s="444">
        <f>H21+H20</f>
        <v>635</v>
      </c>
      <c r="R16" s="445"/>
    </row>
    <row r="17" spans="1:18" ht="30" customHeight="1" thickBot="1" x14ac:dyDescent="0.35">
      <c r="A17" s="80">
        <v>13</v>
      </c>
      <c r="B17" s="8">
        <v>45481</v>
      </c>
      <c r="C17" s="20" t="s">
        <v>26</v>
      </c>
      <c r="D17" s="19" t="s">
        <v>711</v>
      </c>
      <c r="E17" s="20" t="s">
        <v>23</v>
      </c>
      <c r="F17" s="20"/>
      <c r="G17" s="201">
        <v>300</v>
      </c>
      <c r="H17" s="248"/>
      <c r="I17" s="246"/>
      <c r="J17" s="24"/>
      <c r="K17" s="55"/>
      <c r="M17" s="392"/>
      <c r="N17" s="393"/>
      <c r="O17" s="394"/>
      <c r="P17" s="396"/>
      <c r="Q17" s="446"/>
      <c r="R17" s="447"/>
    </row>
    <row r="18" spans="1:18" ht="30" customHeight="1" x14ac:dyDescent="0.3">
      <c r="A18" s="3">
        <v>14</v>
      </c>
      <c r="B18" s="8">
        <v>45492</v>
      </c>
      <c r="C18" s="20" t="s">
        <v>447</v>
      </c>
      <c r="D18" s="19" t="s">
        <v>673</v>
      </c>
      <c r="E18" s="20" t="s">
        <v>23</v>
      </c>
      <c r="F18" s="20"/>
      <c r="G18" s="201">
        <v>1828</v>
      </c>
      <c r="H18" s="248">
        <v>731</v>
      </c>
      <c r="I18" s="246"/>
      <c r="J18" s="24" t="s">
        <v>272</v>
      </c>
      <c r="K18" s="55" t="s">
        <v>691</v>
      </c>
      <c r="M18" s="448" t="s">
        <v>714</v>
      </c>
      <c r="N18" s="448"/>
      <c r="O18" s="238">
        <f>G3+G5+G6+G11+G12+G14+G16+G18</f>
        <v>4888</v>
      </c>
    </row>
    <row r="19" spans="1:18" ht="30" customHeight="1" x14ac:dyDescent="0.3">
      <c r="A19" s="3"/>
      <c r="B19" s="8">
        <v>45492</v>
      </c>
      <c r="C19" s="20" t="s">
        <v>26</v>
      </c>
      <c r="D19" s="19" t="s">
        <v>673</v>
      </c>
      <c r="E19" s="20" t="s">
        <v>23</v>
      </c>
      <c r="F19" s="20"/>
      <c r="G19" s="201">
        <v>1828</v>
      </c>
      <c r="H19" s="248">
        <v>703</v>
      </c>
      <c r="I19" s="245"/>
      <c r="J19" s="24" t="s">
        <v>675</v>
      </c>
      <c r="K19" s="55" t="s">
        <v>691</v>
      </c>
      <c r="L19" s="255"/>
      <c r="M19" s="443" t="s">
        <v>715</v>
      </c>
      <c r="N19" s="443"/>
      <c r="O19" s="288">
        <f>G4+G7+G8+G9+G10+G17+G15+G21</f>
        <v>2464</v>
      </c>
    </row>
    <row r="20" spans="1:18" ht="30" customHeight="1" x14ac:dyDescent="0.3">
      <c r="A20" s="29"/>
      <c r="B20" s="30">
        <v>45492</v>
      </c>
      <c r="C20" s="32" t="s">
        <v>30</v>
      </c>
      <c r="D20" s="31" t="s">
        <v>673</v>
      </c>
      <c r="E20" s="32" t="s">
        <v>23</v>
      </c>
      <c r="F20" s="32"/>
      <c r="G20" s="290">
        <v>1828</v>
      </c>
      <c r="H20" s="291">
        <v>394</v>
      </c>
      <c r="I20" s="247"/>
      <c r="J20" s="191" t="s">
        <v>53</v>
      </c>
      <c r="K20" s="240" t="s">
        <v>691</v>
      </c>
      <c r="L20" s="237"/>
    </row>
    <row r="21" spans="1:18" ht="29.25" customHeight="1" thickBot="1" x14ac:dyDescent="0.35">
      <c r="A21" s="249">
        <v>15</v>
      </c>
      <c r="B21" s="250">
        <v>45492</v>
      </c>
      <c r="C21" s="251" t="s">
        <v>30</v>
      </c>
      <c r="D21" s="252" t="s">
        <v>716</v>
      </c>
      <c r="E21" s="251" t="s">
        <v>23</v>
      </c>
      <c r="F21" s="251"/>
      <c r="G21" s="253">
        <v>241</v>
      </c>
      <c r="H21" s="254">
        <v>241</v>
      </c>
      <c r="I21" s="247"/>
      <c r="J21" s="191" t="s">
        <v>53</v>
      </c>
      <c r="K21" s="240" t="s">
        <v>691</v>
      </c>
      <c r="L21" s="237"/>
    </row>
    <row r="22" spans="1:18" ht="30" customHeight="1" thickTop="1" x14ac:dyDescent="0.3">
      <c r="A22" s="228"/>
      <c r="B22" s="229"/>
      <c r="C22" s="230"/>
      <c r="D22" s="231"/>
      <c r="E22" s="230"/>
      <c r="F22" s="230"/>
      <c r="G22" s="5"/>
      <c r="H22" s="233"/>
      <c r="I22" s="233"/>
      <c r="J22" s="234"/>
      <c r="K22" s="241"/>
    </row>
    <row r="23" spans="1:18" ht="6" customHeight="1" x14ac:dyDescent="0.3">
      <c r="A23" s="211"/>
      <c r="E23" s="27"/>
      <c r="F23" s="27"/>
      <c r="G23" s="197"/>
      <c r="H23" s="197"/>
      <c r="I23" s="197"/>
      <c r="J23" s="235"/>
      <c r="K23" s="236"/>
    </row>
    <row r="24" spans="1:18" ht="30" customHeight="1" x14ac:dyDescent="0.3">
      <c r="A24" s="211"/>
      <c r="E24" s="27"/>
      <c r="F24" s="5"/>
      <c r="G24" s="5"/>
      <c r="H24" s="197"/>
      <c r="I24" s="197"/>
      <c r="J24" s="235"/>
      <c r="K24" s="236"/>
    </row>
    <row r="25" spans="1:18" ht="30" customHeight="1" x14ac:dyDescent="0.3">
      <c r="A25" s="211"/>
      <c r="E25" s="27"/>
      <c r="F25" s="5"/>
      <c r="G25" s="5"/>
      <c r="H25" s="197"/>
      <c r="I25" s="197"/>
      <c r="J25" s="235"/>
      <c r="K25" s="236"/>
    </row>
    <row r="26" spans="1:18" ht="30" customHeight="1" x14ac:dyDescent="0.3">
      <c r="A26" s="211"/>
      <c r="E26" s="27"/>
      <c r="F26" s="27"/>
      <c r="G26" s="197"/>
      <c r="H26" s="197"/>
      <c r="I26" s="197"/>
      <c r="J26" s="235"/>
      <c r="K26" s="239"/>
    </row>
    <row r="27" spans="1:18" ht="30" customHeight="1" x14ac:dyDescent="0.3">
      <c r="A27" s="211"/>
      <c r="E27" s="27"/>
      <c r="F27" s="27"/>
      <c r="G27" s="197"/>
      <c r="H27" s="197"/>
      <c r="I27" s="197"/>
      <c r="J27" s="235"/>
      <c r="K27" s="239"/>
    </row>
    <row r="28" spans="1:18" ht="30" customHeight="1" x14ac:dyDescent="0.3">
      <c r="A28" s="211"/>
      <c r="E28" s="27"/>
      <c r="F28" s="27"/>
      <c r="G28" s="197"/>
      <c r="H28" s="197"/>
      <c r="I28" s="197"/>
      <c r="J28" s="235"/>
      <c r="K28" s="239"/>
    </row>
    <row r="29" spans="1:18" ht="30" customHeight="1" x14ac:dyDescent="0.3">
      <c r="G29" s="197"/>
      <c r="H29" s="197"/>
      <c r="I29" s="197"/>
    </row>
  </sheetData>
  <autoFilter ref="A2:M13" xr:uid="{00000000-0009-0000-0000-000008000000}"/>
  <mergeCells count="33">
    <mergeCell ref="Q14:R15"/>
    <mergeCell ref="M16:O17"/>
    <mergeCell ref="P16:P17"/>
    <mergeCell ref="Q16:R17"/>
    <mergeCell ref="M18:N18"/>
    <mergeCell ref="M19:N19"/>
    <mergeCell ref="M14:O15"/>
    <mergeCell ref="P14:P15"/>
    <mergeCell ref="M12:O13"/>
    <mergeCell ref="P12:P13"/>
    <mergeCell ref="Q12:R13"/>
    <mergeCell ref="M7:O7"/>
    <mergeCell ref="Q7:R7"/>
    <mergeCell ref="M8:O9"/>
    <mergeCell ref="P8:P9"/>
    <mergeCell ref="Q8:R9"/>
    <mergeCell ref="M10:O11"/>
    <mergeCell ref="P10:P11"/>
    <mergeCell ref="Q10:R11"/>
    <mergeCell ref="M3:O3"/>
    <mergeCell ref="Q3:R3"/>
    <mergeCell ref="M4:O6"/>
    <mergeCell ref="P4:P6"/>
    <mergeCell ref="Q4:R6"/>
    <mergeCell ref="H1:H2"/>
    <mergeCell ref="J1:J2"/>
    <mergeCell ref="K1:K2"/>
    <mergeCell ref="A1:A2"/>
    <mergeCell ref="B1:B2"/>
    <mergeCell ref="C1:C2"/>
    <mergeCell ref="D1:D2"/>
    <mergeCell ref="E1:F1"/>
    <mergeCell ref="G1:G2"/>
  </mergeCells>
  <phoneticPr fontId="1" type="noConversion"/>
  <conditionalFormatting sqref="A3:A28">
    <cfRule type="containsText" dxfId="2" priority="2" operator="containsText" text="원도급">
      <formula>NOT(ISERROR(SEARCH("원도급",A3)))</formula>
    </cfRule>
    <cfRule type="containsText" dxfId="1" priority="3" operator="containsText" text="하도급">
      <formula>NOT(ISERROR(SEARCH("하도급",A3)))</formula>
    </cfRule>
  </conditionalFormatting>
  <conditionalFormatting sqref="G1:G13 G16:G21 G26:G1048576">
    <cfRule type="cellIs" dxfId="0" priority="1" operator="greaterThanOrEqual">
      <formula>500</formula>
    </cfRule>
  </conditionalFormatting>
  <pageMargins left="0.70866141732283472" right="0.70866141732283472" top="0.74803149606299213" bottom="0.74803149606299213" header="0.31496062992125984" footer="0.31496062992125984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심사예정</vt:lpstr>
      <vt:lpstr>심사일자별리스트</vt:lpstr>
      <vt:lpstr>공법기준</vt:lpstr>
      <vt:lpstr>선정업체기준</vt:lpstr>
      <vt:lpstr>5억이상 이준</vt:lpstr>
      <vt:lpstr>23년~ 부단수 기준</vt:lpstr>
      <vt:lpstr>23년~ 부단수 기준 (사장님 요청-240521)</vt:lpstr>
      <vt:lpstr>2024Kwater공법선정결과</vt:lpstr>
      <vt:lpstr>2024 총 부단수 </vt:lpstr>
      <vt:lpstr>'2024 총 부단수 '!Print_Area</vt:lpstr>
      <vt:lpstr>'2024Kwater공법선정결과'!Print_Area</vt:lpstr>
      <vt:lpstr>'23년~ 부단수 기준'!Print_Area</vt:lpstr>
      <vt:lpstr>'23년~ 부단수 기준 (사장님 요청-240521)'!Print_Area</vt:lpstr>
      <vt:lpstr>'5억이상 이준'!Print_Area</vt:lpstr>
      <vt:lpstr>공법기준!Print_Area</vt:lpstr>
      <vt:lpstr>선정업체기준!Print_Area</vt:lpstr>
      <vt:lpstr>심사예정!Print_Area</vt:lpstr>
      <vt:lpstr>심사일자별리스트!Print_Area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dhcst</dc:creator>
  <cp:lastModifiedBy>승리 백</cp:lastModifiedBy>
  <cp:lastPrinted>2024-07-25T04:55:21Z</cp:lastPrinted>
  <dcterms:created xsi:type="dcterms:W3CDTF">2022-12-26T02:25:37Z</dcterms:created>
  <dcterms:modified xsi:type="dcterms:W3CDTF">2026-04-27T06:45:57Z</dcterms:modified>
</cp:coreProperties>
</file>