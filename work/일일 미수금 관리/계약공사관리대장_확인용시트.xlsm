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PC_1M\Desktop\seohabucks\work\일일 미수금 관리\"/>
    </mc:Choice>
  </mc:AlternateContent>
  <xr:revisionPtr revIDLastSave="0" documentId="13_ncr:1_{01051AD1-2DDC-46F3-A806-4313782BF638}" xr6:coauthVersionLast="47" xr6:coauthVersionMax="47" xr10:uidLastSave="{00000000-0000-0000-0000-000000000000}"/>
  <bookViews>
    <workbookView xWindow="-120" yWindow="-120" windowWidth="29040" windowHeight="15720" xr2:uid="{01996E14-31AC-4DBA-8EBE-28FE2082624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7" i="1" l="1"/>
  <c r="N65" i="1"/>
  <c r="N64" i="1"/>
  <c r="N63" i="1"/>
  <c r="N62" i="1"/>
  <c r="R61" i="1"/>
  <c r="N61" i="1" s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R31" i="1"/>
  <c r="N31" i="1" s="1"/>
  <c r="R30" i="1"/>
  <c r="N30" i="1" s="1"/>
  <c r="N29" i="1"/>
  <c r="N28" i="1"/>
  <c r="N27" i="1"/>
  <c r="N26" i="1"/>
  <c r="M25" i="1"/>
  <c r="N25" i="1" s="1"/>
  <c r="M24" i="1"/>
  <c r="N24" i="1" s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</calcChain>
</file>

<file path=xl/sharedStrings.xml><?xml version="1.0" encoding="utf-8"?>
<sst xmlns="http://schemas.openxmlformats.org/spreadsheetml/2006/main" count="471" uniqueCount="223">
  <si>
    <t>No.</t>
  </si>
  <si>
    <t>JD-00971-01</t>
  </si>
  <si>
    <t>JD-00971-02</t>
  </si>
  <si>
    <t>JD-00971-03</t>
  </si>
  <si>
    <t>부단수 공사 계약 관리 대장</t>
    <phoneticPr fontId="1" type="noConversion"/>
  </si>
  <si>
    <t>상수도</t>
    <phoneticPr fontId="1" type="noConversion"/>
  </si>
  <si>
    <t>강관</t>
    <phoneticPr fontId="1" type="noConversion"/>
  </si>
  <si>
    <t>주철관</t>
    <phoneticPr fontId="1" type="noConversion"/>
  </si>
  <si>
    <t>지역난방</t>
    <phoneticPr fontId="1" type="noConversion"/>
  </si>
  <si>
    <t>250 / 2P</t>
    <phoneticPr fontId="1" type="noConversion"/>
  </si>
  <si>
    <t>700 / 4P</t>
    <phoneticPr fontId="1" type="noConversion"/>
  </si>
  <si>
    <t>지성엔지니어링</t>
    <phoneticPr fontId="1" type="noConversion"/>
  </si>
  <si>
    <t>한국지역난방공사 분당</t>
    <phoneticPr fontId="1" type="noConversion"/>
  </si>
  <si>
    <t>600 / 2P</t>
    <phoneticPr fontId="1" type="noConversion"/>
  </si>
  <si>
    <t>GS파워 안양</t>
    <phoneticPr fontId="1" type="noConversion"/>
  </si>
  <si>
    <t>한은ENC</t>
    <phoneticPr fontId="1" type="noConversion"/>
  </si>
  <si>
    <t>300 / 4P</t>
    <phoneticPr fontId="1" type="noConversion"/>
  </si>
  <si>
    <t>500 / 4P</t>
    <phoneticPr fontId="1" type="noConversion"/>
  </si>
  <si>
    <t>대성기공</t>
    <phoneticPr fontId="1" type="noConversion"/>
  </si>
  <si>
    <t>현대건설</t>
    <phoneticPr fontId="1" type="noConversion"/>
  </si>
  <si>
    <t>광진기업</t>
    <phoneticPr fontId="1" type="noConversion"/>
  </si>
  <si>
    <t>용인 200A 2P 난방</t>
    <phoneticPr fontId="1" type="noConversion"/>
  </si>
  <si>
    <t>한국지역난방공사 용인</t>
    <phoneticPr fontId="1" type="noConversion"/>
  </si>
  <si>
    <t>200 / 4P</t>
    <phoneticPr fontId="1" type="noConversion"/>
  </si>
  <si>
    <t>서울에너지공사 동부지사</t>
    <phoneticPr fontId="1" type="noConversion"/>
  </si>
  <si>
    <t>분당 250A 2P 난방</t>
    <phoneticPr fontId="1" type="noConversion"/>
  </si>
  <si>
    <t>용인 500A 2P 난방</t>
    <phoneticPr fontId="1" type="noConversion"/>
  </si>
  <si>
    <t>GS파워</t>
    <phoneticPr fontId="1" type="noConversion"/>
  </si>
  <si>
    <t>900 / 2P</t>
    <phoneticPr fontId="1" type="noConversion"/>
  </si>
  <si>
    <t>GS네오텍</t>
    <phoneticPr fontId="1" type="noConversion"/>
  </si>
  <si>
    <t>한국지역난방공사 삼송</t>
    <phoneticPr fontId="1" type="noConversion"/>
  </si>
  <si>
    <t>극동건설</t>
    <phoneticPr fontId="1" type="noConversion"/>
  </si>
  <si>
    <t>드림라인</t>
    <phoneticPr fontId="1" type="noConversion"/>
  </si>
  <si>
    <t>800 / 2P</t>
    <phoneticPr fontId="1" type="noConversion"/>
  </si>
  <si>
    <t>인천공항에너지</t>
    <phoneticPr fontId="1" type="noConversion"/>
  </si>
  <si>
    <t>1350 / 1P</t>
    <phoneticPr fontId="1" type="noConversion"/>
  </si>
  <si>
    <t>금호건설</t>
    <phoneticPr fontId="1" type="noConversion"/>
  </si>
  <si>
    <t>동진산업</t>
    <phoneticPr fontId="1" type="noConversion"/>
  </si>
  <si>
    <t>부산도시가스</t>
    <phoneticPr fontId="1" type="noConversion"/>
  </si>
  <si>
    <t>1800 / 2P</t>
    <phoneticPr fontId="1" type="noConversion"/>
  </si>
  <si>
    <t>1000 / 2P</t>
    <phoneticPr fontId="1" type="noConversion"/>
  </si>
  <si>
    <t>평택시</t>
    <phoneticPr fontId="1" type="noConversion"/>
  </si>
  <si>
    <t>흥화</t>
    <phoneticPr fontId="1" type="noConversion"/>
  </si>
  <si>
    <t>충남서부권 광역상수도사업(제2공구-태안계통) 및 추가사업 시설공사</t>
    <phoneticPr fontId="1" type="noConversion"/>
  </si>
  <si>
    <t>400 / 4P</t>
    <phoneticPr fontId="1" type="noConversion"/>
  </si>
  <si>
    <t>1500 / 2P</t>
    <phoneticPr fontId="1" type="noConversion"/>
  </si>
  <si>
    <t>시티</t>
    <phoneticPr fontId="1" type="noConversion"/>
  </si>
  <si>
    <t>을묘종건</t>
    <phoneticPr fontId="1" type="noConversion"/>
  </si>
  <si>
    <t>승재</t>
    <phoneticPr fontId="1" type="noConversion"/>
  </si>
  <si>
    <t>분기 150*65 / 2P</t>
    <phoneticPr fontId="1" type="noConversion"/>
  </si>
  <si>
    <t>1500*1500</t>
    <phoneticPr fontId="1" type="noConversion"/>
  </si>
  <si>
    <t>대전시/용덕건설</t>
    <phoneticPr fontId="1" type="noConversion"/>
  </si>
  <si>
    <t>성산산업개발</t>
    <phoneticPr fontId="1" type="noConversion"/>
  </si>
  <si>
    <t>대전광역시 상수도 고도정수처리시설 3단계 설치공사</t>
    <phoneticPr fontId="1" type="noConversion"/>
  </si>
  <si>
    <t>K-water</t>
    <phoneticPr fontId="1" type="noConversion"/>
  </si>
  <si>
    <t>2400 / 4P</t>
    <phoneticPr fontId="1" type="noConversion"/>
  </si>
  <si>
    <t>2400*1800 / 4P</t>
    <phoneticPr fontId="1" type="noConversion"/>
  </si>
  <si>
    <t>한국지역난방공사 파주</t>
    <phoneticPr fontId="1" type="noConversion"/>
  </si>
  <si>
    <t>예일엔지니어링</t>
    <phoneticPr fontId="1" type="noConversion"/>
  </si>
  <si>
    <t>태안 700Ax500 4P 주철</t>
    <phoneticPr fontId="1" type="noConversion"/>
  </si>
  <si>
    <t>일성건설</t>
    <phoneticPr fontId="1" type="noConversion"/>
  </si>
  <si>
    <t>삭선~원북 지방도 확포장공사 중 부단수 차단 공사</t>
    <phoneticPr fontId="1" type="noConversion"/>
  </si>
  <si>
    <t>2025년 안양지역 열수송관 성능취약 개선공사(김영창)</t>
    <phoneticPr fontId="1" type="noConversion"/>
  </si>
  <si>
    <t>안양 500A 1P 난방</t>
    <phoneticPr fontId="1" type="noConversion"/>
  </si>
  <si>
    <t>500 / 1P</t>
    <phoneticPr fontId="1" type="noConversion"/>
  </si>
  <si>
    <t>경남기업</t>
    <phoneticPr fontId="1" type="noConversion"/>
  </si>
  <si>
    <t>안양 300A 4P 난방</t>
    <phoneticPr fontId="1" type="noConversion"/>
  </si>
  <si>
    <t>현대자동차</t>
    <phoneticPr fontId="1" type="noConversion"/>
  </si>
  <si>
    <t>인천 600A 2P 난방</t>
    <phoneticPr fontId="1" type="noConversion"/>
  </si>
  <si>
    <t>24년 열수송관 무단수공사 단가계약</t>
    <phoneticPr fontId="1" type="noConversion"/>
  </si>
  <si>
    <t>분당 100A 4P 난방</t>
    <phoneticPr fontId="1" type="noConversion"/>
  </si>
  <si>
    <t>2025년 열수송관 천공 및 차단공사(1권역)</t>
    <phoneticPr fontId="1" type="noConversion"/>
  </si>
  <si>
    <t>양산 1000Ax750 1P neck</t>
    <phoneticPr fontId="1" type="noConversion"/>
  </si>
  <si>
    <t>SD-01162-01</t>
    <phoneticPr fontId="1" type="noConversion"/>
  </si>
  <si>
    <t>서스316L</t>
    <phoneticPr fontId="1" type="noConversion"/>
  </si>
  <si>
    <t>양산시</t>
    <phoneticPr fontId="1" type="noConversion"/>
  </si>
  <si>
    <t>양산시 신도시 정수장 증설공사 건설사업</t>
    <phoneticPr fontId="1" type="noConversion"/>
  </si>
  <si>
    <t>분당 65A 2P 난방</t>
    <phoneticPr fontId="1" type="noConversion"/>
  </si>
  <si>
    <t>JD-00954-01</t>
    <phoneticPr fontId="1" type="noConversion"/>
  </si>
  <si>
    <t>양산 1000Ax750 1P 반패드</t>
    <phoneticPr fontId="1" type="noConversion"/>
  </si>
  <si>
    <t>SD-01163-01</t>
    <phoneticPr fontId="1" type="noConversion"/>
  </si>
  <si>
    <t>양산 1000Ax750 1P SUS Neck피팅</t>
    <phoneticPr fontId="1" type="noConversion"/>
  </si>
  <si>
    <t>SD-01160-01</t>
    <phoneticPr fontId="1" type="noConversion"/>
  </si>
  <si>
    <t>분당 400A 4P 난방</t>
    <phoneticPr fontId="1" type="noConversion"/>
  </si>
  <si>
    <t>JD-00956-01</t>
    <phoneticPr fontId="1" type="noConversion"/>
  </si>
  <si>
    <t>세종150Ax65 2P 분기티</t>
    <phoneticPr fontId="1" type="noConversion"/>
  </si>
  <si>
    <t>JD-00955-01</t>
    <phoneticPr fontId="1" type="noConversion"/>
  </si>
  <si>
    <t>한국지역난방공사 세종</t>
    <phoneticPr fontId="1" type="noConversion"/>
  </si>
  <si>
    <t>JD-00958-01</t>
    <phoneticPr fontId="1" type="noConversion"/>
  </si>
  <si>
    <t>용인 700A 4P 난방</t>
    <phoneticPr fontId="1" type="noConversion"/>
  </si>
  <si>
    <t>JD-00953-01</t>
    <phoneticPr fontId="1" type="noConversion"/>
  </si>
  <si>
    <t>분당 80A 2P 난방</t>
    <phoneticPr fontId="1" type="noConversion"/>
  </si>
  <si>
    <t>JD-00959-01</t>
    <phoneticPr fontId="1" type="noConversion"/>
  </si>
  <si>
    <t>분당 150A 난방 2P</t>
    <phoneticPr fontId="1" type="noConversion"/>
  </si>
  <si>
    <t>분당 125A 난방 2P</t>
    <phoneticPr fontId="1" type="noConversion"/>
  </si>
  <si>
    <t>분당 100A 난방 2P</t>
    <phoneticPr fontId="1" type="noConversion"/>
  </si>
  <si>
    <t>분당 600A 난방 2P</t>
    <phoneticPr fontId="1" type="noConversion"/>
  </si>
  <si>
    <t>JD-00960-01</t>
    <phoneticPr fontId="1" type="noConversion"/>
  </si>
  <si>
    <t>판교 450A 2P 난방</t>
    <phoneticPr fontId="1" type="noConversion"/>
  </si>
  <si>
    <t>JD-00028-0A</t>
    <phoneticPr fontId="1" type="noConversion"/>
  </si>
  <si>
    <t>한국지역난방공사 판교</t>
    <phoneticPr fontId="1" type="noConversion"/>
  </si>
  <si>
    <t>분당 700A 난방 4P</t>
    <phoneticPr fontId="1" type="noConversion"/>
  </si>
  <si>
    <t>JD-00961-01</t>
    <phoneticPr fontId="1" type="noConversion"/>
  </si>
  <si>
    <t>보령 1500Ax1200 2P</t>
    <phoneticPr fontId="1" type="noConversion"/>
  </si>
  <si>
    <t>SD-00083-0A</t>
    <phoneticPr fontId="1" type="noConversion"/>
  </si>
  <si>
    <t>청현</t>
    <phoneticPr fontId="1" type="noConversion"/>
  </si>
  <si>
    <t>(긴급)국도21호선 횡단구간 보령댐계통 광역상수도 긴급복구(복선화) 공사</t>
    <phoneticPr fontId="1" type="noConversion"/>
  </si>
  <si>
    <t>용인 700A 난방 6P(재차단2P)</t>
    <phoneticPr fontId="1" type="noConversion"/>
  </si>
  <si>
    <t>JD-00020-0A</t>
    <phoneticPr fontId="1" type="noConversion"/>
  </si>
  <si>
    <t>JD-00029-0A</t>
    <phoneticPr fontId="1" type="noConversion"/>
  </si>
  <si>
    <t>대전1650Ax1200 1P(동진작업)</t>
    <phoneticPr fontId="1" type="noConversion"/>
  </si>
  <si>
    <t>SD-00025-0A</t>
    <phoneticPr fontId="1" type="noConversion"/>
  </si>
  <si>
    <t>1650/1P</t>
    <phoneticPr fontId="1" type="noConversion"/>
  </si>
  <si>
    <t>대전1650Ax1200 1P</t>
    <phoneticPr fontId="1" type="noConversion"/>
  </si>
  <si>
    <t>SD-00026-0A</t>
    <phoneticPr fontId="1" type="noConversion"/>
  </si>
  <si>
    <t>구의 1650Ax1200 1P 재차단</t>
    <phoneticPr fontId="1" type="noConversion"/>
  </si>
  <si>
    <t>SD-000085-0A</t>
    <phoneticPr fontId="1" type="noConversion"/>
  </si>
  <si>
    <t>구의정수장</t>
    <phoneticPr fontId="1" type="noConversion"/>
  </si>
  <si>
    <t>용인 150A 2P 난방</t>
    <phoneticPr fontId="1" type="noConversion"/>
  </si>
  <si>
    <t>JD-00030-0A</t>
    <phoneticPr fontId="1" type="noConversion"/>
  </si>
  <si>
    <t>고덕 1500Ax 1000 2P</t>
    <phoneticPr fontId="1" type="noConversion"/>
  </si>
  <si>
    <t>JD-00033-0A</t>
    <phoneticPr fontId="1" type="noConversion"/>
  </si>
  <si>
    <t>씨티건설</t>
    <phoneticPr fontId="1" type="noConversion"/>
  </si>
  <si>
    <t>JD-00036-0A</t>
    <phoneticPr fontId="1" type="noConversion"/>
  </si>
  <si>
    <t>고양 1000Ax700 1P 주철 천공(제)</t>
    <phoneticPr fontId="1" type="noConversion"/>
  </si>
  <si>
    <t>SD-00084-0A</t>
    <phoneticPr fontId="1" type="noConversion"/>
  </si>
  <si>
    <t>1000*700</t>
    <phoneticPr fontId="1" type="noConversion"/>
  </si>
  <si>
    <t>부천 125Ax125 2P 분기티</t>
    <phoneticPr fontId="1" type="noConversion"/>
  </si>
  <si>
    <t>JD-00035-0A</t>
    <phoneticPr fontId="1" type="noConversion"/>
  </si>
  <si>
    <t>분기125*125 / 2P</t>
    <phoneticPr fontId="1" type="noConversion"/>
  </si>
  <si>
    <t>2025년 부천지역 열수송관 성능/취약개선공사</t>
    <phoneticPr fontId="1" type="noConversion"/>
  </si>
  <si>
    <t>삼송 500A 2P 난방</t>
    <phoneticPr fontId="1" type="noConversion"/>
  </si>
  <si>
    <t>JD-00031-0A</t>
    <phoneticPr fontId="1" type="noConversion"/>
  </si>
  <si>
    <t>태백 1000Ax850 2P</t>
    <phoneticPr fontId="1" type="noConversion"/>
  </si>
  <si>
    <t>SD-00050-0A</t>
    <phoneticPr fontId="1" type="noConversion"/>
  </si>
  <si>
    <t>태백권광역상수도 광동댐계통 노후관 개량사업</t>
    <phoneticPr fontId="1" type="noConversion"/>
  </si>
  <si>
    <t>안양 500 4P 난방</t>
    <phoneticPr fontId="1" type="noConversion"/>
  </si>
  <si>
    <t>JD-00004-0A</t>
    <phoneticPr fontId="1" type="noConversion"/>
  </si>
  <si>
    <t>안양종합운동장역 간섭구간 열수송관 이설공사(1차-2)</t>
    <phoneticPr fontId="1" type="noConversion"/>
  </si>
  <si>
    <t>JD-00005-0A</t>
    <phoneticPr fontId="1" type="noConversion"/>
  </si>
  <si>
    <t>양산 1100Ax850 1P</t>
    <phoneticPr fontId="1" type="noConversion"/>
  </si>
  <si>
    <t>SD-00077-0A</t>
    <phoneticPr fontId="1" type="noConversion"/>
  </si>
  <si>
    <t>1100 / 1P</t>
    <phoneticPr fontId="1" type="noConversion"/>
  </si>
  <si>
    <t>분기티 300Ax200 2P 을묘</t>
    <phoneticPr fontId="1" type="noConversion"/>
  </si>
  <si>
    <t>JD-00038-0A</t>
    <phoneticPr fontId="1" type="noConversion"/>
  </si>
  <si>
    <t>분기300*200 / 2P</t>
    <phoneticPr fontId="1" type="noConversion"/>
  </si>
  <si>
    <t>에코델타시티 지식산업센터(도시5BL) 열수송관 인입공사</t>
    <phoneticPr fontId="1" type="noConversion"/>
  </si>
  <si>
    <t>JD-00037-0A</t>
    <phoneticPr fontId="1" type="noConversion"/>
  </si>
  <si>
    <t>대전 900Ax600 2P+100A 천공(제)1P 100A 자재:진한</t>
    <phoneticPr fontId="1" type="noConversion"/>
  </si>
  <si>
    <t>SD-00087-0A</t>
    <phoneticPr fontId="1" type="noConversion"/>
  </si>
  <si>
    <t>진안</t>
    <phoneticPr fontId="1" type="noConversion"/>
  </si>
  <si>
    <t>세우건설산업</t>
    <phoneticPr fontId="1" type="noConversion"/>
  </si>
  <si>
    <t>대전하수처리장 시설현대화 민간투자사업</t>
    <phoneticPr fontId="1" type="noConversion"/>
  </si>
  <si>
    <t>홍성 800Ax600 2P 강관</t>
    <phoneticPr fontId="1" type="noConversion"/>
  </si>
  <si>
    <t>SD-00018-0A</t>
    <phoneticPr fontId="1" type="noConversion"/>
  </si>
  <si>
    <t>시흥 200A 4P 난방</t>
    <phoneticPr fontId="1" type="noConversion"/>
  </si>
  <si>
    <t>JD-00006-0A</t>
    <phoneticPr fontId="1" type="noConversion"/>
  </si>
  <si>
    <t>월곶~판교선 제2공구 장곡역 정거장 간섭구간 열수송관 이설공사(2공구)</t>
    <phoneticPr fontId="1" type="noConversion"/>
  </si>
  <si>
    <t>양산 1500Ax1100 1P</t>
    <phoneticPr fontId="1" type="noConversion"/>
  </si>
  <si>
    <t>SD-00078-0A</t>
    <phoneticPr fontId="1" type="noConversion"/>
  </si>
  <si>
    <t>고덕 1500Ax 1500 1P 천공(제) 천공경 1350A</t>
    <phoneticPr fontId="1" type="noConversion"/>
  </si>
  <si>
    <t>SD-00089-0A</t>
    <phoneticPr fontId="1" type="noConversion"/>
  </si>
  <si>
    <t>JD-00032-0A</t>
    <phoneticPr fontId="1" type="noConversion"/>
  </si>
  <si>
    <t>우원디아이씨</t>
    <phoneticPr fontId="1" type="noConversion"/>
  </si>
  <si>
    <t>과천 지역 공급 배관 Vent 배관 누수 정비공사</t>
    <phoneticPr fontId="1" type="noConversion"/>
  </si>
  <si>
    <t>용인 700A 6P 난방</t>
    <phoneticPr fontId="1" type="noConversion"/>
  </si>
  <si>
    <t>JD-00049-0A</t>
    <phoneticPr fontId="1" type="noConversion"/>
  </si>
  <si>
    <t>JD-00050-0A</t>
    <phoneticPr fontId="1" type="noConversion"/>
  </si>
  <si>
    <r>
      <t>용인 200A 4P 난방</t>
    </r>
    <r>
      <rPr>
        <sz val="9"/>
        <color rgb="FFFF0000"/>
        <rFont val="맑은 고딕"/>
        <family val="3"/>
        <charset val="129"/>
        <scheme val="minor"/>
      </rPr>
      <t>(야간)</t>
    </r>
    <phoneticPr fontId="1" type="noConversion"/>
  </si>
  <si>
    <t>JD-00044-0A</t>
    <phoneticPr fontId="1" type="noConversion"/>
  </si>
  <si>
    <t>안양 400A 4P 난방</t>
    <phoneticPr fontId="1" type="noConversion"/>
  </si>
  <si>
    <t>JD-00013-0A</t>
    <phoneticPr fontId="1" type="noConversion"/>
  </si>
  <si>
    <t>한은이앤씨</t>
    <phoneticPr fontId="1" type="noConversion"/>
  </si>
  <si>
    <t>의왕 1800Ax1200 2P</t>
    <phoneticPr fontId="1" type="noConversion"/>
  </si>
  <si>
    <t>SD-00080-0A</t>
    <phoneticPr fontId="1" type="noConversion"/>
  </si>
  <si>
    <t>인덕원</t>
    <phoneticPr fontId="1" type="noConversion"/>
  </si>
  <si>
    <t>인덕원~동탄 제3공구 광역상수도 이설</t>
    <phoneticPr fontId="1" type="noConversion"/>
  </si>
  <si>
    <t>판교 200A 4P 난방</t>
    <phoneticPr fontId="1" type="noConversion"/>
  </si>
  <si>
    <t>JD-00039-0A</t>
    <phoneticPr fontId="1" type="noConversion"/>
  </si>
  <si>
    <t>동원</t>
    <phoneticPr fontId="1" type="noConversion"/>
  </si>
  <si>
    <t>월곶 200A 4P 난방</t>
    <phoneticPr fontId="1" type="noConversion"/>
  </si>
  <si>
    <t>JD-00007-0A</t>
    <phoneticPr fontId="1" type="noConversion"/>
  </si>
  <si>
    <t>월곶 125A 4P 난방</t>
    <phoneticPr fontId="1" type="noConversion"/>
  </si>
  <si>
    <t>JD-00008-0A</t>
    <phoneticPr fontId="1" type="noConversion"/>
  </si>
  <si>
    <t>125 / 4P</t>
    <phoneticPr fontId="1" type="noConversion"/>
  </si>
  <si>
    <r>
      <t>용인 350A 8P 난방(D-D Type)</t>
    </r>
    <r>
      <rPr>
        <sz val="9"/>
        <color rgb="FFFF0000"/>
        <rFont val="맑은 고딕"/>
        <family val="3"/>
        <charset val="129"/>
        <scheme val="minor"/>
      </rPr>
      <t>(야간)</t>
    </r>
    <phoneticPr fontId="1" type="noConversion"/>
  </si>
  <si>
    <t>JD-00040-0A</t>
    <phoneticPr fontId="1" type="noConversion"/>
  </si>
  <si>
    <t>광양 1650Ax1500 1P 풀대드 천공(제)</t>
    <phoneticPr fontId="1" type="noConversion"/>
  </si>
  <si>
    <t>SD-00039-0A</t>
    <phoneticPr fontId="1" type="noConversion"/>
  </si>
  <si>
    <t>1650*1500</t>
    <phoneticPr fontId="1" type="noConversion"/>
  </si>
  <si>
    <t>광양(Ⅰ)공업용수도 광양신구계통 노후관 개량사업</t>
    <phoneticPr fontId="1" type="noConversion"/>
  </si>
  <si>
    <t>JD-00052-0A</t>
    <phoneticPr fontId="1" type="noConversion"/>
  </si>
  <si>
    <t>용인 800A 2P 난방 300#</t>
    <phoneticPr fontId="1" type="noConversion"/>
  </si>
  <si>
    <t>JD-00051-0A</t>
    <phoneticPr fontId="1" type="noConversion"/>
  </si>
  <si>
    <t>분당 450A 2P 난방</t>
    <phoneticPr fontId="1" type="noConversion"/>
  </si>
  <si>
    <t>JD-00054-0A</t>
    <phoneticPr fontId="1" type="noConversion"/>
  </si>
  <si>
    <t>파주 700A 2P 난방</t>
    <phoneticPr fontId="1" type="noConversion"/>
  </si>
  <si>
    <t>JD-00048-0A</t>
    <phoneticPr fontId="1" type="noConversion"/>
  </si>
  <si>
    <t>SD-00019-0A</t>
    <phoneticPr fontId="1" type="noConversion"/>
  </si>
  <si>
    <t>서울 2400Ax1650 4P</t>
    <phoneticPr fontId="1" type="noConversion"/>
  </si>
  <si>
    <t>SD-00048-0A</t>
    <phoneticPr fontId="1" type="noConversion"/>
  </si>
  <si>
    <t>서울 2400Ax1800 4P Neck(가배관플러깅용)</t>
    <phoneticPr fontId="1" type="noConversion"/>
  </si>
  <si>
    <t>SD-00049-0A</t>
    <phoneticPr fontId="1" type="noConversion"/>
  </si>
  <si>
    <t>시흥 1350Ax900 1P</t>
    <phoneticPr fontId="1" type="noConversion"/>
  </si>
  <si>
    <t>SD-00090-0A</t>
    <phoneticPr fontId="1" type="noConversion"/>
  </si>
  <si>
    <t>제일엔지니어링</t>
    <phoneticPr fontId="1" type="noConversion"/>
  </si>
  <si>
    <t>삼송 400A 2P 난방</t>
    <phoneticPr fontId="1" type="noConversion"/>
  </si>
  <si>
    <t>JD-00041-0A</t>
    <phoneticPr fontId="1" type="noConversion"/>
  </si>
  <si>
    <t>판교 500A 8P 난방</t>
    <phoneticPr fontId="1" type="noConversion"/>
  </si>
  <si>
    <t>JD-00053-0A</t>
    <phoneticPr fontId="1" type="noConversion"/>
  </si>
  <si>
    <t>JD-00009-0A</t>
    <phoneticPr fontId="1" type="noConversion"/>
  </si>
  <si>
    <t>안양 250A 2P 난방</t>
    <phoneticPr fontId="1" type="noConversion"/>
  </si>
  <si>
    <t>JD-00010-0A</t>
    <phoneticPr fontId="1" type="noConversion"/>
  </si>
  <si>
    <t>서울 300A 2P 난방</t>
    <phoneticPr fontId="1" type="noConversion"/>
  </si>
  <si>
    <t>JD-00058-0A</t>
    <phoneticPr fontId="1" type="noConversion"/>
  </si>
  <si>
    <t>(주)씨티에너지, 협창건설㈜</t>
    <phoneticPr fontId="1" type="noConversion"/>
  </si>
  <si>
    <t>2026년~2027년 양지사 열수송관 천공 및 부단수 공사</t>
    <phoneticPr fontId="1" type="noConversion"/>
  </si>
  <si>
    <t>평택 600Ax350 2P 분기티</t>
    <phoneticPr fontId="1" type="noConversion"/>
  </si>
  <si>
    <t>JD-00057-0A</t>
    <phoneticPr fontId="1" type="noConversion"/>
  </si>
  <si>
    <t>분기 600*350 / 2P</t>
    <phoneticPr fontId="1" type="noConversion"/>
  </si>
  <si>
    <t>평택에너지앤파워</t>
    <phoneticPr fontId="1" type="noConversion"/>
  </si>
  <si>
    <t>평택합정주공 열배관공사</t>
    <phoneticPr fontId="1" type="noConversion"/>
  </si>
  <si>
    <t>SD-00029-0A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</si>
</sst>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&quot;-&quot;m&quot;-&quot;d;@"/>
    <numFmt numFmtId="178" formatCode="####&quot;A&quot;"/>
    <numFmt numFmtId="179" formatCode="#,##0.000_);\(#,##0.00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1" fontId="0" fillId="0" borderId="0" xfId="1" applyFont="1">
      <alignment vertical="center"/>
    </xf>
    <xf numFmtId="178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1" fontId="2" fillId="0" borderId="1" xfId="1" applyFont="1" applyBorder="1" applyAlignment="1">
      <alignment horizontal="center" vertical="center"/>
    </xf>
    <xf numFmtId="41" fontId="2" fillId="0" borderId="1" xfId="1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7" fillId="3" borderId="1" xfId="0" applyFont="1" applyFill="1" applyBorder="1" applyAlignment="1">
      <alignment vertical="center" wrapText="1"/>
    </xf>
    <xf numFmtId="176" fontId="2" fillId="3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41" fontId="7" fillId="0" borderId="1" xfId="1" applyFont="1" applyBorder="1">
      <alignment vertical="center"/>
    </xf>
    <xf numFmtId="41" fontId="7" fillId="0" borderId="1" xfId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vertical="center" wrapText="1"/>
    </xf>
    <xf numFmtId="49" fontId="4" fillId="2" borderId="1" xfId="2" applyNumberFormat="1" applyBorder="1" applyAlignment="1">
      <alignment horizontal="center" vertical="center"/>
    </xf>
    <xf numFmtId="41" fontId="5" fillId="0" borderId="0" xfId="1" applyFont="1">
      <alignment vertical="center"/>
    </xf>
    <xf numFmtId="179" fontId="0" fillId="0" borderId="0" xfId="1" applyNumberFormat="1" applyFont="1">
      <alignment vertical="center"/>
    </xf>
    <xf numFmtId="41" fontId="0" fillId="0" borderId="0" xfId="1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보통" xfId="2" builtinId="28"/>
    <cellStyle name="쉼표 [0]" xfId="1" builtinId="6"/>
    <cellStyle name="표준" xfId="0" builtinId="0"/>
  </cellStyles>
  <dxfs count="12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5BD4FF"/>
        </patternFill>
      </fill>
    </dxf>
    <dxf>
      <fill>
        <patternFill>
          <bgColor theme="5" tint="0.39994506668294322"/>
        </patternFill>
      </fill>
    </dxf>
    <dxf>
      <fill>
        <patternFill>
          <bgColor rgb="FF5BD4FF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5BD4FF"/>
        </patternFill>
      </fill>
    </dxf>
    <dxf>
      <fill>
        <patternFill>
          <bgColor theme="5" tint="0.39994506668294322"/>
        </patternFill>
      </fill>
    </dxf>
    <dxf>
      <fill>
        <patternFill>
          <bgColor rgb="FF5BD4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6F401-ED5B-4D75-AB71-4F201EA80595}">
  <sheetPr codeName="Sheet1"/>
  <dimension ref="A1:Z78"/>
  <sheetViews>
    <sheetView tabSelected="1" topLeftCell="G1" zoomScaleNormal="100" workbookViewId="0">
      <selection activeCell="P12" sqref="P12"/>
    </sheetView>
  </sheetViews>
  <sheetFormatPr defaultRowHeight="16.5" x14ac:dyDescent="0.3"/>
  <cols>
    <col min="1" max="1" width="4.875" bestFit="1" customWidth="1"/>
    <col min="2" max="2" width="7.625" bestFit="1" customWidth="1"/>
    <col min="3" max="3" width="26.25" bestFit="1" customWidth="1"/>
    <col min="4" max="4" width="7.125" bestFit="1" customWidth="1"/>
    <col min="5" max="5" width="40.625" bestFit="1" customWidth="1"/>
    <col min="6" max="6" width="12.125" bestFit="1" customWidth="1"/>
    <col min="7" max="7" width="7.5" bestFit="1" customWidth="1"/>
    <col min="8" max="8" width="7.875" bestFit="1" customWidth="1"/>
    <col min="9" max="9" width="14.75" bestFit="1" customWidth="1"/>
    <col min="10" max="10" width="2.375" bestFit="1" customWidth="1"/>
    <col min="11" max="11" width="19.375" bestFit="1" customWidth="1"/>
    <col min="12" max="12" width="21" bestFit="1" customWidth="1"/>
    <col min="13" max="14" width="11.5" bestFit="1" customWidth="1"/>
    <col min="15" max="15" width="7.125" bestFit="1" customWidth="1"/>
    <col min="16" max="16" width="55.75" bestFit="1" customWidth="1"/>
    <col min="17" max="18" width="10.5" bestFit="1" customWidth="1"/>
    <col min="19" max="19" width="15.125" bestFit="1" customWidth="1"/>
    <col min="20" max="20" width="112.125" bestFit="1" customWidth="1"/>
    <col min="21" max="21" width="122.125" bestFit="1" customWidth="1"/>
    <col min="22" max="22" width="108.625" bestFit="1" customWidth="1"/>
    <col min="23" max="23" width="255.625" bestFit="1" customWidth="1"/>
    <col min="24" max="24" width="50.625" bestFit="1" customWidth="1"/>
    <col min="25" max="25" width="85.125" bestFit="1" customWidth="1"/>
    <col min="26" max="26" width="250.125" bestFit="1" customWidth="1"/>
  </cols>
  <sheetData>
    <row r="1" spans="1:26" x14ac:dyDescent="0.3">
      <c r="A1" s="27" t="s">
        <v>0</v>
      </c>
      <c r="C1" t="s">
        <v>4</v>
      </c>
      <c r="D1" s="5"/>
      <c r="F1" s="1"/>
      <c r="G1" s="1"/>
      <c r="H1" s="1"/>
      <c r="I1" s="6"/>
      <c r="J1" s="1"/>
      <c r="K1" s="1"/>
      <c r="L1" s="7"/>
      <c r="M1" s="8"/>
      <c r="N1" s="8"/>
      <c r="O1" s="5"/>
      <c r="Q1" s="8"/>
      <c r="R1" s="8"/>
    </row>
    <row r="2" spans="1:26" x14ac:dyDescent="0.3">
      <c r="A2" s="1">
        <v>1</v>
      </c>
      <c r="B2" s="2"/>
      <c r="C2" s="15">
        <v>46383</v>
      </c>
      <c r="D2" s="15">
        <v>46065</v>
      </c>
      <c r="E2" s="22" t="s">
        <v>72</v>
      </c>
      <c r="F2" s="3" t="s">
        <v>73</v>
      </c>
      <c r="G2" s="3" t="s">
        <v>5</v>
      </c>
      <c r="H2" s="20" t="s">
        <v>74</v>
      </c>
      <c r="I2" s="9">
        <v>1000</v>
      </c>
      <c r="J2" s="3">
        <v>1</v>
      </c>
      <c r="K2" s="3" t="s">
        <v>75</v>
      </c>
      <c r="L2" s="21" t="s">
        <v>18</v>
      </c>
      <c r="M2" s="12">
        <v>31150000</v>
      </c>
      <c r="N2" s="11">
        <f>(M2*J2)+R2</f>
        <v>31150000</v>
      </c>
      <c r="O2" s="4">
        <v>46059</v>
      </c>
      <c r="P2" s="2" t="s">
        <v>76</v>
      </c>
      <c r="Q2" s="12"/>
      <c r="R2" s="12"/>
      <c r="S2" s="2"/>
      <c r="T2" s="2"/>
      <c r="U2" s="2"/>
      <c r="V2" s="2"/>
      <c r="W2" s="2"/>
      <c r="X2" s="2"/>
      <c r="Y2" s="2"/>
      <c r="Z2" s="2"/>
    </row>
    <row r="3" spans="1:26" x14ac:dyDescent="0.3">
      <c r="A3" s="1">
        <v>2</v>
      </c>
      <c r="B3" s="2"/>
      <c r="C3" s="15">
        <v>46029</v>
      </c>
      <c r="D3" s="15">
        <v>46032</v>
      </c>
      <c r="E3" s="22" t="s">
        <v>77</v>
      </c>
      <c r="F3" s="3" t="s">
        <v>78</v>
      </c>
      <c r="G3" s="20" t="s">
        <v>8</v>
      </c>
      <c r="H3" s="20" t="s">
        <v>6</v>
      </c>
      <c r="I3" s="9">
        <v>65</v>
      </c>
      <c r="J3" s="3">
        <v>2</v>
      </c>
      <c r="K3" s="3" t="s">
        <v>12</v>
      </c>
      <c r="L3" s="21" t="s">
        <v>15</v>
      </c>
      <c r="M3" s="12">
        <v>2808567</v>
      </c>
      <c r="N3" s="11">
        <f>(M3*J3)+R3</f>
        <v>5617134</v>
      </c>
      <c r="O3" s="4">
        <v>46092</v>
      </c>
      <c r="P3" s="2" t="s">
        <v>71</v>
      </c>
      <c r="Q3" s="12"/>
      <c r="R3" s="12"/>
      <c r="S3" s="2"/>
      <c r="T3" s="2"/>
      <c r="U3" s="2"/>
      <c r="V3" s="2"/>
      <c r="W3" s="2"/>
      <c r="X3" s="2"/>
      <c r="Y3" s="2"/>
      <c r="Z3" s="2"/>
    </row>
    <row r="4" spans="1:26" x14ac:dyDescent="0.3">
      <c r="A4" s="1">
        <v>3</v>
      </c>
      <c r="B4" s="2"/>
      <c r="C4" s="15">
        <v>46034</v>
      </c>
      <c r="D4" s="15">
        <v>46073</v>
      </c>
      <c r="E4" s="22" t="s">
        <v>79</v>
      </c>
      <c r="F4" s="3" t="s">
        <v>80</v>
      </c>
      <c r="G4" s="3" t="s">
        <v>5</v>
      </c>
      <c r="H4" s="20" t="s">
        <v>6</v>
      </c>
      <c r="I4" s="9">
        <v>1000</v>
      </c>
      <c r="J4" s="3">
        <v>1</v>
      </c>
      <c r="K4" s="3" t="s">
        <v>75</v>
      </c>
      <c r="L4" s="21" t="s">
        <v>18</v>
      </c>
      <c r="M4" s="12"/>
      <c r="N4" s="11">
        <f>(M4*J4)+R4</f>
        <v>0</v>
      </c>
      <c r="O4" s="4">
        <v>46059</v>
      </c>
      <c r="P4" s="2" t="s">
        <v>76</v>
      </c>
      <c r="Q4" s="12"/>
      <c r="R4" s="12"/>
      <c r="S4" s="2"/>
      <c r="T4" s="2"/>
      <c r="U4" s="2"/>
      <c r="V4" s="2"/>
      <c r="W4" s="2"/>
      <c r="X4" s="2"/>
      <c r="Y4" s="2"/>
      <c r="Z4" s="2"/>
    </row>
    <row r="5" spans="1:26" x14ac:dyDescent="0.3">
      <c r="A5" s="1">
        <v>4</v>
      </c>
      <c r="B5" s="2"/>
      <c r="C5" s="15">
        <v>46036</v>
      </c>
      <c r="D5" s="15">
        <v>46088</v>
      </c>
      <c r="E5" s="22" t="s">
        <v>81</v>
      </c>
      <c r="F5" s="3" t="s">
        <v>82</v>
      </c>
      <c r="G5" s="3" t="s">
        <v>5</v>
      </c>
      <c r="H5" s="20" t="s">
        <v>74</v>
      </c>
      <c r="I5" s="9">
        <v>1000</v>
      </c>
      <c r="J5" s="3">
        <v>1</v>
      </c>
      <c r="K5" s="3" t="s">
        <v>75</v>
      </c>
      <c r="L5" s="21" t="s">
        <v>18</v>
      </c>
      <c r="M5" s="12">
        <v>31150000</v>
      </c>
      <c r="N5" s="11">
        <f>(M5*J5)+R5</f>
        <v>31150000</v>
      </c>
      <c r="O5" s="4">
        <v>46081</v>
      </c>
      <c r="P5" s="2" t="s">
        <v>76</v>
      </c>
      <c r="Q5" s="12"/>
      <c r="R5" s="12"/>
      <c r="S5" s="2"/>
      <c r="T5" s="2"/>
      <c r="U5" s="2"/>
      <c r="V5" s="2"/>
      <c r="W5" s="2"/>
      <c r="X5" s="2"/>
      <c r="Y5" s="2"/>
      <c r="Z5" s="2"/>
    </row>
    <row r="6" spans="1:26" x14ac:dyDescent="0.3">
      <c r="A6" s="1">
        <v>5</v>
      </c>
      <c r="B6" s="2"/>
      <c r="C6" s="15">
        <v>46035</v>
      </c>
      <c r="D6" s="15">
        <v>46038</v>
      </c>
      <c r="E6" s="22" t="s">
        <v>83</v>
      </c>
      <c r="F6" s="3" t="s">
        <v>84</v>
      </c>
      <c r="G6" s="20" t="s">
        <v>8</v>
      </c>
      <c r="H6" s="20" t="s">
        <v>6</v>
      </c>
      <c r="I6" s="9">
        <v>400</v>
      </c>
      <c r="J6" s="3">
        <v>4</v>
      </c>
      <c r="K6" s="3" t="s">
        <v>12</v>
      </c>
      <c r="L6" s="21" t="s">
        <v>20</v>
      </c>
      <c r="M6" s="12">
        <v>21749251</v>
      </c>
      <c r="N6" s="11">
        <f>(M6*J6)+R6</f>
        <v>86997004</v>
      </c>
      <c r="O6" s="4">
        <v>46092</v>
      </c>
      <c r="P6" s="2" t="s">
        <v>71</v>
      </c>
      <c r="Q6" s="12"/>
      <c r="R6" s="12"/>
      <c r="S6" s="2"/>
      <c r="T6" s="2"/>
      <c r="U6" s="2"/>
      <c r="V6" s="2"/>
      <c r="W6" s="2"/>
      <c r="X6" s="2"/>
      <c r="Y6" s="2"/>
      <c r="Z6" s="2"/>
    </row>
    <row r="7" spans="1:26" x14ac:dyDescent="0.3">
      <c r="A7" s="1">
        <v>6</v>
      </c>
      <c r="B7" s="2"/>
      <c r="C7" s="15">
        <v>46041</v>
      </c>
      <c r="D7" s="15">
        <v>46043</v>
      </c>
      <c r="E7" s="22" t="s">
        <v>85</v>
      </c>
      <c r="F7" s="3" t="s">
        <v>86</v>
      </c>
      <c r="G7" s="20" t="s">
        <v>8</v>
      </c>
      <c r="H7" s="20" t="s">
        <v>6</v>
      </c>
      <c r="I7" s="9" t="s">
        <v>49</v>
      </c>
      <c r="J7" s="3">
        <v>1</v>
      </c>
      <c r="K7" s="3" t="s">
        <v>87</v>
      </c>
      <c r="L7" s="21" t="s">
        <v>29</v>
      </c>
      <c r="M7" s="12">
        <v>4600000</v>
      </c>
      <c r="N7" s="11">
        <f>(M7*J7)+R7</f>
        <v>4600000</v>
      </c>
      <c r="O7" s="4">
        <v>46085</v>
      </c>
      <c r="P7" s="2"/>
      <c r="Q7" s="12"/>
      <c r="R7" s="12"/>
      <c r="S7" s="2"/>
      <c r="T7" s="2"/>
      <c r="U7" s="2"/>
      <c r="V7" s="2"/>
      <c r="W7" s="2"/>
      <c r="X7" s="2"/>
      <c r="Y7" s="2"/>
      <c r="Z7" s="2"/>
    </row>
    <row r="8" spans="1:26" x14ac:dyDescent="0.3">
      <c r="A8" s="1">
        <v>7</v>
      </c>
      <c r="B8" s="2"/>
      <c r="C8" s="15">
        <v>46043</v>
      </c>
      <c r="D8" s="15">
        <v>46048</v>
      </c>
      <c r="E8" s="22" t="s">
        <v>70</v>
      </c>
      <c r="F8" s="3" t="s">
        <v>88</v>
      </c>
      <c r="G8" s="20" t="s">
        <v>8</v>
      </c>
      <c r="H8" s="20" t="s">
        <v>6</v>
      </c>
      <c r="I8" s="9">
        <v>100</v>
      </c>
      <c r="J8" s="3">
        <v>4</v>
      </c>
      <c r="K8" s="3" t="s">
        <v>12</v>
      </c>
      <c r="L8" s="21" t="s">
        <v>15</v>
      </c>
      <c r="M8" s="12">
        <v>4103409</v>
      </c>
      <c r="N8" s="11">
        <f>(M8*J8)+R8</f>
        <v>16413636</v>
      </c>
      <c r="O8" s="4">
        <v>46092</v>
      </c>
      <c r="P8" s="2" t="s">
        <v>71</v>
      </c>
      <c r="Q8" s="12"/>
      <c r="R8" s="12"/>
      <c r="S8" s="2"/>
      <c r="T8" s="2"/>
      <c r="U8" s="2"/>
      <c r="V8" s="2"/>
      <c r="W8" s="2"/>
      <c r="X8" s="2"/>
      <c r="Y8" s="2"/>
      <c r="Z8" s="2"/>
    </row>
    <row r="9" spans="1:26" x14ac:dyDescent="0.3">
      <c r="A9" s="1">
        <v>8</v>
      </c>
      <c r="B9" s="2"/>
      <c r="C9" s="15">
        <v>46044</v>
      </c>
      <c r="D9" s="15">
        <v>46065</v>
      </c>
      <c r="E9" s="22" t="s">
        <v>89</v>
      </c>
      <c r="F9" s="3" t="s">
        <v>90</v>
      </c>
      <c r="G9" s="20" t="s">
        <v>8</v>
      </c>
      <c r="H9" s="20" t="s">
        <v>6</v>
      </c>
      <c r="I9" s="9">
        <v>700</v>
      </c>
      <c r="J9" s="3">
        <v>4</v>
      </c>
      <c r="K9" s="3" t="s">
        <v>22</v>
      </c>
      <c r="L9" s="21" t="s">
        <v>46</v>
      </c>
      <c r="M9" s="12">
        <v>47404740</v>
      </c>
      <c r="N9" s="11">
        <f>(M9*J9)+R9</f>
        <v>189618960</v>
      </c>
      <c r="O9" s="4"/>
      <c r="P9" s="2" t="s">
        <v>71</v>
      </c>
      <c r="Q9" s="12"/>
      <c r="R9" s="12"/>
      <c r="S9" s="2"/>
      <c r="T9" s="2"/>
      <c r="U9" s="2"/>
      <c r="V9" s="2"/>
      <c r="W9" s="2"/>
      <c r="X9" s="2"/>
      <c r="Y9" s="2"/>
      <c r="Z9" s="2"/>
    </row>
    <row r="10" spans="1:26" x14ac:dyDescent="0.3">
      <c r="A10" s="1">
        <v>9</v>
      </c>
      <c r="B10" s="2"/>
      <c r="C10" s="15">
        <v>46048</v>
      </c>
      <c r="D10" s="15">
        <v>46049</v>
      </c>
      <c r="E10" s="22" t="s">
        <v>91</v>
      </c>
      <c r="F10" s="3" t="s">
        <v>92</v>
      </c>
      <c r="G10" s="20" t="s">
        <v>8</v>
      </c>
      <c r="H10" s="20" t="s">
        <v>6</v>
      </c>
      <c r="I10" s="9">
        <v>80</v>
      </c>
      <c r="J10" s="3">
        <v>2</v>
      </c>
      <c r="K10" s="3" t="s">
        <v>12</v>
      </c>
      <c r="L10" s="21" t="s">
        <v>15</v>
      </c>
      <c r="M10" s="12">
        <v>3322411</v>
      </c>
      <c r="N10" s="11">
        <f>(M10*J10)+R10</f>
        <v>6644822</v>
      </c>
      <c r="O10" s="4">
        <v>46092</v>
      </c>
      <c r="P10" s="2" t="s">
        <v>71</v>
      </c>
      <c r="Q10" s="12"/>
      <c r="R10" s="12"/>
      <c r="S10" s="2"/>
      <c r="T10" s="2"/>
      <c r="U10" s="2"/>
      <c r="V10" s="2"/>
      <c r="W10" s="2"/>
      <c r="X10" s="2"/>
      <c r="Y10" s="2"/>
      <c r="Z10" s="2"/>
    </row>
    <row r="11" spans="1:26" x14ac:dyDescent="0.3">
      <c r="A11" s="1">
        <v>10</v>
      </c>
      <c r="B11" s="2"/>
      <c r="C11" s="15">
        <v>46066</v>
      </c>
      <c r="D11" s="15">
        <v>46078</v>
      </c>
      <c r="E11" s="22" t="s">
        <v>93</v>
      </c>
      <c r="F11" s="3" t="s">
        <v>1</v>
      </c>
      <c r="G11" s="20" t="s">
        <v>8</v>
      </c>
      <c r="H11" s="20" t="s">
        <v>6</v>
      </c>
      <c r="I11" s="9">
        <v>150</v>
      </c>
      <c r="J11" s="3">
        <v>2</v>
      </c>
      <c r="K11" s="3" t="s">
        <v>12</v>
      </c>
      <c r="L11" s="21" t="s">
        <v>15</v>
      </c>
      <c r="M11" s="12">
        <v>5760152</v>
      </c>
      <c r="N11" s="11">
        <f>(M11*J11)+R11</f>
        <v>11520304</v>
      </c>
      <c r="O11" s="4">
        <v>46092</v>
      </c>
      <c r="P11" s="2" t="s">
        <v>71</v>
      </c>
      <c r="Q11" s="12"/>
      <c r="R11" s="12"/>
      <c r="S11" s="2"/>
      <c r="T11" s="2"/>
      <c r="U11" s="2"/>
      <c r="V11" s="2"/>
      <c r="W11" s="2"/>
      <c r="X11" s="2"/>
      <c r="Y11" s="2"/>
      <c r="Z11" s="2"/>
    </row>
    <row r="12" spans="1:26" x14ac:dyDescent="0.3">
      <c r="A12" s="1">
        <v>11</v>
      </c>
      <c r="B12" s="2"/>
      <c r="C12" s="15">
        <v>46066</v>
      </c>
      <c r="D12" s="15">
        <v>46078</v>
      </c>
      <c r="E12" s="22" t="s">
        <v>94</v>
      </c>
      <c r="F12" s="3" t="s">
        <v>2</v>
      </c>
      <c r="G12" s="20" t="s">
        <v>8</v>
      </c>
      <c r="H12" s="20" t="s">
        <v>6</v>
      </c>
      <c r="I12" s="9">
        <v>125</v>
      </c>
      <c r="J12" s="3">
        <v>2</v>
      </c>
      <c r="K12" s="3" t="s">
        <v>12</v>
      </c>
      <c r="L12" s="21" t="s">
        <v>15</v>
      </c>
      <c r="M12" s="12">
        <v>4728620</v>
      </c>
      <c r="N12" s="11">
        <f>(M12*J12)+R12</f>
        <v>9457240</v>
      </c>
      <c r="O12" s="4">
        <v>46092</v>
      </c>
      <c r="P12" s="2" t="s">
        <v>71</v>
      </c>
      <c r="Q12" s="12"/>
      <c r="R12" s="12"/>
      <c r="S12" s="2"/>
      <c r="T12" s="2"/>
      <c r="U12" s="2"/>
      <c r="V12" s="2"/>
      <c r="W12" s="2"/>
      <c r="X12" s="2"/>
      <c r="Y12" s="2"/>
      <c r="Z12" s="2"/>
    </row>
    <row r="13" spans="1:26" x14ac:dyDescent="0.3">
      <c r="A13" s="1">
        <v>12</v>
      </c>
      <c r="B13" s="2"/>
      <c r="C13" s="15">
        <v>46066</v>
      </c>
      <c r="D13" s="15">
        <v>46078</v>
      </c>
      <c r="E13" s="22" t="s">
        <v>95</v>
      </c>
      <c r="F13" s="3" t="s">
        <v>3</v>
      </c>
      <c r="G13" s="20" t="s">
        <v>8</v>
      </c>
      <c r="H13" s="20" t="s">
        <v>6</v>
      </c>
      <c r="I13" s="9">
        <v>100</v>
      </c>
      <c r="J13" s="3">
        <v>2</v>
      </c>
      <c r="K13" s="3" t="s">
        <v>12</v>
      </c>
      <c r="L13" s="21" t="s">
        <v>15</v>
      </c>
      <c r="M13" s="12">
        <v>4103409</v>
      </c>
      <c r="N13" s="11">
        <f>(M13*J13)+R13</f>
        <v>8206818</v>
      </c>
      <c r="O13" s="4">
        <v>46092</v>
      </c>
      <c r="P13" s="2" t="s">
        <v>71</v>
      </c>
      <c r="Q13" s="12"/>
      <c r="R13" s="12"/>
      <c r="S13" s="2"/>
      <c r="T13" s="2"/>
      <c r="U13" s="2"/>
      <c r="V13" s="2"/>
      <c r="W13" s="2"/>
      <c r="X13" s="2"/>
      <c r="Y13" s="2"/>
      <c r="Z13" s="2"/>
    </row>
    <row r="14" spans="1:26" x14ac:dyDescent="0.3">
      <c r="A14" s="1">
        <v>13</v>
      </c>
      <c r="B14" s="2"/>
      <c r="C14" s="15">
        <v>46076</v>
      </c>
      <c r="D14" s="15">
        <v>46082</v>
      </c>
      <c r="E14" s="22" t="s">
        <v>96</v>
      </c>
      <c r="F14" s="3" t="s">
        <v>97</v>
      </c>
      <c r="G14" s="20" t="s">
        <v>8</v>
      </c>
      <c r="H14" s="20" t="s">
        <v>6</v>
      </c>
      <c r="I14" s="9">
        <v>600</v>
      </c>
      <c r="J14" s="3">
        <v>2</v>
      </c>
      <c r="K14" s="3" t="s">
        <v>12</v>
      </c>
      <c r="L14" s="21" t="s">
        <v>15</v>
      </c>
      <c r="M14" s="12">
        <v>39994404</v>
      </c>
      <c r="N14" s="11">
        <f>(M14*J14)+R14</f>
        <v>79988808</v>
      </c>
      <c r="O14" s="4">
        <v>46092</v>
      </c>
      <c r="P14" s="2" t="s">
        <v>71</v>
      </c>
      <c r="Q14" s="12"/>
      <c r="R14" s="12"/>
      <c r="S14" s="2"/>
      <c r="T14" s="2"/>
      <c r="U14" s="2"/>
      <c r="V14" s="2"/>
      <c r="W14" s="2"/>
      <c r="X14" s="2"/>
      <c r="Y14" s="2"/>
      <c r="Z14" s="2"/>
    </row>
    <row r="15" spans="1:26" x14ac:dyDescent="0.3">
      <c r="A15" s="1">
        <v>14</v>
      </c>
      <c r="B15" s="2"/>
      <c r="C15" s="15">
        <v>46076</v>
      </c>
      <c r="D15" s="15">
        <v>46086</v>
      </c>
      <c r="E15" s="22" t="s">
        <v>98</v>
      </c>
      <c r="F15" s="3" t="s">
        <v>99</v>
      </c>
      <c r="G15" s="20" t="s">
        <v>8</v>
      </c>
      <c r="H15" s="20" t="s">
        <v>6</v>
      </c>
      <c r="I15" s="9">
        <v>450</v>
      </c>
      <c r="J15" s="3">
        <v>2</v>
      </c>
      <c r="K15" s="3" t="s">
        <v>100</v>
      </c>
      <c r="L15" s="21"/>
      <c r="M15" s="12">
        <v>25578231</v>
      </c>
      <c r="N15" s="11">
        <f>(M15*J15)+R15</f>
        <v>51156462</v>
      </c>
      <c r="O15" s="4"/>
      <c r="P15" s="2" t="s">
        <v>71</v>
      </c>
      <c r="Q15" s="12"/>
      <c r="R15" s="12"/>
      <c r="S15" s="2"/>
      <c r="T15" s="2"/>
      <c r="U15" s="2"/>
      <c r="V15" s="2"/>
      <c r="W15" s="2"/>
      <c r="X15" s="2"/>
      <c r="Y15" s="2"/>
      <c r="Z15" s="2"/>
    </row>
    <row r="16" spans="1:26" x14ac:dyDescent="0.3">
      <c r="A16" s="1">
        <v>15</v>
      </c>
      <c r="B16" s="2"/>
      <c r="C16" s="15">
        <v>46079</v>
      </c>
      <c r="D16" s="15">
        <v>46085</v>
      </c>
      <c r="E16" s="22" t="s">
        <v>101</v>
      </c>
      <c r="F16" s="3" t="s">
        <v>102</v>
      </c>
      <c r="G16" s="20" t="s">
        <v>8</v>
      </c>
      <c r="H16" s="20" t="s">
        <v>6</v>
      </c>
      <c r="I16" s="9">
        <v>700</v>
      </c>
      <c r="J16" s="3">
        <v>4</v>
      </c>
      <c r="K16" s="3" t="s">
        <v>12</v>
      </c>
      <c r="L16" s="21" t="s">
        <v>15</v>
      </c>
      <c r="M16" s="12">
        <v>47404740</v>
      </c>
      <c r="N16" s="11">
        <f>(M16*J16)+R16</f>
        <v>189618960</v>
      </c>
      <c r="O16" s="4">
        <v>46092</v>
      </c>
      <c r="P16" s="2" t="s">
        <v>71</v>
      </c>
      <c r="Q16" s="12"/>
      <c r="R16" s="12"/>
      <c r="S16" s="2"/>
      <c r="T16" s="2"/>
      <c r="U16" s="2"/>
      <c r="V16" s="2"/>
      <c r="W16" s="2"/>
      <c r="X16" s="2"/>
      <c r="Y16" s="2"/>
      <c r="Z16" s="2"/>
    </row>
    <row r="17" spans="1:26" x14ac:dyDescent="0.3">
      <c r="A17" s="1">
        <v>16</v>
      </c>
      <c r="B17" s="2"/>
      <c r="C17" s="15">
        <v>46080</v>
      </c>
      <c r="D17" s="15">
        <v>46129</v>
      </c>
      <c r="E17" s="22" t="s">
        <v>103</v>
      </c>
      <c r="F17" s="3" t="s">
        <v>104</v>
      </c>
      <c r="G17" s="3" t="s">
        <v>5</v>
      </c>
      <c r="H17" s="20" t="s">
        <v>6</v>
      </c>
      <c r="I17" s="9" t="s">
        <v>45</v>
      </c>
      <c r="J17" s="3">
        <v>1</v>
      </c>
      <c r="K17" s="3" t="s">
        <v>54</v>
      </c>
      <c r="L17" s="21" t="s">
        <v>105</v>
      </c>
      <c r="M17" s="12">
        <v>370000000</v>
      </c>
      <c r="N17" s="11">
        <f>(M17*J17)+R17</f>
        <v>370000000</v>
      </c>
      <c r="O17" s="4">
        <v>46142</v>
      </c>
      <c r="P17" s="2" t="s">
        <v>106</v>
      </c>
      <c r="Q17" s="12"/>
      <c r="R17" s="12"/>
      <c r="S17" s="2"/>
      <c r="T17" s="2"/>
      <c r="U17" s="2"/>
      <c r="V17" s="2"/>
      <c r="W17" s="2"/>
      <c r="X17" s="2"/>
      <c r="Y17" s="2"/>
      <c r="Z17" s="2"/>
    </row>
    <row r="18" spans="1:26" x14ac:dyDescent="0.3">
      <c r="A18" s="1">
        <v>17</v>
      </c>
      <c r="B18" s="2"/>
      <c r="C18" s="15">
        <v>46084</v>
      </c>
      <c r="D18" s="15">
        <v>46115</v>
      </c>
      <c r="E18" s="22" t="s">
        <v>107</v>
      </c>
      <c r="F18" s="3" t="s">
        <v>108</v>
      </c>
      <c r="G18" s="20" t="s">
        <v>8</v>
      </c>
      <c r="H18" s="20" t="s">
        <v>6</v>
      </c>
      <c r="I18" s="9">
        <v>700</v>
      </c>
      <c r="J18" s="3">
        <v>6</v>
      </c>
      <c r="K18" s="3" t="s">
        <v>22</v>
      </c>
      <c r="L18" s="21" t="s">
        <v>46</v>
      </c>
      <c r="M18" s="12">
        <v>47404740</v>
      </c>
      <c r="N18" s="11">
        <f>(M18*J18)+R18</f>
        <v>284428440</v>
      </c>
      <c r="O18" s="4"/>
      <c r="P18" s="2" t="s">
        <v>71</v>
      </c>
      <c r="Q18" s="12"/>
      <c r="R18" s="12"/>
      <c r="S18" s="2"/>
      <c r="T18" s="2"/>
      <c r="U18" s="2"/>
      <c r="V18" s="2"/>
      <c r="W18" s="2"/>
      <c r="X18" s="2"/>
      <c r="Y18" s="2"/>
      <c r="Z18" s="2"/>
    </row>
    <row r="19" spans="1:26" x14ac:dyDescent="0.3">
      <c r="A19" s="1">
        <v>18</v>
      </c>
      <c r="B19" s="2"/>
      <c r="C19" s="15">
        <v>46087</v>
      </c>
      <c r="D19" s="15">
        <v>46091</v>
      </c>
      <c r="E19" s="22" t="s">
        <v>21</v>
      </c>
      <c r="F19" s="3" t="s">
        <v>109</v>
      </c>
      <c r="G19" s="20" t="s">
        <v>8</v>
      </c>
      <c r="H19" s="20" t="s">
        <v>6</v>
      </c>
      <c r="I19" s="9">
        <v>200</v>
      </c>
      <c r="J19" s="3">
        <v>2</v>
      </c>
      <c r="K19" s="3" t="s">
        <v>22</v>
      </c>
      <c r="L19" s="21" t="s">
        <v>11</v>
      </c>
      <c r="M19" s="12">
        <v>8775745</v>
      </c>
      <c r="N19" s="11">
        <f>(M19*J19)+R19</f>
        <v>17551490</v>
      </c>
      <c r="O19" s="4"/>
      <c r="P19" s="2" t="s">
        <v>71</v>
      </c>
      <c r="Q19" s="12"/>
      <c r="R19" s="12"/>
      <c r="S19" s="2"/>
      <c r="T19" s="2"/>
      <c r="U19" s="2"/>
      <c r="V19" s="2"/>
      <c r="W19" s="2"/>
      <c r="X19" s="2"/>
      <c r="Y19" s="2"/>
      <c r="Z19" s="2"/>
    </row>
    <row r="20" spans="1:26" x14ac:dyDescent="0.3">
      <c r="A20" s="1">
        <v>19</v>
      </c>
      <c r="B20" s="2"/>
      <c r="C20" s="15">
        <v>46087</v>
      </c>
      <c r="D20" s="15">
        <v>46146</v>
      </c>
      <c r="E20" s="22" t="s">
        <v>110</v>
      </c>
      <c r="F20" s="3" t="s">
        <v>111</v>
      </c>
      <c r="G20" s="3" t="s">
        <v>5</v>
      </c>
      <c r="H20" s="20" t="s">
        <v>6</v>
      </c>
      <c r="I20" s="9" t="s">
        <v>112</v>
      </c>
      <c r="J20" s="3">
        <v>1</v>
      </c>
      <c r="K20" s="3" t="s">
        <v>51</v>
      </c>
      <c r="L20" s="10" t="s">
        <v>52</v>
      </c>
      <c r="M20" s="12">
        <v>46950000</v>
      </c>
      <c r="N20" s="11">
        <f>(M20*J20)+R20</f>
        <v>46950000</v>
      </c>
      <c r="O20" s="4"/>
      <c r="P20" s="2" t="s">
        <v>53</v>
      </c>
      <c r="Q20" s="12"/>
      <c r="R20" s="12"/>
      <c r="S20" s="2"/>
      <c r="T20" s="2"/>
      <c r="U20" s="2"/>
      <c r="V20" s="2"/>
      <c r="W20" s="2"/>
      <c r="X20" s="2"/>
      <c r="Y20" s="2"/>
      <c r="Z20" s="2"/>
    </row>
    <row r="21" spans="1:26" x14ac:dyDescent="0.3">
      <c r="A21" s="1">
        <v>20</v>
      </c>
      <c r="B21" s="2"/>
      <c r="C21" s="15">
        <v>46087</v>
      </c>
      <c r="D21" s="15">
        <v>46146</v>
      </c>
      <c r="E21" s="22" t="s">
        <v>113</v>
      </c>
      <c r="F21" s="3" t="s">
        <v>114</v>
      </c>
      <c r="G21" s="3" t="s">
        <v>5</v>
      </c>
      <c r="H21" s="20" t="s">
        <v>6</v>
      </c>
      <c r="I21" s="9" t="s">
        <v>112</v>
      </c>
      <c r="J21" s="3">
        <v>1</v>
      </c>
      <c r="K21" s="3" t="s">
        <v>51</v>
      </c>
      <c r="L21" s="21" t="s">
        <v>52</v>
      </c>
      <c r="M21" s="12">
        <v>46950000</v>
      </c>
      <c r="N21" s="11">
        <f>(M21*J21)+R21</f>
        <v>46950000</v>
      </c>
      <c r="O21" s="4"/>
      <c r="P21" s="2" t="s">
        <v>53</v>
      </c>
      <c r="Q21" s="12"/>
      <c r="R21" s="12"/>
      <c r="S21" s="2"/>
      <c r="T21" s="2"/>
      <c r="U21" s="2"/>
      <c r="V21" s="2"/>
      <c r="W21" s="2"/>
      <c r="X21" s="2"/>
      <c r="Y21" s="2"/>
      <c r="Z21" s="2"/>
    </row>
    <row r="22" spans="1:26" x14ac:dyDescent="0.3">
      <c r="A22" s="1">
        <v>21</v>
      </c>
      <c r="B22" s="2"/>
      <c r="C22" s="15">
        <v>46090</v>
      </c>
      <c r="D22" s="15">
        <v>46097</v>
      </c>
      <c r="E22" s="22" t="s">
        <v>115</v>
      </c>
      <c r="F22" s="3" t="s">
        <v>116</v>
      </c>
      <c r="G22" s="3" t="s">
        <v>5</v>
      </c>
      <c r="H22" s="20" t="s">
        <v>6</v>
      </c>
      <c r="I22" s="9">
        <v>1650</v>
      </c>
      <c r="J22" s="3">
        <v>1</v>
      </c>
      <c r="K22" s="3" t="s">
        <v>117</v>
      </c>
      <c r="L22" s="21" t="s">
        <v>37</v>
      </c>
      <c r="M22" s="12"/>
      <c r="N22" s="11">
        <f>(M22*J22)+R22</f>
        <v>0</v>
      </c>
      <c r="O22" s="4"/>
      <c r="P22" s="2"/>
      <c r="Q22" s="12"/>
      <c r="R22" s="12"/>
      <c r="S22" s="2"/>
      <c r="T22" s="2"/>
      <c r="U22" s="2"/>
      <c r="V22" s="2"/>
      <c r="W22" s="2"/>
      <c r="X22" s="2"/>
      <c r="Y22" s="2"/>
      <c r="Z22" s="2"/>
    </row>
    <row r="23" spans="1:26" x14ac:dyDescent="0.3">
      <c r="A23" s="1">
        <v>22</v>
      </c>
      <c r="B23" s="2"/>
      <c r="C23" s="15">
        <v>46093</v>
      </c>
      <c r="D23" s="15">
        <v>46094</v>
      </c>
      <c r="E23" s="22" t="s">
        <v>118</v>
      </c>
      <c r="F23" s="3" t="s">
        <v>119</v>
      </c>
      <c r="G23" s="20" t="s">
        <v>8</v>
      </c>
      <c r="H23" s="20" t="s">
        <v>6</v>
      </c>
      <c r="I23" s="9">
        <v>150</v>
      </c>
      <c r="J23" s="3">
        <v>2</v>
      </c>
      <c r="K23" s="3" t="s">
        <v>22</v>
      </c>
      <c r="L23" s="21" t="s">
        <v>11</v>
      </c>
      <c r="M23" s="12">
        <v>5760152</v>
      </c>
      <c r="N23" s="11">
        <f>(M23*J23)+R23</f>
        <v>11520304</v>
      </c>
      <c r="O23" s="4"/>
      <c r="P23" s="2" t="s">
        <v>71</v>
      </c>
      <c r="Q23" s="12"/>
      <c r="R23" s="12"/>
      <c r="S23" s="2"/>
      <c r="T23" s="2"/>
      <c r="U23" s="2"/>
      <c r="V23" s="2"/>
      <c r="W23" s="2"/>
      <c r="X23" s="2"/>
      <c r="Y23" s="2"/>
      <c r="Z23" s="2"/>
    </row>
    <row r="24" spans="1:26" x14ac:dyDescent="0.3">
      <c r="A24" s="1">
        <v>23</v>
      </c>
      <c r="B24" s="2"/>
      <c r="C24" s="15">
        <v>46093</v>
      </c>
      <c r="D24" s="15">
        <v>46133</v>
      </c>
      <c r="E24" s="22" t="s">
        <v>120</v>
      </c>
      <c r="F24" s="3" t="s">
        <v>121</v>
      </c>
      <c r="G24" s="3" t="s">
        <v>5</v>
      </c>
      <c r="H24" s="20" t="s">
        <v>6</v>
      </c>
      <c r="I24" s="9" t="s">
        <v>45</v>
      </c>
      <c r="J24" s="3">
        <v>1</v>
      </c>
      <c r="K24" s="3" t="s">
        <v>41</v>
      </c>
      <c r="L24" s="21" t="s">
        <v>122</v>
      </c>
      <c r="M24" s="12">
        <f>136160000+12312000</f>
        <v>148472000</v>
      </c>
      <c r="N24" s="11">
        <f>(M24*J24)+R24</f>
        <v>148472000</v>
      </c>
      <c r="O24" s="4">
        <v>46142</v>
      </c>
      <c r="P24" s="2"/>
      <c r="Q24" s="12"/>
      <c r="R24" s="12"/>
      <c r="S24" s="2"/>
      <c r="T24" s="2"/>
      <c r="U24" s="2"/>
      <c r="V24" s="2"/>
      <c r="W24" s="2"/>
      <c r="X24" s="2"/>
      <c r="Y24" s="2"/>
      <c r="Z24" s="2"/>
    </row>
    <row r="25" spans="1:26" x14ac:dyDescent="0.3">
      <c r="A25" s="1">
        <v>24</v>
      </c>
      <c r="B25" s="2"/>
      <c r="C25" s="15">
        <v>46095</v>
      </c>
      <c r="D25" s="15">
        <v>46098</v>
      </c>
      <c r="E25" s="22" t="s">
        <v>68</v>
      </c>
      <c r="F25" s="3" t="s">
        <v>123</v>
      </c>
      <c r="G25" s="20" t="s">
        <v>8</v>
      </c>
      <c r="H25" s="20" t="s">
        <v>6</v>
      </c>
      <c r="I25" s="9" t="s">
        <v>13</v>
      </c>
      <c r="J25" s="3">
        <v>1</v>
      </c>
      <c r="K25" s="3" t="s">
        <v>34</v>
      </c>
      <c r="L25" s="21" t="s">
        <v>48</v>
      </c>
      <c r="M25" s="12">
        <f>40572000*2</f>
        <v>81144000</v>
      </c>
      <c r="N25" s="11">
        <f>(M25*J25)+R25</f>
        <v>87390000</v>
      </c>
      <c r="O25" s="4">
        <v>46154</v>
      </c>
      <c r="P25" s="2" t="s">
        <v>69</v>
      </c>
      <c r="Q25" s="12">
        <v>6246000</v>
      </c>
      <c r="R25" s="12">
        <v>6246000</v>
      </c>
      <c r="S25" s="2"/>
      <c r="T25" s="2"/>
      <c r="U25" s="2"/>
      <c r="V25" s="2"/>
      <c r="W25" s="2"/>
      <c r="X25" s="2"/>
      <c r="Y25" s="2"/>
      <c r="Z25" s="2"/>
    </row>
    <row r="26" spans="1:26" x14ac:dyDescent="0.3">
      <c r="A26" s="1">
        <v>25</v>
      </c>
      <c r="B26" s="2"/>
      <c r="C26" s="15">
        <v>46098</v>
      </c>
      <c r="D26" s="15">
        <v>46105</v>
      </c>
      <c r="E26" s="22" t="s">
        <v>124</v>
      </c>
      <c r="F26" s="3" t="s">
        <v>125</v>
      </c>
      <c r="G26" s="3" t="s">
        <v>5</v>
      </c>
      <c r="H26" s="20" t="s">
        <v>6</v>
      </c>
      <c r="I26" s="9" t="s">
        <v>126</v>
      </c>
      <c r="J26" s="3">
        <v>1</v>
      </c>
      <c r="K26" s="3" t="s">
        <v>54</v>
      </c>
      <c r="L26" s="21" t="s">
        <v>65</v>
      </c>
      <c r="M26" s="12">
        <v>16310000</v>
      </c>
      <c r="N26" s="11">
        <f>(M26*J26)+R26</f>
        <v>16310000</v>
      </c>
      <c r="O26" s="4"/>
      <c r="P26" s="2"/>
      <c r="Q26" s="12"/>
      <c r="R26" s="12"/>
      <c r="S26" s="2"/>
      <c r="T26" s="2"/>
      <c r="U26" s="2"/>
      <c r="V26" s="2"/>
      <c r="W26" s="2"/>
      <c r="X26" s="2"/>
      <c r="Y26" s="2"/>
      <c r="Z26" s="2"/>
    </row>
    <row r="27" spans="1:26" x14ac:dyDescent="0.3">
      <c r="A27" s="1">
        <v>26</v>
      </c>
      <c r="B27" s="2"/>
      <c r="C27" s="15">
        <v>46098</v>
      </c>
      <c r="D27" s="15">
        <v>46100</v>
      </c>
      <c r="E27" s="22" t="s">
        <v>127</v>
      </c>
      <c r="F27" s="3" t="s">
        <v>128</v>
      </c>
      <c r="G27" s="20" t="s">
        <v>8</v>
      </c>
      <c r="H27" s="20" t="s">
        <v>6</v>
      </c>
      <c r="I27" s="9" t="s">
        <v>129</v>
      </c>
      <c r="J27" s="3">
        <v>1</v>
      </c>
      <c r="K27" s="3" t="s">
        <v>27</v>
      </c>
      <c r="L27" s="21" t="s">
        <v>48</v>
      </c>
      <c r="M27" s="12">
        <v>6240800</v>
      </c>
      <c r="N27" s="11">
        <f>(M27*J27)+R27</f>
        <v>9966800</v>
      </c>
      <c r="O27" s="4">
        <v>46112</v>
      </c>
      <c r="P27" s="2" t="s">
        <v>130</v>
      </c>
      <c r="Q27" s="12">
        <v>3754000</v>
      </c>
      <c r="R27" s="12">
        <v>3726000</v>
      </c>
      <c r="S27" s="2"/>
      <c r="T27" s="2"/>
      <c r="U27" s="2"/>
      <c r="V27" s="2"/>
      <c r="W27" s="2"/>
      <c r="X27" s="2"/>
      <c r="Y27" s="2"/>
      <c r="Z27" s="2"/>
    </row>
    <row r="28" spans="1:26" x14ac:dyDescent="0.3">
      <c r="A28" s="1">
        <v>27</v>
      </c>
      <c r="B28" s="2"/>
      <c r="C28" s="15">
        <v>46104</v>
      </c>
      <c r="D28" s="15">
        <v>46108</v>
      </c>
      <c r="E28" s="22" t="s">
        <v>131</v>
      </c>
      <c r="F28" s="3" t="s">
        <v>132</v>
      </c>
      <c r="G28" s="20" t="s">
        <v>8</v>
      </c>
      <c r="H28" s="20" t="s">
        <v>6</v>
      </c>
      <c r="I28" s="9">
        <v>500</v>
      </c>
      <c r="J28" s="3">
        <v>2</v>
      </c>
      <c r="K28" s="3" t="s">
        <v>30</v>
      </c>
      <c r="L28" s="21" t="s">
        <v>46</v>
      </c>
      <c r="M28" s="12">
        <v>29546894</v>
      </c>
      <c r="N28" s="11">
        <f>(M28*J28)+R28</f>
        <v>59093788</v>
      </c>
      <c r="O28" s="4"/>
      <c r="P28" s="2" t="s">
        <v>71</v>
      </c>
      <c r="Q28" s="12"/>
      <c r="R28" s="12"/>
      <c r="S28" s="2"/>
      <c r="T28" s="2"/>
      <c r="U28" s="2"/>
      <c r="V28" s="2"/>
      <c r="W28" s="2"/>
      <c r="X28" s="2"/>
      <c r="Y28" s="2"/>
      <c r="Z28" s="2"/>
    </row>
    <row r="29" spans="1:26" x14ac:dyDescent="0.3">
      <c r="A29" s="1">
        <v>28</v>
      </c>
      <c r="B29" s="2"/>
      <c r="C29" s="15">
        <v>46106</v>
      </c>
      <c r="D29" s="15"/>
      <c r="E29" s="22" t="s">
        <v>133</v>
      </c>
      <c r="F29" s="3" t="s">
        <v>134</v>
      </c>
      <c r="G29" s="3" t="s">
        <v>5</v>
      </c>
      <c r="H29" s="20" t="s">
        <v>6</v>
      </c>
      <c r="I29" s="9" t="s">
        <v>40</v>
      </c>
      <c r="J29" s="3">
        <v>1</v>
      </c>
      <c r="K29" s="3" t="s">
        <v>54</v>
      </c>
      <c r="L29" s="21" t="s">
        <v>36</v>
      </c>
      <c r="M29" s="12">
        <v>76023085</v>
      </c>
      <c r="N29" s="11">
        <f>(M29*J29)+R29</f>
        <v>76023085</v>
      </c>
      <c r="O29" s="4"/>
      <c r="P29" s="2" t="s">
        <v>135</v>
      </c>
      <c r="Q29" s="12"/>
      <c r="R29" s="12"/>
      <c r="S29" s="2"/>
      <c r="T29" s="2"/>
      <c r="U29" s="2"/>
      <c r="V29" s="2"/>
      <c r="W29" s="2"/>
      <c r="X29" s="2"/>
      <c r="Y29" s="2"/>
      <c r="Z29" s="2"/>
    </row>
    <row r="30" spans="1:26" x14ac:dyDescent="0.3">
      <c r="A30" s="1">
        <v>29</v>
      </c>
      <c r="B30" s="2"/>
      <c r="C30" s="15">
        <v>46106</v>
      </c>
      <c r="D30" s="15">
        <v>46116</v>
      </c>
      <c r="E30" s="22" t="s">
        <v>136</v>
      </c>
      <c r="F30" s="3" t="s">
        <v>137</v>
      </c>
      <c r="G30" s="20" t="s">
        <v>8</v>
      </c>
      <c r="H30" s="20" t="s">
        <v>6</v>
      </c>
      <c r="I30" s="9" t="s">
        <v>17</v>
      </c>
      <c r="J30" s="3">
        <v>1</v>
      </c>
      <c r="K30" s="3" t="s">
        <v>27</v>
      </c>
      <c r="L30" s="21" t="s">
        <v>11</v>
      </c>
      <c r="M30" s="12">
        <v>79000000</v>
      </c>
      <c r="N30" s="11">
        <f>(M30*J30)+R30</f>
        <v>89600000</v>
      </c>
      <c r="O30" s="4">
        <v>46142</v>
      </c>
      <c r="P30" s="2" t="s">
        <v>138</v>
      </c>
      <c r="Q30" s="12"/>
      <c r="R30" s="12">
        <f>21200000/2</f>
        <v>10600000</v>
      </c>
      <c r="S30" s="2"/>
      <c r="T30" s="2"/>
      <c r="U30" s="2"/>
      <c r="V30" s="2"/>
      <c r="W30" s="2"/>
      <c r="X30" s="2"/>
      <c r="Y30" s="2"/>
      <c r="Z30" s="2"/>
    </row>
    <row r="31" spans="1:26" x14ac:dyDescent="0.3">
      <c r="A31" s="1">
        <v>30</v>
      </c>
      <c r="B31" s="2"/>
      <c r="C31" s="15">
        <v>46106</v>
      </c>
      <c r="D31" s="15">
        <v>46116</v>
      </c>
      <c r="E31" s="22" t="s">
        <v>136</v>
      </c>
      <c r="F31" s="3" t="s">
        <v>139</v>
      </c>
      <c r="G31" s="20" t="s">
        <v>8</v>
      </c>
      <c r="H31" s="20" t="s">
        <v>6</v>
      </c>
      <c r="I31" s="9" t="s">
        <v>17</v>
      </c>
      <c r="J31" s="3">
        <v>1</v>
      </c>
      <c r="K31" s="3" t="s">
        <v>27</v>
      </c>
      <c r="L31" s="21" t="s">
        <v>11</v>
      </c>
      <c r="M31" s="12">
        <v>79000000</v>
      </c>
      <c r="N31" s="11">
        <f>(M31*J31)+R31</f>
        <v>89600000</v>
      </c>
      <c r="O31" s="4">
        <v>46142</v>
      </c>
      <c r="P31" s="2" t="s">
        <v>138</v>
      </c>
      <c r="Q31" s="12">
        <v>10596000</v>
      </c>
      <c r="R31" s="12">
        <f>21200000/2</f>
        <v>10600000</v>
      </c>
      <c r="S31" s="2"/>
      <c r="T31" s="2"/>
      <c r="U31" s="2"/>
      <c r="V31" s="2"/>
      <c r="W31" s="2"/>
      <c r="X31" s="2"/>
      <c r="Y31" s="2"/>
      <c r="Z31" s="2"/>
    </row>
    <row r="32" spans="1:26" x14ac:dyDescent="0.3">
      <c r="A32" s="1">
        <v>31</v>
      </c>
      <c r="B32" s="2"/>
      <c r="C32" s="15">
        <v>46106</v>
      </c>
      <c r="D32" s="15">
        <v>46126</v>
      </c>
      <c r="E32" s="22" t="s">
        <v>140</v>
      </c>
      <c r="F32" s="3" t="s">
        <v>141</v>
      </c>
      <c r="G32" s="3" t="s">
        <v>5</v>
      </c>
      <c r="H32" s="20" t="s">
        <v>6</v>
      </c>
      <c r="I32" s="9" t="s">
        <v>142</v>
      </c>
      <c r="J32" s="3">
        <v>1</v>
      </c>
      <c r="K32" s="3" t="s">
        <v>75</v>
      </c>
      <c r="L32" s="23" t="s">
        <v>18</v>
      </c>
      <c r="M32" s="12">
        <v>28000000</v>
      </c>
      <c r="N32" s="11">
        <f>(M32*J32)+R32</f>
        <v>28000000</v>
      </c>
      <c r="O32" s="4"/>
      <c r="P32" s="2" t="s">
        <v>76</v>
      </c>
      <c r="Q32" s="12"/>
      <c r="R32" s="12"/>
      <c r="S32" s="2"/>
      <c r="T32" s="2"/>
      <c r="U32" s="2"/>
      <c r="V32" s="2"/>
      <c r="W32" s="2"/>
      <c r="X32" s="2"/>
      <c r="Y32" s="2"/>
      <c r="Z32" s="2"/>
    </row>
    <row r="33" spans="1:26" x14ac:dyDescent="0.3">
      <c r="A33" s="1">
        <v>32</v>
      </c>
      <c r="B33" s="2"/>
      <c r="C33" s="15">
        <v>46108</v>
      </c>
      <c r="D33" s="15">
        <v>46113</v>
      </c>
      <c r="E33" s="22" t="s">
        <v>143</v>
      </c>
      <c r="F33" s="3" t="s">
        <v>144</v>
      </c>
      <c r="G33" s="20" t="s">
        <v>8</v>
      </c>
      <c r="H33" s="20" t="s">
        <v>6</v>
      </c>
      <c r="I33" s="9" t="s">
        <v>145</v>
      </c>
      <c r="J33" s="3">
        <v>1</v>
      </c>
      <c r="K33" s="3" t="s">
        <v>38</v>
      </c>
      <c r="L33" s="21" t="s">
        <v>47</v>
      </c>
      <c r="M33" s="12">
        <v>15000000</v>
      </c>
      <c r="N33" s="11">
        <f>(M33*J33)+R33</f>
        <v>21480000</v>
      </c>
      <c r="O33" s="4">
        <v>46142</v>
      </c>
      <c r="P33" s="2" t="s">
        <v>146</v>
      </c>
      <c r="Q33" s="12">
        <v>6442000</v>
      </c>
      <c r="R33" s="12">
        <v>6480000</v>
      </c>
      <c r="S33" s="2"/>
      <c r="T33" s="2"/>
      <c r="U33" s="2"/>
      <c r="V33" s="2"/>
      <c r="W33" s="2"/>
      <c r="X33" s="2"/>
      <c r="Y33" s="2"/>
      <c r="Z33" s="2"/>
    </row>
    <row r="34" spans="1:26" x14ac:dyDescent="0.3">
      <c r="A34" s="1">
        <v>33</v>
      </c>
      <c r="B34" s="2"/>
      <c r="C34" s="15">
        <v>46109</v>
      </c>
      <c r="D34" s="15">
        <v>46114</v>
      </c>
      <c r="E34" s="22" t="s">
        <v>96</v>
      </c>
      <c r="F34" s="3" t="s">
        <v>147</v>
      </c>
      <c r="G34" s="20" t="s">
        <v>8</v>
      </c>
      <c r="H34" s="20" t="s">
        <v>6</v>
      </c>
      <c r="I34" s="9">
        <v>600</v>
      </c>
      <c r="J34" s="3">
        <v>2</v>
      </c>
      <c r="K34" s="3" t="s">
        <v>12</v>
      </c>
      <c r="L34" s="21" t="s">
        <v>46</v>
      </c>
      <c r="M34" s="12">
        <v>39994404</v>
      </c>
      <c r="N34" s="11">
        <f>(M34*J34)+R34</f>
        <v>79988808</v>
      </c>
      <c r="O34" s="4"/>
      <c r="P34" s="2" t="s">
        <v>71</v>
      </c>
      <c r="Q34" s="12"/>
      <c r="R34" s="12"/>
      <c r="S34" s="2"/>
      <c r="T34" s="2"/>
      <c r="U34" s="2"/>
      <c r="V34" s="2"/>
      <c r="W34" s="2"/>
      <c r="X34" s="2"/>
      <c r="Y34" s="2"/>
      <c r="Z34" s="2"/>
    </row>
    <row r="35" spans="1:26" x14ac:dyDescent="0.3">
      <c r="A35" s="1">
        <v>34</v>
      </c>
      <c r="B35" s="2"/>
      <c r="C35" s="15">
        <v>46114</v>
      </c>
      <c r="D35" s="15">
        <v>46154</v>
      </c>
      <c r="E35" s="22" t="s">
        <v>148</v>
      </c>
      <c r="F35" s="3" t="s">
        <v>149</v>
      </c>
      <c r="G35" s="3" t="s">
        <v>5</v>
      </c>
      <c r="H35" s="20" t="s">
        <v>6</v>
      </c>
      <c r="I35" s="9" t="s">
        <v>28</v>
      </c>
      <c r="J35" s="3">
        <v>1</v>
      </c>
      <c r="K35" s="3" t="s">
        <v>150</v>
      </c>
      <c r="L35" s="21" t="s">
        <v>151</v>
      </c>
      <c r="M35" s="12">
        <v>36000000</v>
      </c>
      <c r="N35" s="11">
        <f>(M35*J35)+R35</f>
        <v>36000000</v>
      </c>
      <c r="O35" s="4">
        <v>46169</v>
      </c>
      <c r="P35" s="2" t="s">
        <v>152</v>
      </c>
      <c r="Q35" s="12"/>
      <c r="R35" s="1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1">
        <v>35</v>
      </c>
      <c r="B36" s="2"/>
      <c r="C36" s="15">
        <v>46119</v>
      </c>
      <c r="D36" s="15">
        <v>46175</v>
      </c>
      <c r="E36" s="22" t="s">
        <v>153</v>
      </c>
      <c r="F36" s="3" t="s">
        <v>154</v>
      </c>
      <c r="G36" s="3" t="s">
        <v>5</v>
      </c>
      <c r="H36" s="20" t="s">
        <v>6</v>
      </c>
      <c r="I36" s="9" t="s">
        <v>33</v>
      </c>
      <c r="J36" s="3">
        <v>1</v>
      </c>
      <c r="K36" s="3" t="s">
        <v>54</v>
      </c>
      <c r="L36" s="16" t="s">
        <v>42</v>
      </c>
      <c r="M36" s="12">
        <v>42000000</v>
      </c>
      <c r="N36" s="11">
        <f>(M36*J36)+R36</f>
        <v>42000000</v>
      </c>
      <c r="O36" s="17"/>
      <c r="P36" s="2" t="s">
        <v>43</v>
      </c>
      <c r="Q36" s="12"/>
      <c r="R36" s="1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1">
        <v>36</v>
      </c>
      <c r="B37" s="2"/>
      <c r="C37" s="15">
        <v>46125</v>
      </c>
      <c r="D37" s="15">
        <v>46130</v>
      </c>
      <c r="E37" s="22" t="s">
        <v>155</v>
      </c>
      <c r="F37" s="3" t="s">
        <v>156</v>
      </c>
      <c r="G37" s="20" t="s">
        <v>8</v>
      </c>
      <c r="H37" s="20" t="s">
        <v>6</v>
      </c>
      <c r="I37" s="9" t="s">
        <v>23</v>
      </c>
      <c r="J37" s="3">
        <v>1</v>
      </c>
      <c r="K37" s="3" t="s">
        <v>27</v>
      </c>
      <c r="L37" s="23" t="s">
        <v>11</v>
      </c>
      <c r="M37" s="12">
        <v>25985000</v>
      </c>
      <c r="N37" s="11">
        <f>(M37*J37)+R37</f>
        <v>30841000</v>
      </c>
      <c r="O37" s="4"/>
      <c r="P37" s="2" t="s">
        <v>157</v>
      </c>
      <c r="Q37" s="12">
        <v>4856000</v>
      </c>
      <c r="R37" s="12">
        <v>4856000</v>
      </c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1">
        <v>37</v>
      </c>
      <c r="B38" s="2"/>
      <c r="C38" s="15">
        <v>46125</v>
      </c>
      <c r="D38" s="15">
        <v>46146</v>
      </c>
      <c r="E38" s="14" t="s">
        <v>158</v>
      </c>
      <c r="F38" s="3" t="s">
        <v>159</v>
      </c>
      <c r="G38" s="3" t="s">
        <v>5</v>
      </c>
      <c r="H38" s="20" t="s">
        <v>6</v>
      </c>
      <c r="I38" s="9">
        <v>1500</v>
      </c>
      <c r="J38" s="3">
        <v>1</v>
      </c>
      <c r="K38" s="3" t="s">
        <v>75</v>
      </c>
      <c r="L38" s="23" t="s">
        <v>18</v>
      </c>
      <c r="M38" s="12">
        <v>72170000</v>
      </c>
      <c r="N38" s="11">
        <f>(M38*J38)+R38</f>
        <v>72170000</v>
      </c>
      <c r="O38" s="4"/>
      <c r="P38" s="2" t="s">
        <v>76</v>
      </c>
      <c r="Q38" s="12"/>
      <c r="R38" s="1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1">
        <v>38</v>
      </c>
      <c r="B39" s="2"/>
      <c r="C39" s="4">
        <v>46127</v>
      </c>
      <c r="D39" s="4">
        <v>46133</v>
      </c>
      <c r="E39" s="13" t="s">
        <v>160</v>
      </c>
      <c r="F39" s="3" t="s">
        <v>161</v>
      </c>
      <c r="G39" s="3" t="s">
        <v>5</v>
      </c>
      <c r="H39" s="20" t="s">
        <v>6</v>
      </c>
      <c r="I39" s="9" t="s">
        <v>50</v>
      </c>
      <c r="J39" s="3">
        <v>1</v>
      </c>
      <c r="K39" s="3" t="s">
        <v>41</v>
      </c>
      <c r="L39" s="23" t="s">
        <v>122</v>
      </c>
      <c r="M39" s="12">
        <v>24850000</v>
      </c>
      <c r="N39" s="11">
        <f>(M39*J39)+R39</f>
        <v>24850000</v>
      </c>
      <c r="O39" s="4"/>
      <c r="P39" s="2"/>
      <c r="Q39" s="12"/>
      <c r="R39" s="1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1">
        <v>39</v>
      </c>
      <c r="B40" s="2"/>
      <c r="C40" s="4">
        <v>46132</v>
      </c>
      <c r="D40" s="4">
        <v>46134</v>
      </c>
      <c r="E40" s="13" t="s">
        <v>63</v>
      </c>
      <c r="F40" s="3" t="s">
        <v>162</v>
      </c>
      <c r="G40" s="20" t="s">
        <v>8</v>
      </c>
      <c r="H40" s="20" t="s">
        <v>6</v>
      </c>
      <c r="I40" s="9" t="s">
        <v>64</v>
      </c>
      <c r="J40" s="3">
        <v>1</v>
      </c>
      <c r="K40" s="3" t="s">
        <v>27</v>
      </c>
      <c r="L40" s="10" t="s">
        <v>163</v>
      </c>
      <c r="M40" s="12">
        <v>24300000</v>
      </c>
      <c r="N40" s="11">
        <f>(M40*J40)+R40</f>
        <v>24300000</v>
      </c>
      <c r="O40" s="4">
        <v>46142</v>
      </c>
      <c r="P40" s="2" t="s">
        <v>164</v>
      </c>
      <c r="Q40" s="12"/>
      <c r="R40" s="1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1">
        <v>40</v>
      </c>
      <c r="B41" s="2"/>
      <c r="C41" s="4">
        <v>46132</v>
      </c>
      <c r="D41" s="4"/>
      <c r="E41" s="13" t="s">
        <v>165</v>
      </c>
      <c r="F41" s="3" t="s">
        <v>166</v>
      </c>
      <c r="G41" s="20" t="s">
        <v>8</v>
      </c>
      <c r="H41" s="20" t="s">
        <v>6</v>
      </c>
      <c r="I41" s="9">
        <v>700</v>
      </c>
      <c r="J41" s="3">
        <v>4</v>
      </c>
      <c r="K41" s="3" t="s">
        <v>22</v>
      </c>
      <c r="L41" s="21" t="s">
        <v>46</v>
      </c>
      <c r="M41" s="12">
        <v>47404740</v>
      </c>
      <c r="N41" s="11">
        <f>(M41*J41)+R41</f>
        <v>189618960</v>
      </c>
      <c r="O41" s="4"/>
      <c r="P41" s="2" t="s">
        <v>71</v>
      </c>
      <c r="Q41" s="12"/>
      <c r="R41" s="1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1">
        <v>41</v>
      </c>
      <c r="B42" s="2"/>
      <c r="C42" s="4">
        <v>46133</v>
      </c>
      <c r="D42" s="4">
        <v>46157</v>
      </c>
      <c r="E42" s="13" t="s">
        <v>26</v>
      </c>
      <c r="F42" s="3" t="s">
        <v>167</v>
      </c>
      <c r="G42" s="20" t="s">
        <v>8</v>
      </c>
      <c r="H42" s="20" t="s">
        <v>6</v>
      </c>
      <c r="I42" s="9">
        <v>500</v>
      </c>
      <c r="J42" s="3">
        <v>2</v>
      </c>
      <c r="K42" s="3" t="s">
        <v>22</v>
      </c>
      <c r="L42" s="21" t="s">
        <v>46</v>
      </c>
      <c r="M42" s="12">
        <v>29546894</v>
      </c>
      <c r="N42" s="11">
        <f>(M42*J42)+R42</f>
        <v>59093788</v>
      </c>
      <c r="O42" s="4"/>
      <c r="P42" s="2" t="s">
        <v>71</v>
      </c>
      <c r="Q42" s="12"/>
      <c r="R42" s="1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1">
        <v>42</v>
      </c>
      <c r="B43" s="2"/>
      <c r="C43" s="4">
        <v>46135</v>
      </c>
      <c r="D43" s="4">
        <v>46137</v>
      </c>
      <c r="E43" s="13" t="s">
        <v>168</v>
      </c>
      <c r="F43" s="3" t="s">
        <v>169</v>
      </c>
      <c r="G43" s="20" t="s">
        <v>8</v>
      </c>
      <c r="H43" s="20" t="s">
        <v>6</v>
      </c>
      <c r="I43" s="9">
        <v>200</v>
      </c>
      <c r="J43" s="3">
        <v>4</v>
      </c>
      <c r="K43" s="3" t="s">
        <v>22</v>
      </c>
      <c r="L43" s="21" t="s">
        <v>11</v>
      </c>
      <c r="M43" s="12">
        <v>9824497</v>
      </c>
      <c r="N43" s="11">
        <f>(M43*J43)+R43</f>
        <v>39297988</v>
      </c>
      <c r="O43" s="4"/>
      <c r="P43" s="2" t="s">
        <v>71</v>
      </c>
      <c r="Q43" s="12"/>
      <c r="R43" s="1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1">
        <v>43</v>
      </c>
      <c r="B44" s="2"/>
      <c r="C44" s="4">
        <v>46137</v>
      </c>
      <c r="D44" s="4">
        <v>46142</v>
      </c>
      <c r="E44" s="13" t="s">
        <v>170</v>
      </c>
      <c r="F44" s="3" t="s">
        <v>171</v>
      </c>
      <c r="G44" s="20" t="s">
        <v>8</v>
      </c>
      <c r="H44" s="20" t="s">
        <v>6</v>
      </c>
      <c r="I44" s="9" t="s">
        <v>44</v>
      </c>
      <c r="J44" s="3">
        <v>1</v>
      </c>
      <c r="K44" s="3" t="s">
        <v>14</v>
      </c>
      <c r="L44" s="10" t="s">
        <v>172</v>
      </c>
      <c r="M44" s="12">
        <v>55460000</v>
      </c>
      <c r="N44" s="11">
        <f>(M44*J44)+R44</f>
        <v>63756000</v>
      </c>
      <c r="O44" s="4">
        <v>46167</v>
      </c>
      <c r="P44" s="2" t="s">
        <v>62</v>
      </c>
      <c r="Q44" s="12">
        <v>8296000</v>
      </c>
      <c r="R44" s="12">
        <v>8296000</v>
      </c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1">
        <v>44</v>
      </c>
      <c r="B45" s="2"/>
      <c r="C45" s="4">
        <v>46139</v>
      </c>
      <c r="D45" s="4"/>
      <c r="E45" s="13" t="s">
        <v>173</v>
      </c>
      <c r="F45" s="3" t="s">
        <v>174</v>
      </c>
      <c r="G45" s="3" t="s">
        <v>5</v>
      </c>
      <c r="H45" s="20" t="s">
        <v>6</v>
      </c>
      <c r="I45" s="9" t="s">
        <v>39</v>
      </c>
      <c r="J45" s="3">
        <v>1</v>
      </c>
      <c r="K45" s="3" t="s">
        <v>175</v>
      </c>
      <c r="L45" s="10" t="s">
        <v>37</v>
      </c>
      <c r="M45" s="12">
        <v>180000000</v>
      </c>
      <c r="N45" s="11">
        <f>(M45*J45)+R45</f>
        <v>180000000</v>
      </c>
      <c r="O45" s="4"/>
      <c r="P45" s="2" t="s">
        <v>176</v>
      </c>
      <c r="Q45" s="12"/>
      <c r="R45" s="1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1">
        <v>45</v>
      </c>
      <c r="B46" s="2"/>
      <c r="C46" s="4">
        <v>46139</v>
      </c>
      <c r="D46" s="4">
        <v>46142</v>
      </c>
      <c r="E46" s="13" t="s">
        <v>177</v>
      </c>
      <c r="F46" s="3" t="s">
        <v>178</v>
      </c>
      <c r="G46" s="20" t="s">
        <v>8</v>
      </c>
      <c r="H46" s="20" t="s">
        <v>6</v>
      </c>
      <c r="I46" s="9">
        <v>200</v>
      </c>
      <c r="J46" s="3">
        <v>4</v>
      </c>
      <c r="K46" s="3" t="s">
        <v>100</v>
      </c>
      <c r="L46" s="21" t="s">
        <v>179</v>
      </c>
      <c r="M46" s="12">
        <v>8775745</v>
      </c>
      <c r="N46" s="11">
        <f>(M46*J46)+R46</f>
        <v>35102980</v>
      </c>
      <c r="O46" s="4"/>
      <c r="P46" s="2" t="s">
        <v>71</v>
      </c>
      <c r="Q46" s="12"/>
      <c r="R46" s="1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1">
        <v>46</v>
      </c>
      <c r="B47" s="2"/>
      <c r="C47" s="4">
        <v>46146</v>
      </c>
      <c r="D47" s="4">
        <v>46153</v>
      </c>
      <c r="E47" s="13" t="s">
        <v>180</v>
      </c>
      <c r="F47" s="3" t="s">
        <v>181</v>
      </c>
      <c r="G47" s="20" t="s">
        <v>8</v>
      </c>
      <c r="H47" s="20" t="s">
        <v>6</v>
      </c>
      <c r="I47" s="9" t="s">
        <v>23</v>
      </c>
      <c r="J47" s="3">
        <v>1</v>
      </c>
      <c r="K47" s="3" t="s">
        <v>14</v>
      </c>
      <c r="L47" s="23" t="s">
        <v>11</v>
      </c>
      <c r="M47" s="12">
        <v>25985000</v>
      </c>
      <c r="N47" s="11">
        <f>(M47*J47)+R47</f>
        <v>30841000</v>
      </c>
      <c r="O47" s="4"/>
      <c r="P47" s="2" t="s">
        <v>157</v>
      </c>
      <c r="Q47" s="12"/>
      <c r="R47" s="12">
        <v>4856000</v>
      </c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1">
        <v>47</v>
      </c>
      <c r="B48" s="2"/>
      <c r="C48" s="4">
        <v>46146</v>
      </c>
      <c r="D48" s="4">
        <v>46153</v>
      </c>
      <c r="E48" s="13" t="s">
        <v>182</v>
      </c>
      <c r="F48" s="3" t="s">
        <v>183</v>
      </c>
      <c r="G48" s="20" t="s">
        <v>8</v>
      </c>
      <c r="H48" s="20" t="s">
        <v>6</v>
      </c>
      <c r="I48" s="9" t="s">
        <v>184</v>
      </c>
      <c r="J48" s="3">
        <v>1</v>
      </c>
      <c r="K48" s="3" t="s">
        <v>14</v>
      </c>
      <c r="L48" s="23" t="s">
        <v>11</v>
      </c>
      <c r="M48" s="12">
        <v>13730000</v>
      </c>
      <c r="N48" s="11">
        <f>(M48*J48)+R48</f>
        <v>17578000</v>
      </c>
      <c r="O48" s="4"/>
      <c r="P48" s="2" t="s">
        <v>157</v>
      </c>
      <c r="Q48" s="12"/>
      <c r="R48" s="12">
        <v>3848000</v>
      </c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1">
        <v>48</v>
      </c>
      <c r="B49" s="2"/>
      <c r="C49" s="4">
        <v>46148</v>
      </c>
      <c r="D49" s="4">
        <v>46158</v>
      </c>
      <c r="E49" s="13" t="s">
        <v>185</v>
      </c>
      <c r="F49" s="3" t="s">
        <v>186</v>
      </c>
      <c r="G49" s="20" t="s">
        <v>8</v>
      </c>
      <c r="H49" s="20" t="s">
        <v>6</v>
      </c>
      <c r="I49" s="9">
        <v>350</v>
      </c>
      <c r="J49" s="3">
        <v>8</v>
      </c>
      <c r="K49" s="3" t="s">
        <v>22</v>
      </c>
      <c r="L49" s="21" t="s">
        <v>11</v>
      </c>
      <c r="M49" s="12">
        <v>22636931</v>
      </c>
      <c r="N49" s="11">
        <f>(M49*J49)+R49</f>
        <v>181095448</v>
      </c>
      <c r="O49" s="4"/>
      <c r="P49" s="2" t="s">
        <v>71</v>
      </c>
      <c r="Q49" s="12"/>
      <c r="R49" s="1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1">
        <v>49</v>
      </c>
      <c r="B50" s="2"/>
      <c r="C50" s="4">
        <v>46149</v>
      </c>
      <c r="D50" s="4">
        <v>46161</v>
      </c>
      <c r="E50" s="13" t="s">
        <v>187</v>
      </c>
      <c r="F50" s="3" t="s">
        <v>188</v>
      </c>
      <c r="G50" s="3" t="s">
        <v>5</v>
      </c>
      <c r="H50" s="20" t="s">
        <v>6</v>
      </c>
      <c r="I50" s="9" t="s">
        <v>189</v>
      </c>
      <c r="J50" s="3">
        <v>1</v>
      </c>
      <c r="K50" s="3" t="s">
        <v>54</v>
      </c>
      <c r="L50" s="10" t="s">
        <v>31</v>
      </c>
      <c r="M50" s="12"/>
      <c r="N50" s="11">
        <f>(M50*J50)+R50</f>
        <v>0</v>
      </c>
      <c r="O50" s="4"/>
      <c r="P50" s="2" t="s">
        <v>190</v>
      </c>
      <c r="Q50" s="12"/>
      <c r="R50" s="1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1">
        <v>50</v>
      </c>
      <c r="B51" s="2"/>
      <c r="C51" s="4">
        <v>46149</v>
      </c>
      <c r="D51" s="4">
        <v>46154</v>
      </c>
      <c r="E51" s="13" t="s">
        <v>25</v>
      </c>
      <c r="F51" s="3" t="s">
        <v>191</v>
      </c>
      <c r="G51" s="20" t="s">
        <v>8</v>
      </c>
      <c r="H51" s="20" t="s">
        <v>6</v>
      </c>
      <c r="I51" s="9">
        <v>250</v>
      </c>
      <c r="J51" s="3">
        <v>2</v>
      </c>
      <c r="K51" s="3" t="s">
        <v>12</v>
      </c>
      <c r="L51" s="21" t="s">
        <v>172</v>
      </c>
      <c r="M51" s="12">
        <v>12614703</v>
      </c>
      <c r="N51" s="11">
        <f>(M51*J51)+R51</f>
        <v>25229406</v>
      </c>
      <c r="O51" s="4"/>
      <c r="P51" s="2" t="s">
        <v>71</v>
      </c>
      <c r="Q51" s="12"/>
      <c r="R51" s="1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1">
        <v>51</v>
      </c>
      <c r="B52" s="2"/>
      <c r="C52" s="4">
        <v>46151</v>
      </c>
      <c r="D52" s="4">
        <v>46165</v>
      </c>
      <c r="E52" s="13" t="s">
        <v>192</v>
      </c>
      <c r="F52" s="3" t="s">
        <v>193</v>
      </c>
      <c r="G52" s="20" t="s">
        <v>8</v>
      </c>
      <c r="H52" s="20" t="s">
        <v>6</v>
      </c>
      <c r="I52" s="9">
        <v>800</v>
      </c>
      <c r="J52" s="3">
        <v>2</v>
      </c>
      <c r="K52" s="3" t="s">
        <v>22</v>
      </c>
      <c r="L52" s="21" t="s">
        <v>11</v>
      </c>
      <c r="M52" s="12">
        <v>104733052</v>
      </c>
      <c r="N52" s="11">
        <f>(M52*J52)+R52</f>
        <v>209466104</v>
      </c>
      <c r="O52" s="4"/>
      <c r="P52" s="2" t="s">
        <v>71</v>
      </c>
      <c r="Q52" s="12"/>
      <c r="R52" s="1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1">
        <v>52</v>
      </c>
      <c r="B53" s="2"/>
      <c r="C53" s="4">
        <v>46156</v>
      </c>
      <c r="D53" s="4">
        <v>46164</v>
      </c>
      <c r="E53" s="13" t="s">
        <v>194</v>
      </c>
      <c r="F53" s="3" t="s">
        <v>195</v>
      </c>
      <c r="G53" s="20" t="s">
        <v>8</v>
      </c>
      <c r="H53" s="20" t="s">
        <v>6</v>
      </c>
      <c r="I53" s="9">
        <v>450</v>
      </c>
      <c r="J53" s="3">
        <v>2</v>
      </c>
      <c r="K53" s="3" t="s">
        <v>12</v>
      </c>
      <c r="L53" s="21" t="s">
        <v>172</v>
      </c>
      <c r="M53" s="12">
        <v>25578231</v>
      </c>
      <c r="N53" s="11">
        <f>(M53*J53)+R53</f>
        <v>51156462</v>
      </c>
      <c r="O53" s="4"/>
      <c r="P53" s="2" t="s">
        <v>71</v>
      </c>
      <c r="Q53" s="12"/>
      <c r="R53" s="1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1">
        <v>53</v>
      </c>
      <c r="B54" s="2"/>
      <c r="C54" s="4">
        <v>46160</v>
      </c>
      <c r="D54" s="4"/>
      <c r="E54" s="13" t="s">
        <v>196</v>
      </c>
      <c r="F54" s="3" t="s">
        <v>197</v>
      </c>
      <c r="G54" s="20" t="s">
        <v>8</v>
      </c>
      <c r="H54" s="20" t="s">
        <v>6</v>
      </c>
      <c r="I54" s="9">
        <v>700</v>
      </c>
      <c r="J54" s="3">
        <v>2</v>
      </c>
      <c r="K54" s="3" t="s">
        <v>57</v>
      </c>
      <c r="L54" s="21" t="s">
        <v>58</v>
      </c>
      <c r="M54" s="12">
        <v>47404740</v>
      </c>
      <c r="N54" s="11">
        <f>(M54*J54)+R54</f>
        <v>94809480</v>
      </c>
      <c r="O54" s="4"/>
      <c r="P54" s="2" t="s">
        <v>71</v>
      </c>
      <c r="Q54" s="12"/>
      <c r="R54" s="1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1">
        <v>54</v>
      </c>
      <c r="B55" s="2"/>
      <c r="C55" s="15">
        <v>46161</v>
      </c>
      <c r="D55" s="15"/>
      <c r="E55" s="22" t="s">
        <v>153</v>
      </c>
      <c r="F55" s="3" t="s">
        <v>198</v>
      </c>
      <c r="G55" s="3" t="s">
        <v>5</v>
      </c>
      <c r="H55" s="20" t="s">
        <v>6</v>
      </c>
      <c r="I55" s="9" t="s">
        <v>33</v>
      </c>
      <c r="J55" s="3">
        <v>1</v>
      </c>
      <c r="K55" s="3" t="s">
        <v>54</v>
      </c>
      <c r="L55" s="16" t="s">
        <v>42</v>
      </c>
      <c r="M55" s="12">
        <v>42000000</v>
      </c>
      <c r="N55" s="11">
        <f>(M55*J55)+R55</f>
        <v>42000000</v>
      </c>
      <c r="O55" s="17"/>
      <c r="P55" s="2" t="s">
        <v>43</v>
      </c>
      <c r="Q55" s="12"/>
      <c r="R55" s="1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1">
        <v>55</v>
      </c>
      <c r="B56" s="2"/>
      <c r="C56" s="15">
        <v>46161</v>
      </c>
      <c r="D56" s="4"/>
      <c r="E56" s="13" t="s">
        <v>199</v>
      </c>
      <c r="F56" s="3" t="s">
        <v>200</v>
      </c>
      <c r="G56" s="3" t="s">
        <v>5</v>
      </c>
      <c r="H56" s="20" t="s">
        <v>6</v>
      </c>
      <c r="I56" s="9" t="s">
        <v>55</v>
      </c>
      <c r="J56" s="3">
        <v>1</v>
      </c>
      <c r="K56" s="3" t="s">
        <v>67</v>
      </c>
      <c r="L56" s="21" t="s">
        <v>19</v>
      </c>
      <c r="M56" s="12"/>
      <c r="N56" s="11">
        <f>(M56*J56)+R56</f>
        <v>0</v>
      </c>
      <c r="O56" s="4"/>
      <c r="P56" s="2"/>
      <c r="Q56" s="12"/>
      <c r="R56" s="1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1">
        <v>56</v>
      </c>
      <c r="B57" s="2"/>
      <c r="C57" s="15">
        <v>46161</v>
      </c>
      <c r="D57" s="4"/>
      <c r="E57" s="13" t="s">
        <v>201</v>
      </c>
      <c r="F57" s="3" t="s">
        <v>202</v>
      </c>
      <c r="G57" s="3" t="s">
        <v>5</v>
      </c>
      <c r="H57" s="20" t="s">
        <v>6</v>
      </c>
      <c r="I57" s="9" t="s">
        <v>56</v>
      </c>
      <c r="J57" s="3">
        <v>1</v>
      </c>
      <c r="K57" s="3" t="s">
        <v>67</v>
      </c>
      <c r="L57" s="21" t="s">
        <v>19</v>
      </c>
      <c r="M57" s="12"/>
      <c r="N57" s="11">
        <f>(M57*J57)+R57</f>
        <v>0</v>
      </c>
      <c r="O57" s="4"/>
      <c r="P57" s="2"/>
      <c r="Q57" s="12"/>
      <c r="R57" s="1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1">
        <v>57</v>
      </c>
      <c r="B58" s="2"/>
      <c r="C58" s="15">
        <v>46163</v>
      </c>
      <c r="D58" s="4"/>
      <c r="E58" s="13" t="s">
        <v>203</v>
      </c>
      <c r="F58" s="3" t="s">
        <v>204</v>
      </c>
      <c r="G58" s="3" t="s">
        <v>5</v>
      </c>
      <c r="H58" s="20" t="s">
        <v>6</v>
      </c>
      <c r="I58" s="9" t="s">
        <v>35</v>
      </c>
      <c r="J58" s="3">
        <v>1</v>
      </c>
      <c r="K58" s="3" t="s">
        <v>54</v>
      </c>
      <c r="L58" s="21" t="s">
        <v>205</v>
      </c>
      <c r="M58" s="12"/>
      <c r="N58" s="11">
        <f>(M58*J58)+R58</f>
        <v>0</v>
      </c>
      <c r="O58" s="4"/>
      <c r="P58" s="2"/>
      <c r="Q58" s="12"/>
      <c r="R58" s="1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1">
        <v>58</v>
      </c>
      <c r="B59" s="2"/>
      <c r="C59" s="4">
        <v>46164</v>
      </c>
      <c r="D59" s="4">
        <v>46168</v>
      </c>
      <c r="E59" s="13" t="s">
        <v>206</v>
      </c>
      <c r="F59" s="3" t="s">
        <v>207</v>
      </c>
      <c r="G59" s="20" t="s">
        <v>8</v>
      </c>
      <c r="H59" s="20" t="s">
        <v>6</v>
      </c>
      <c r="I59" s="9">
        <v>400</v>
      </c>
      <c r="J59" s="3">
        <v>2</v>
      </c>
      <c r="K59" s="3" t="s">
        <v>30</v>
      </c>
      <c r="L59" s="21" t="s">
        <v>46</v>
      </c>
      <c r="M59" s="12">
        <v>21749251</v>
      </c>
      <c r="N59" s="11">
        <f>(M59*J59)+R59</f>
        <v>43498502</v>
      </c>
      <c r="O59" s="4"/>
      <c r="P59" s="2" t="s">
        <v>71</v>
      </c>
      <c r="Q59" s="12"/>
      <c r="R59" s="1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1">
        <v>59</v>
      </c>
      <c r="B60" s="2"/>
      <c r="C60" s="4">
        <v>46164</v>
      </c>
      <c r="D60" s="4"/>
      <c r="E60" s="13" t="s">
        <v>208</v>
      </c>
      <c r="F60" s="3" t="s">
        <v>209</v>
      </c>
      <c r="G60" s="20" t="s">
        <v>8</v>
      </c>
      <c r="H60" s="20" t="s">
        <v>6</v>
      </c>
      <c r="I60" s="9">
        <v>500</v>
      </c>
      <c r="J60" s="3">
        <v>8</v>
      </c>
      <c r="K60" s="3" t="s">
        <v>100</v>
      </c>
      <c r="L60" s="21" t="s">
        <v>179</v>
      </c>
      <c r="M60" s="12">
        <v>29546894</v>
      </c>
      <c r="N60" s="11">
        <f>(M60*J60)+R60</f>
        <v>236375152</v>
      </c>
      <c r="O60" s="4"/>
      <c r="P60" s="2" t="s">
        <v>71</v>
      </c>
      <c r="Q60" s="12"/>
      <c r="R60" s="1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1">
        <v>60</v>
      </c>
      <c r="B61" s="2"/>
      <c r="C61" s="4">
        <v>46165</v>
      </c>
      <c r="D61" s="4">
        <v>46167</v>
      </c>
      <c r="E61" s="13" t="s">
        <v>66</v>
      </c>
      <c r="F61" s="3" t="s">
        <v>210</v>
      </c>
      <c r="G61" s="20" t="s">
        <v>8</v>
      </c>
      <c r="H61" s="20" t="s">
        <v>6</v>
      </c>
      <c r="I61" s="9" t="s">
        <v>16</v>
      </c>
      <c r="J61" s="3">
        <v>1</v>
      </c>
      <c r="K61" s="3" t="s">
        <v>14</v>
      </c>
      <c r="L61" s="10" t="s">
        <v>172</v>
      </c>
      <c r="M61" s="12">
        <v>41600000</v>
      </c>
      <c r="N61" s="11">
        <f>(M61*J61)+R61</f>
        <v>48000000</v>
      </c>
      <c r="O61" s="4"/>
      <c r="P61" s="2" t="s">
        <v>62</v>
      </c>
      <c r="Q61" s="12"/>
      <c r="R61" s="12">
        <f>1600000*4</f>
        <v>6400000</v>
      </c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1">
        <v>61</v>
      </c>
      <c r="B62" s="2"/>
      <c r="C62" s="4">
        <v>46165</v>
      </c>
      <c r="D62" s="4">
        <v>46167</v>
      </c>
      <c r="E62" s="13" t="s">
        <v>211</v>
      </c>
      <c r="F62" s="3" t="s">
        <v>212</v>
      </c>
      <c r="G62" s="20" t="s">
        <v>8</v>
      </c>
      <c r="H62" s="20" t="s">
        <v>6</v>
      </c>
      <c r="I62" s="9" t="s">
        <v>9</v>
      </c>
      <c r="J62" s="3">
        <v>1</v>
      </c>
      <c r="K62" s="3" t="s">
        <v>14</v>
      </c>
      <c r="L62" s="10" t="s">
        <v>172</v>
      </c>
      <c r="M62" s="12">
        <v>15800000</v>
      </c>
      <c r="N62" s="11">
        <f>(M62*J62)+R62</f>
        <v>18672000</v>
      </c>
      <c r="O62" s="4">
        <v>46167</v>
      </c>
      <c r="P62" s="2" t="s">
        <v>62</v>
      </c>
      <c r="Q62" s="12"/>
      <c r="R62" s="12">
        <v>2872000</v>
      </c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1">
        <v>62</v>
      </c>
      <c r="B63" s="2"/>
      <c r="C63" s="4">
        <v>46168</v>
      </c>
      <c r="D63" s="4">
        <v>46171</v>
      </c>
      <c r="E63" s="13" t="s">
        <v>213</v>
      </c>
      <c r="F63" s="3" t="s">
        <v>214</v>
      </c>
      <c r="G63" s="20" t="s">
        <v>8</v>
      </c>
      <c r="H63" s="20" t="s">
        <v>6</v>
      </c>
      <c r="I63" s="9">
        <v>300</v>
      </c>
      <c r="J63" s="3">
        <v>2</v>
      </c>
      <c r="K63" s="3" t="s">
        <v>24</v>
      </c>
      <c r="L63" s="10" t="s">
        <v>215</v>
      </c>
      <c r="M63" s="12"/>
      <c r="N63" s="11">
        <f>(M63*J63)+R63</f>
        <v>0</v>
      </c>
      <c r="O63" s="4"/>
      <c r="P63" s="2" t="s">
        <v>216</v>
      </c>
      <c r="Q63" s="12"/>
      <c r="R63" s="1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1">
        <v>63</v>
      </c>
      <c r="B64" s="2"/>
      <c r="C64" s="4">
        <v>46174</v>
      </c>
      <c r="D64" s="4"/>
      <c r="E64" s="13" t="s">
        <v>217</v>
      </c>
      <c r="F64" s="3" t="s">
        <v>218</v>
      </c>
      <c r="G64" s="20" t="s">
        <v>8</v>
      </c>
      <c r="H64" s="20" t="s">
        <v>6</v>
      </c>
      <c r="I64" s="9" t="s">
        <v>219</v>
      </c>
      <c r="J64" s="3">
        <v>1</v>
      </c>
      <c r="K64" s="3" t="s">
        <v>220</v>
      </c>
      <c r="L64" s="10" t="s">
        <v>32</v>
      </c>
      <c r="M64" s="12">
        <v>25000000</v>
      </c>
      <c r="N64" s="11">
        <f>(M64*J64)+R64</f>
        <v>37720000</v>
      </c>
      <c r="O64" s="4"/>
      <c r="P64" s="2" t="s">
        <v>221</v>
      </c>
      <c r="Q64" s="12"/>
      <c r="R64" s="12">
        <v>12720000</v>
      </c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1">
        <v>64</v>
      </c>
      <c r="B65" s="2"/>
      <c r="C65" s="4">
        <v>46177</v>
      </c>
      <c r="D65" s="4"/>
      <c r="E65" s="13" t="s">
        <v>59</v>
      </c>
      <c r="F65" s="3" t="s">
        <v>222</v>
      </c>
      <c r="G65" s="3" t="s">
        <v>5</v>
      </c>
      <c r="H65" s="20" t="s">
        <v>7</v>
      </c>
      <c r="I65" s="9" t="s">
        <v>10</v>
      </c>
      <c r="J65" s="3">
        <v>1</v>
      </c>
      <c r="K65" s="20"/>
      <c r="L65" s="21" t="s">
        <v>60</v>
      </c>
      <c r="M65" s="18">
        <v>64000000</v>
      </c>
      <c r="N65" s="19">
        <f>(M65*J65)+R65</f>
        <v>64000000</v>
      </c>
      <c r="O65" s="17"/>
      <c r="P65" s="2" t="s">
        <v>61</v>
      </c>
      <c r="Q65" s="12"/>
      <c r="R65" s="1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C66" s="5"/>
      <c r="D66" s="5"/>
      <c r="F66" s="1"/>
      <c r="G66" s="1"/>
      <c r="H66" s="1"/>
      <c r="I66" s="6"/>
      <c r="J66" s="1"/>
      <c r="K66" s="1"/>
      <c r="L66" s="7"/>
      <c r="M66" s="25"/>
      <c r="N66" s="24"/>
      <c r="O66" s="5"/>
      <c r="Q66" s="8"/>
      <c r="R66" s="8"/>
    </row>
    <row r="67" spans="1:26" x14ac:dyDescent="0.3">
      <c r="C67" s="5"/>
      <c r="D67" s="5"/>
      <c r="F67" s="1"/>
      <c r="G67" s="1"/>
      <c r="H67" s="1"/>
      <c r="I67" s="6"/>
      <c r="J67" s="1"/>
      <c r="K67" s="1"/>
      <c r="L67" s="7"/>
      <c r="M67" s="8" t="e">
        <f>#REF!*0.8</f>
        <v>#REF!</v>
      </c>
      <c r="N67" s="24"/>
      <c r="O67" s="5"/>
      <c r="Q67" s="8"/>
      <c r="R67" s="8"/>
    </row>
    <row r="68" spans="1:26" x14ac:dyDescent="0.3">
      <c r="C68" s="5"/>
      <c r="D68" s="5"/>
      <c r="F68" s="1"/>
      <c r="G68" s="1"/>
      <c r="H68" s="1"/>
      <c r="I68" s="6"/>
      <c r="J68" s="1"/>
      <c r="K68" s="1"/>
      <c r="L68" s="7"/>
      <c r="M68" s="8"/>
      <c r="N68" s="24"/>
      <c r="O68" s="5"/>
      <c r="Q68" s="8"/>
      <c r="R68" s="8"/>
    </row>
    <row r="69" spans="1:26" x14ac:dyDescent="0.3">
      <c r="C69" s="5"/>
      <c r="D69" s="5"/>
      <c r="F69" s="1"/>
      <c r="G69" s="1"/>
      <c r="H69" s="1"/>
      <c r="I69" s="6"/>
      <c r="J69" s="1"/>
      <c r="K69" s="1"/>
      <c r="L69" s="7"/>
      <c r="M69" s="8"/>
      <c r="N69" s="24"/>
      <c r="O69" s="5"/>
      <c r="Q69" s="8"/>
      <c r="R69" s="8"/>
    </row>
    <row r="70" spans="1:26" x14ac:dyDescent="0.3">
      <c r="C70" s="5"/>
      <c r="D70" s="5"/>
      <c r="F70" s="1"/>
      <c r="G70" s="1"/>
      <c r="H70" s="1"/>
      <c r="I70" s="6"/>
      <c r="J70" s="1"/>
      <c r="K70" s="1"/>
      <c r="L70" s="7"/>
      <c r="M70" s="8"/>
      <c r="N70" s="8"/>
      <c r="O70" s="5"/>
      <c r="Q70" s="8"/>
      <c r="R70" s="8"/>
    </row>
    <row r="71" spans="1:26" x14ac:dyDescent="0.3">
      <c r="C71" s="5"/>
      <c r="D71" s="5"/>
      <c r="F71" s="1"/>
      <c r="G71" s="1"/>
      <c r="H71" s="1"/>
      <c r="I71" s="6"/>
      <c r="J71" s="1"/>
      <c r="K71" s="1"/>
      <c r="L71" s="7"/>
      <c r="M71" s="7"/>
      <c r="N71" s="24"/>
      <c r="O71" s="5"/>
      <c r="Q71" s="8"/>
      <c r="R71" s="8"/>
    </row>
    <row r="72" spans="1:26" x14ac:dyDescent="0.3">
      <c r="C72" s="5"/>
      <c r="D72" s="5"/>
      <c r="F72" s="1"/>
      <c r="G72" s="1"/>
      <c r="H72" s="1"/>
      <c r="I72" s="6"/>
      <c r="J72" s="1"/>
      <c r="K72" s="1"/>
      <c r="L72" s="26"/>
      <c r="M72" s="8"/>
      <c r="N72" s="8"/>
      <c r="O72" s="5"/>
      <c r="Q72" s="8"/>
      <c r="R72" s="8"/>
    </row>
    <row r="73" spans="1:26" x14ac:dyDescent="0.3">
      <c r="C73" s="5"/>
      <c r="D73" s="5"/>
      <c r="F73" s="1"/>
      <c r="G73" s="1"/>
      <c r="H73" s="1"/>
      <c r="I73" s="6"/>
      <c r="J73" s="1"/>
      <c r="K73" s="26"/>
      <c r="L73" s="26"/>
      <c r="M73" s="8"/>
      <c r="N73" s="8"/>
      <c r="O73" s="5"/>
      <c r="Q73" s="8"/>
      <c r="R73" s="8"/>
    </row>
    <row r="74" spans="1:26" x14ac:dyDescent="0.3">
      <c r="C74" s="5"/>
      <c r="D74" s="5"/>
      <c r="F74" s="1"/>
      <c r="G74" s="1"/>
      <c r="H74" s="1"/>
      <c r="I74" s="6"/>
      <c r="J74" s="1"/>
      <c r="K74" s="1"/>
      <c r="L74" s="8"/>
      <c r="M74" s="8"/>
      <c r="N74" s="8"/>
      <c r="O74" s="5"/>
      <c r="Q74" s="8"/>
      <c r="R74" s="8"/>
    </row>
    <row r="75" spans="1:26" x14ac:dyDescent="0.3">
      <c r="C75" s="5"/>
      <c r="D75" s="5"/>
      <c r="F75" s="1"/>
      <c r="G75" s="1"/>
      <c r="H75" s="1"/>
      <c r="I75" s="6"/>
      <c r="J75" s="1"/>
      <c r="K75" s="1"/>
      <c r="L75" s="26"/>
      <c r="M75" s="8"/>
      <c r="N75" s="8"/>
      <c r="O75" s="5"/>
      <c r="Q75" s="8"/>
      <c r="R75" s="8"/>
    </row>
    <row r="76" spans="1:26" x14ac:dyDescent="0.3">
      <c r="C76" s="5"/>
      <c r="D76" s="5"/>
      <c r="F76" s="1"/>
      <c r="G76" s="1"/>
      <c r="H76" s="1"/>
      <c r="I76" s="6"/>
      <c r="J76" s="1"/>
      <c r="K76" s="1"/>
      <c r="L76" s="7"/>
      <c r="M76" s="8"/>
      <c r="N76" s="8"/>
      <c r="O76" s="5"/>
      <c r="Q76" s="8"/>
      <c r="R76" s="8"/>
    </row>
    <row r="77" spans="1:26" x14ac:dyDescent="0.3">
      <c r="C77" s="5"/>
      <c r="D77" s="5"/>
      <c r="F77" s="1"/>
      <c r="G77" s="1"/>
      <c r="H77" s="1"/>
      <c r="I77" s="6"/>
      <c r="J77" s="1"/>
      <c r="K77" s="1"/>
      <c r="L77" s="26"/>
      <c r="M77" s="8"/>
      <c r="N77" s="8"/>
      <c r="O77" s="5"/>
      <c r="Q77" s="8"/>
      <c r="R77" s="8"/>
    </row>
    <row r="78" spans="1:26" x14ac:dyDescent="0.3">
      <c r="C78" s="5"/>
      <c r="D78" s="5"/>
      <c r="F78" s="1"/>
      <c r="G78" s="1"/>
      <c r="H78" s="1"/>
      <c r="I78" s="6"/>
      <c r="J78" s="1"/>
      <c r="K78" s="1"/>
      <c r="L78" s="26"/>
      <c r="M78" s="8"/>
      <c r="N78" s="8"/>
      <c r="O78" s="5"/>
      <c r="Q78" s="8"/>
      <c r="R78" s="8"/>
    </row>
  </sheetData>
  <phoneticPr fontId="1" type="noConversion"/>
  <conditionalFormatting sqref="G5 G7:H78 G2:H4">
    <cfRule type="containsText" dxfId="11" priority="42" operator="containsText" text="상수도">
      <formula>NOT(ISERROR(SEARCH("상수도",G2)))</formula>
    </cfRule>
  </conditionalFormatting>
  <conditionalFormatting sqref="G7:H78 G2:H4">
    <cfRule type="containsText" dxfId="10" priority="18" operator="containsText" text="지역난방">
      <formula>NOT(ISERROR(SEARCH("지역난방",G2)))</formula>
    </cfRule>
  </conditionalFormatting>
  <conditionalFormatting sqref="G1:H1">
    <cfRule type="containsText" dxfId="9" priority="87" operator="containsText" text="상수도">
      <formula>NOT(ISERROR(SEARCH("상수도",G1)))</formula>
    </cfRule>
  </conditionalFormatting>
  <conditionalFormatting sqref="G1:H1">
    <cfRule type="containsText" dxfId="8" priority="86" operator="containsText" text="지역난방">
      <formula>NOT(ISERROR(SEARCH("지역난방",G1)))</formula>
    </cfRule>
  </conditionalFormatting>
  <conditionalFormatting sqref="G5">
    <cfRule type="containsText" dxfId="7" priority="82" operator="containsText" text="지역난방">
      <formula>NOT(ISERROR(SEARCH("지역난방",G5)))</formula>
    </cfRule>
  </conditionalFormatting>
  <conditionalFormatting sqref="G5:H5">
    <cfRule type="containsText" dxfId="6" priority="9" operator="containsText" text="지역난방">
      <formula>NOT(ISERROR(SEARCH("지역난방",G5)))</formula>
    </cfRule>
  </conditionalFormatting>
  <conditionalFormatting sqref="G6:H6">
    <cfRule type="containsText" dxfId="5" priority="6" operator="containsText" text="상수도">
      <formula>NOT(ISERROR(SEARCH("상수도",G6)))</formula>
    </cfRule>
  </conditionalFormatting>
  <conditionalFormatting sqref="G6:H7">
    <cfRule type="containsText" dxfId="4" priority="7" operator="containsText" text="지역난방">
      <formula>NOT(ISERROR(SEARCH("지역난방",G6)))</formula>
    </cfRule>
  </conditionalFormatting>
  <conditionalFormatting sqref="H5">
    <cfRule type="containsText" dxfId="3" priority="8" operator="containsText" text="상수도">
      <formula>NOT(ISERROR(SEARCH("상수도",H5)))</formula>
    </cfRule>
  </conditionalFormatting>
  <conditionalFormatting sqref="N2:N65">
    <cfRule type="cellIs" dxfId="2" priority="89" operator="greaterThan">
      <formula>50000000</formula>
    </cfRule>
  </conditionalFormatting>
  <conditionalFormatting sqref="T1:T78">
    <cfRule type="containsText" dxfId="1" priority="4" operator="containsText" text="원도급">
      <formula>NOT(ISERROR(SEARCH("원도급",T1)))</formula>
    </cfRule>
    <cfRule type="containsText" dxfId="0" priority="5" operator="containsText" text="하도급">
      <formula>NOT(ISERROR(SEARCH("하도급",T1)))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724985F-8AED-4453-B09F-39B63C6D28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승리 백</dc:creator>
  <cp:lastModifiedBy>승리 백</cp:lastModifiedBy>
  <dcterms:created xsi:type="dcterms:W3CDTF">2026-06-01T02:07:49Z</dcterms:created>
  <dcterms:modified xsi:type="dcterms:W3CDTF">2026-06-04T08:24:00Z</dcterms:modified>
</cp:coreProperties>
</file>