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1M\Desktop\seohabucks\work\일일 미수금 관리\"/>
    </mc:Choice>
  </mc:AlternateContent>
  <xr:revisionPtr revIDLastSave="0" documentId="13_ncr:1_{9484E968-0300-4E6F-8581-A42FB0CC6FA4}" xr6:coauthVersionLast="47" xr6:coauthVersionMax="47" xr10:uidLastSave="{00000000-0000-0000-0000-000000000000}"/>
  <bookViews>
    <workbookView xWindow="-120" yWindow="-120" windowWidth="29040" windowHeight="15720" xr2:uid="{01996E14-31AC-4DBA-8EBE-28FE20826246}"/>
  </bookViews>
  <sheets>
    <sheet name="계산서 미발행" sheetId="2" r:id="rId1"/>
    <sheet name="미수금" sheetId="3" r:id="rId2"/>
    <sheet name="Sheet1" sheetId="1" r:id="rId3"/>
  </sheets>
  <definedNames>
    <definedName name="ExternalData_1" localSheetId="0" hidden="1">'계산서 미발행'!$A$1:$M$26</definedName>
    <definedName name="ExternalData_2" localSheetId="1" hidden="1">미수금!$A$1:$U$22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D091DC-47D8-4542-8C4A-5FACAAB72E43}" keepAlive="1" name="쿼리 - 계산서 미발행_계약공사관리대장" description="통합 문서의 '계산서 미발행_계약공사관리대장' 쿼리에 대한 연결입니다." type="5" refreshedVersion="8" background="1" refreshOnLoad="1" saveData="1">
    <dbPr connection="Provider=Microsoft.Mashup.OleDb.1;Data Source=$Workbook$;Location=&quot;계산서 미발행_계약공사관리대장&quot;;Extended Properties=&quot;&quot;" command="SELECT * FROM [계산서 미발행_계약공사관리대장]"/>
  </connection>
  <connection id="2" xr16:uid="{ED656CD1-64F9-4C7C-866C-F429BEB9EB9A}" keepAlive="1" name="쿼리 - 미수금" description="통합 문서의 '미수금' 쿼리에 대한 연결입니다." type="5" refreshedVersion="8" background="1" refreshOnLoad="1" saveData="1">
    <dbPr connection="Provider=Microsoft.Mashup.OleDb.1;Data Source=$Workbook$;Location=미수금;Extended Properties=&quot;&quot;" command="SELECT * FROM [미수금]"/>
  </connection>
</connections>
</file>

<file path=xl/sharedStrings.xml><?xml version="1.0" encoding="utf-8"?>
<sst xmlns="http://schemas.openxmlformats.org/spreadsheetml/2006/main" count="343" uniqueCount="188">
  <si>
    <t>No.</t>
  </si>
  <si>
    <t>착공일</t>
  </si>
  <si>
    <t>준공일</t>
  </si>
  <si>
    <t>작업일정 공사명</t>
  </si>
  <si>
    <t>Project명</t>
  </si>
  <si>
    <t>종류</t>
  </si>
  <si>
    <t>배관</t>
  </si>
  <si>
    <t>작업수량-관경</t>
  </si>
  <si>
    <t>Point</t>
  </si>
  <si>
    <t>발주처</t>
  </si>
  <si>
    <t>시공사</t>
  </si>
  <si>
    <t>계약금액-단가</t>
  </si>
  <si>
    <t>계산서</t>
  </si>
  <si>
    <t>광양 1650A 1P 재차단</t>
  </si>
  <si>
    <t>SD-01141-01</t>
  </si>
  <si>
    <t>상수도</t>
  </si>
  <si>
    <t>강관</t>
  </si>
  <si>
    <t>K-water</t>
  </si>
  <si>
    <t>극동건설</t>
  </si>
  <si>
    <t>울산 1100Ax850 1P Neck피팅</t>
  </si>
  <si>
    <t>SD-01145-01</t>
  </si>
  <si>
    <t>금호건설</t>
  </si>
  <si>
    <t>고양 1000Ax850 2P 주철</t>
  </si>
  <si>
    <t>SD-01097-01</t>
  </si>
  <si>
    <t>주철관</t>
  </si>
  <si>
    <t>1000 / 2P</t>
  </si>
  <si>
    <t>경남기업</t>
  </si>
  <si>
    <t>익산 1500Ax1100 2P</t>
  </si>
  <si>
    <t>SD-01156-01</t>
  </si>
  <si>
    <t>1500 / 2P</t>
  </si>
  <si>
    <t>신성건설</t>
  </si>
  <si>
    <t>익산 1500Ax1200 2P</t>
  </si>
  <si>
    <t>SD-01157-01</t>
  </si>
  <si>
    <t>대전1650Ax1200 1P(동진작업)</t>
  </si>
  <si>
    <t>SD-00025-0A</t>
  </si>
  <si>
    <t>1650/1P</t>
  </si>
  <si>
    <t>대전시/용덕건설</t>
  </si>
  <si>
    <t>성산산업개발</t>
  </si>
  <si>
    <t>대전1650Ax1200 1P</t>
  </si>
  <si>
    <t>SD-00026-0A</t>
  </si>
  <si>
    <t>구의 1650Ax1200 1P 재차단</t>
  </si>
  <si>
    <t>SD-000085-0A</t>
  </si>
  <si>
    <t>구의정수장</t>
  </si>
  <si>
    <t>동진산업</t>
  </si>
  <si>
    <t>고양 1000Ax700 1P 주철 천공(제)</t>
  </si>
  <si>
    <t>SD-00084-0A</t>
  </si>
  <si>
    <t>1000*700</t>
  </si>
  <si>
    <t>태백 1000Ax850 2P</t>
  </si>
  <si>
    <t>SD-00050-0A</t>
  </si>
  <si>
    <t>양산 1100Ax850 1P</t>
  </si>
  <si>
    <t>SD-00077-0A</t>
  </si>
  <si>
    <t>1100 / 1P</t>
  </si>
  <si>
    <t>양산시</t>
  </si>
  <si>
    <t>대성기공</t>
  </si>
  <si>
    <t>홍성 800Ax600 2P 강관</t>
  </si>
  <si>
    <t>SD-00018-0A</t>
  </si>
  <si>
    <t>800 / 2P</t>
  </si>
  <si>
    <t>흥화</t>
  </si>
  <si>
    <t>시흥 200A 4P 난방</t>
  </si>
  <si>
    <t>JD-00006-0A</t>
  </si>
  <si>
    <t>지역난방</t>
  </si>
  <si>
    <t>200 / 4P</t>
  </si>
  <si>
    <t>GS파워</t>
  </si>
  <si>
    <t>지성엔지니어링</t>
  </si>
  <si>
    <t>양산 1500Ax1100 1P</t>
  </si>
  <si>
    <t>SD-00078-0A</t>
  </si>
  <si>
    <t>고덕 1500Ax 1500 1P 천공(제) 천공경 1350A</t>
  </si>
  <si>
    <t>SD-00089-0A</t>
  </si>
  <si>
    <t>1500*1500</t>
  </si>
  <si>
    <t>평택시</t>
  </si>
  <si>
    <t>씨티건설</t>
  </si>
  <si>
    <t>의왕 1800Ax1200 2P</t>
  </si>
  <si>
    <t>SD-00080-0A</t>
  </si>
  <si>
    <t>1800 / 2P</t>
  </si>
  <si>
    <t>인덕원</t>
  </si>
  <si>
    <t>월곶 200A 4P 난방</t>
  </si>
  <si>
    <t>JD-00007-0A</t>
  </si>
  <si>
    <t>GS파워 안양</t>
  </si>
  <si>
    <t>월곶 125A 4P 난방</t>
  </si>
  <si>
    <t>JD-00008-0A</t>
  </si>
  <si>
    <t>125 / 4P</t>
  </si>
  <si>
    <t>광양 1650Ax1500 1P 풀대드 천공(제)</t>
  </si>
  <si>
    <t>SD-00039-0A</t>
  </si>
  <si>
    <t>1650*1500</t>
  </si>
  <si>
    <t>SD-00019-0A</t>
  </si>
  <si>
    <t>서울 2400Ax1650 4P</t>
  </si>
  <si>
    <t>SD-00048-0A</t>
  </si>
  <si>
    <t>2400 / 4P</t>
  </si>
  <si>
    <t>현대자동차</t>
  </si>
  <si>
    <t>현대건설</t>
  </si>
  <si>
    <t>서울 2400Ax1800 4P Neck(가배관플러깅용)</t>
  </si>
  <si>
    <t>SD-00049-0A</t>
  </si>
  <si>
    <t>2400*1800 / 4P</t>
  </si>
  <si>
    <t>시흥 1350Ax900 1P</t>
  </si>
  <si>
    <t>SD-00090-0A</t>
  </si>
  <si>
    <t>1350 / 1P</t>
  </si>
  <si>
    <t>제일엔지니어링</t>
  </si>
  <si>
    <t>안양 300A 4P 난방</t>
  </si>
  <si>
    <t>JD-00009-0A</t>
  </si>
  <si>
    <t>300 / 4P</t>
  </si>
  <si>
    <t>한은이앤씨</t>
  </si>
  <si>
    <t>서울 300A 2P 난방</t>
  </si>
  <si>
    <t>JD-00058-0A</t>
  </si>
  <si>
    <t>서울에너지공사 동부지사</t>
  </si>
  <si>
    <t>(주)씨티에너지, 협창건설㈜</t>
  </si>
  <si>
    <t>작업수량</t>
  </si>
  <si>
    <t>vat</t>
  </si>
  <si>
    <t>수금 1차 날짜</t>
  </si>
  <si>
    <t>1차 금액</t>
  </si>
  <si>
    <t>2차 날짜</t>
  </si>
  <si>
    <t>2차 금액</t>
  </si>
  <si>
    <t>총 수금액 (vat포함)</t>
  </si>
  <si>
    <t>미수금액 (vat포함)</t>
  </si>
  <si>
    <t>총액 (vat포함)</t>
  </si>
  <si>
    <t>계산서
(최초)</t>
  </si>
  <si>
    <t>고양 1650Ax125 2P 천공(제)</t>
  </si>
  <si>
    <t>SD-00845-01</t>
  </si>
  <si>
    <t>1650*125 / 2P</t>
  </si>
  <si>
    <t>수공 경기서북권지사</t>
  </si>
  <si>
    <t>대건개발산업</t>
  </si>
  <si>
    <t>제주 600Ax450 1P 주철</t>
  </si>
  <si>
    <t>SD-01004-01</t>
  </si>
  <si>
    <t>600 / 1P</t>
  </si>
  <si>
    <t>한국수자원공사</t>
  </si>
  <si>
    <t>천마종합건설</t>
  </si>
  <si>
    <t>정선 300Ax300 1P 천공(제)</t>
  </si>
  <si>
    <t>SD-00985-01</t>
  </si>
  <si>
    <t>300*300</t>
  </si>
  <si>
    <t>정선군 상하수도사업소</t>
  </si>
  <si>
    <t>호황건설</t>
  </si>
  <si>
    <t>정선 250Ax250 1P Neck천공(제)</t>
  </si>
  <si>
    <t>SD-01001-01</t>
  </si>
  <si>
    <t>250*250</t>
  </si>
  <si>
    <t>정선 300Ax100 1P Neck천공(제)</t>
  </si>
  <si>
    <t>SD-01002-01</t>
  </si>
  <si>
    <t>300*100</t>
  </si>
  <si>
    <t>천안 400Ax350 2P 주철</t>
  </si>
  <si>
    <t>SD-01079-01</t>
  </si>
  <si>
    <t>400 / 2P</t>
  </si>
  <si>
    <t>천안시</t>
  </si>
  <si>
    <t>신명종합건설/제이에스이엔씨</t>
  </si>
  <si>
    <t>천안 200A 2P 주철</t>
  </si>
  <si>
    <t>SD-01080-01</t>
  </si>
  <si>
    <t>200 / 2P</t>
  </si>
  <si>
    <t>500*350</t>
  </si>
  <si>
    <t>파주 800Ax600 1P</t>
  </si>
  <si>
    <t>SD-01067-02</t>
  </si>
  <si>
    <t>청원건설</t>
  </si>
  <si>
    <t>파주 800Ax600 2P</t>
  </si>
  <si>
    <t>SD-01142-01</t>
  </si>
  <si>
    <t>파주 1000Ax850 2P 주철</t>
  </si>
  <si>
    <t>SD-01143-01</t>
  </si>
  <si>
    <t>파주 700Ax500 2P 주철 (동진작업)</t>
  </si>
  <si>
    <t>SD-01144-01</t>
  </si>
  <si>
    <t>700 / 2P</t>
  </si>
  <si>
    <t>울산 900Ax600 4P PC관 D-Dtype</t>
  </si>
  <si>
    <t>SD-01119-01</t>
  </si>
  <si>
    <t>PC관</t>
  </si>
  <si>
    <t>900 / 4P</t>
  </si>
  <si>
    <t>남구 B-14구역 주택재개발 정비사업조합</t>
  </si>
  <si>
    <t>국제산업개발</t>
  </si>
  <si>
    <t>양산 1000Ax750 1P SUS Neck피팅(E&amp;C)</t>
  </si>
  <si>
    <t>SD-01160-01</t>
  </si>
  <si>
    <t>서스316L</t>
  </si>
  <si>
    <t>분기티 300Ax200 2P 을묘</t>
  </si>
  <si>
    <t>JD-00038-0A</t>
  </si>
  <si>
    <t>분기300*200 / 2P</t>
  </si>
  <si>
    <t>부산도시가스</t>
  </si>
  <si>
    <t>을묘종건</t>
  </si>
  <si>
    <t>보령 1500Ax1200 2P</t>
  </si>
  <si>
    <t>SD-00083-0A</t>
  </si>
  <si>
    <t>청현</t>
  </si>
  <si>
    <t>안양 400A 4P 난방</t>
  </si>
  <si>
    <t>JD-00013-0A</t>
  </si>
  <si>
    <t>400 / 4P</t>
  </si>
  <si>
    <t>안양 250A 2P 난방</t>
  </si>
  <si>
    <t>JD-00010-0A</t>
  </si>
  <si>
    <t>250 / 2P</t>
  </si>
  <si>
    <t>SD-00087-0A</t>
  </si>
  <si>
    <t>900 / 2P</t>
  </si>
  <si>
    <t>진안</t>
  </si>
  <si>
    <t>세우건설산업</t>
  </si>
  <si>
    <t>천안 500Ax350 1P 주철 천공(제)</t>
  </si>
  <si>
    <t>SD-01081-01</t>
  </si>
  <si>
    <t>대전 900Ax600 2P+100A 천공(제)1P 100A 자재:진안(E&amp;C)</t>
  </si>
  <si>
    <t>26년5월1차기성(3차)</t>
  </si>
  <si>
    <t>청원건설 대지급 성전이엔씨 1차기성</t>
  </si>
  <si>
    <t>대방건설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</si>
</sst>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&quot;-&quot;m&quot;-&quot;d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center" vertical="center"/>
    </xf>
    <xf numFmtId="41" fontId="0" fillId="2" borderId="0" xfId="0" applyNumberFormat="1" applyFill="1" applyAlignment="1">
      <alignment horizontal="center" vertical="center"/>
    </xf>
    <xf numFmtId="41" fontId="0" fillId="0" borderId="0" xfId="0" applyNumberFormat="1">
      <alignment vertical="center"/>
    </xf>
    <xf numFmtId="41" fontId="0" fillId="2" borderId="0" xfId="0" applyNumberFormat="1" applyFill="1">
      <alignment vertical="center"/>
    </xf>
    <xf numFmtId="14" fontId="0" fillId="2" borderId="0" xfId="0" applyNumberFormat="1" applyFill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41" fontId="2" fillId="0" borderId="2" xfId="0" applyNumberFormat="1" applyFont="1" applyBorder="1">
      <alignment vertical="center"/>
    </xf>
    <xf numFmtId="14" fontId="2" fillId="0" borderId="2" xfId="0" applyNumberFormat="1" applyFont="1" applyBorder="1">
      <alignment vertical="center"/>
    </xf>
    <xf numFmtId="14" fontId="2" fillId="0" borderId="3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41" fontId="2" fillId="0" borderId="5" xfId="0" applyNumberFormat="1" applyFont="1" applyBorder="1">
      <alignment vertical="center"/>
    </xf>
    <xf numFmtId="14" fontId="2" fillId="0" borderId="5" xfId="0" applyNumberFormat="1" applyFont="1" applyBorder="1">
      <alignment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41" fontId="2" fillId="0" borderId="8" xfId="0" applyNumberFormat="1" applyFont="1" applyBorder="1">
      <alignment vertical="center"/>
    </xf>
    <xf numFmtId="41" fontId="3" fillId="2" borderId="0" xfId="0" applyNumberFormat="1" applyFont="1" applyFill="1">
      <alignment vertical="center"/>
    </xf>
    <xf numFmtId="41" fontId="3" fillId="0" borderId="2" xfId="0" applyNumberFormat="1" applyFont="1" applyBorder="1">
      <alignment vertical="center"/>
    </xf>
    <xf numFmtId="41" fontId="3" fillId="0" borderId="5" xfId="0" applyNumberFormat="1" applyFont="1" applyBorder="1">
      <alignment vertical="center"/>
    </xf>
    <xf numFmtId="41" fontId="3" fillId="0" borderId="0" xfId="0" applyNumberFormat="1" applyFont="1">
      <alignment vertical="center"/>
    </xf>
    <xf numFmtId="14" fontId="2" fillId="0" borderId="3" xfId="0" applyNumberFormat="1" applyFont="1" applyBorder="1">
      <alignment vertical="center"/>
    </xf>
    <xf numFmtId="14" fontId="2" fillId="0" borderId="6" xfId="0" applyNumberFormat="1" applyFont="1" applyBorder="1">
      <alignment vertical="center"/>
    </xf>
    <xf numFmtId="14" fontId="2" fillId="0" borderId="9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표준" xfId="0" builtinId="0"/>
  </cellStyles>
  <dxfs count="40"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1"/>
        <color rgb="FF0070C0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76" formatCode="yy&quot;-&quot;m&quot;-&quot;d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76" formatCode="yy&quot;-&quot;m&quot;-&quot;d;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33" formatCode="_-* #,##0_-;\-* #,##0_-;_-* &quot;-&quot;_-;_-@_-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맑은 고딕"/>
        <family val="3"/>
        <charset val="129"/>
        <scheme val="minor"/>
      </font>
    </dxf>
    <dxf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A6E46031-5827-43B9-8167-1504FCDAD84D}" autoFormatId="16" applyNumberFormats="0" applyBorderFormats="0" applyFontFormats="0" applyPatternFormats="0" applyAlignmentFormats="0" applyWidthHeightFormats="0">
  <queryTableRefresh nextId="16">
    <queryTableFields count="13">
      <queryTableField id="1" name="No." tableColumnId="1"/>
      <queryTableField id="2" name="착공일" tableColumnId="2"/>
      <queryTableField id="3" name="준공일" tableColumnId="3"/>
      <queryTableField id="4" name="작업일정 공사명" tableColumnId="4"/>
      <queryTableField id="5" name="Project명" tableColumnId="5"/>
      <queryTableField id="6" name="종류" tableColumnId="6"/>
      <queryTableField id="7" name="배관" tableColumnId="7"/>
      <queryTableField id="8" name="작업수량-관경" tableColumnId="8"/>
      <queryTableField id="9" name="Point" tableColumnId="9"/>
      <queryTableField id="10" name="발주처" tableColumnId="10"/>
      <queryTableField id="11" name="시공사" tableColumnId="11"/>
      <queryTableField id="12" name="계약금액-단가" tableColumnId="12"/>
      <queryTableField id="14" name="계산서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2" xr16:uid="{2244A6DB-201B-4A89-BF3D-6F79C581D92A}" autoFormatId="16" applyNumberFormats="0" applyBorderFormats="0" applyFontFormats="0" applyPatternFormats="0" applyAlignmentFormats="0" applyWidthHeightFormats="0">
  <queryTableRefresh nextId="23">
    <queryTableFields count="21">
      <queryTableField id="1" name="No." tableColumnId="1"/>
      <queryTableField id="2" name="착공일" tableColumnId="2"/>
      <queryTableField id="3" name="준공일" tableColumnId="3"/>
      <queryTableField id="4" name="작업일정 공사명" tableColumnId="4"/>
      <queryTableField id="5" name="Project명" tableColumnId="5"/>
      <queryTableField id="6" name="종류" tableColumnId="6"/>
      <queryTableField id="7" name="배관" tableColumnId="7"/>
      <queryTableField id="8" name="작업수량" tableColumnId="8"/>
      <queryTableField id="9" name="Point" tableColumnId="9"/>
      <queryTableField id="10" name="발주처" tableColumnId="10"/>
      <queryTableField id="11" name="시공사" tableColumnId="11"/>
      <queryTableField id="12" name="계약금액-단가" tableColumnId="12"/>
      <queryTableField id="13" name="vat" tableColumnId="13"/>
      <queryTableField id="14" name="수금 1차 날짜" tableColumnId="14"/>
      <queryTableField id="15" name="1차 금액" tableColumnId="15"/>
      <queryTableField id="16" name="2차 날짜" tableColumnId="16"/>
      <queryTableField id="17" name="2차 금액" tableColumnId="17"/>
      <queryTableField id="18" name="총 수금액 (vat포함)" tableColumnId="18"/>
      <queryTableField id="19" name="미수금액 (vat포함)" tableColumnId="19"/>
      <queryTableField id="20" name="총액 (vat포함)" tableColumnId="20"/>
      <queryTableField id="21" name="계산서_x000a_(최초)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42E39-EA13-48F4-9D7F-27102DE47236}" name="계산서_미발행_계약공사관리대장" displayName="계산서_미발행_계약공사관리대장" ref="A1:M26" tableType="queryTable" totalsRowShown="0" headerRowDxfId="37" dataDxfId="36">
  <autoFilter ref="A1:M26" xr:uid="{4A042E39-EA13-48F4-9D7F-27102DE47236}"/>
  <tableColumns count="13">
    <tableColumn id="1" xr3:uid="{57C28D0D-1842-45FF-ABEA-869125D556B7}" uniqueName="1" name="No." queryTableFieldId="1" dataDxfId="33"/>
    <tableColumn id="2" xr3:uid="{E5B4B55F-70A1-4F4B-9651-2E3831FA1869}" uniqueName="2" name="착공일" queryTableFieldId="2" dataDxfId="32"/>
    <tableColumn id="3" xr3:uid="{C1C5C00C-092A-4B99-AB86-9D9E5532BFAC}" uniqueName="3" name="준공일" queryTableFieldId="3" dataDxfId="31"/>
    <tableColumn id="4" xr3:uid="{0E14DD46-7C98-4F7F-915C-D4B2B0B43958}" uniqueName="4" name="작업일정 공사명" queryTableFieldId="4" dataDxfId="30"/>
    <tableColumn id="5" xr3:uid="{4C692BB3-34A0-4CB9-AB18-9106448E0F42}" uniqueName="5" name="Project명" queryTableFieldId="5" dataDxfId="29"/>
    <tableColumn id="6" xr3:uid="{834AB934-8C57-4059-BC4E-63CCBF914AD4}" uniqueName="6" name="종류" queryTableFieldId="6" dataDxfId="28"/>
    <tableColumn id="7" xr3:uid="{EAF85EE8-81A5-49CF-B835-C0FF46CD0F02}" uniqueName="7" name="배관" queryTableFieldId="7" dataDxfId="27"/>
    <tableColumn id="8" xr3:uid="{390A521E-F75F-4F93-9F92-4C99500F96CC}" uniqueName="8" name="작업수량-관경" queryTableFieldId="8" dataDxfId="26"/>
    <tableColumn id="9" xr3:uid="{FA7382FC-DE58-4345-B7C6-D8769A8369EB}" uniqueName="9" name="Point" queryTableFieldId="9" dataDxfId="25"/>
    <tableColumn id="10" xr3:uid="{3A13D99D-5AA6-4163-9E99-5D5E094322D4}" uniqueName="10" name="발주처" queryTableFieldId="10" dataDxfId="24"/>
    <tableColumn id="11" xr3:uid="{7E45E983-95AE-4D53-9099-E1261DC40E33}" uniqueName="11" name="시공사" queryTableFieldId="11" dataDxfId="23"/>
    <tableColumn id="12" xr3:uid="{6B074917-103D-4815-A36B-0B87EFD16C7B}" uniqueName="12" name="계약금액-단가" queryTableFieldId="12" dataDxfId="22"/>
    <tableColumn id="14" xr3:uid="{B0698BF8-B749-472B-A085-A66A46481774}" uniqueName="14" name="계산서" queryTableFieldId="14" dataDxfId="2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2E2BB63-F828-4C39-8593-670AE5262857}" name="미수금" displayName="미수금" ref="A1:U22" tableType="queryTable" totalsRowShown="0" headerRowDxfId="39" dataDxfId="38">
  <autoFilter ref="A1:U22" xr:uid="{42E2BB63-F828-4C39-8593-670AE5262857}"/>
  <tableColumns count="21">
    <tableColumn id="1" xr3:uid="{E6C2FB9D-55A8-4201-B06D-7EC7EE38C516}" uniqueName="1" name="No." queryTableFieldId="1" dataDxfId="20"/>
    <tableColumn id="2" xr3:uid="{6B879261-FAC6-48D6-B4F2-008392DCC60A}" uniqueName="2" name="착공일" queryTableFieldId="2" dataDxfId="19"/>
    <tableColumn id="3" xr3:uid="{5DCD6059-CADF-4827-9C84-F4BEA687EC71}" uniqueName="3" name="준공일" queryTableFieldId="3" dataDxfId="18"/>
    <tableColumn id="4" xr3:uid="{0DEFD86D-5441-4832-812C-4EF2FA830881}" uniqueName="4" name="작업일정 공사명" queryTableFieldId="4" dataDxfId="17"/>
    <tableColumn id="5" xr3:uid="{81466A32-CEEC-42C6-89C0-A452FD372844}" uniqueName="5" name="Project명" queryTableFieldId="5" dataDxfId="16"/>
    <tableColumn id="6" xr3:uid="{C3741799-8249-4F02-A006-542A47A31197}" uniqueName="6" name="종류" queryTableFieldId="6" dataDxfId="15"/>
    <tableColumn id="7" xr3:uid="{D443BFA6-1BE3-4F2C-A835-68597EF21DAB}" uniqueName="7" name="배관" queryTableFieldId="7" dataDxfId="14"/>
    <tableColumn id="8" xr3:uid="{EA3BE2D9-AC3F-4807-8B02-7C4C26E3D624}" uniqueName="8" name="작업수량" queryTableFieldId="8" dataDxfId="13"/>
    <tableColumn id="9" xr3:uid="{4096DED7-DA2B-4BCF-9F58-7E5D237C0930}" uniqueName="9" name="Point" queryTableFieldId="9" dataDxfId="12"/>
    <tableColumn id="10" xr3:uid="{BDB573CE-A9EF-4CC6-9144-17BFF4213175}" uniqueName="10" name="발주처" queryTableFieldId="10" dataDxfId="11"/>
    <tableColumn id="11" xr3:uid="{4F4433CF-D199-44EF-B4D1-62FA303D09A3}" uniqueName="11" name="시공사" queryTableFieldId="11" dataDxfId="10"/>
    <tableColumn id="12" xr3:uid="{D29E81EE-FD23-4594-B81B-AC602153AFE7}" uniqueName="12" name="계약금액-단가" queryTableFieldId="12" dataDxfId="9"/>
    <tableColumn id="13" xr3:uid="{F2E90709-EC11-492E-A173-F8A2AEDC5143}" uniqueName="13" name="vat" queryTableFieldId="13" dataDxfId="8"/>
    <tableColumn id="14" xr3:uid="{489D4613-F31A-4013-971F-8E0730B9714C}" uniqueName="14" name="수금 1차 날짜" queryTableFieldId="14" dataDxfId="7"/>
    <tableColumn id="15" xr3:uid="{B7FE05E9-04E8-4364-B9CB-F1BAA95ECBF7}" uniqueName="15" name="1차 금액" queryTableFieldId="15" dataDxfId="6"/>
    <tableColumn id="16" xr3:uid="{A2CBA543-C77F-4123-BC54-D44EE756BF57}" uniqueName="16" name="2차 날짜" queryTableFieldId="16" dataDxfId="5"/>
    <tableColumn id="17" xr3:uid="{1C7D7A03-D415-4E23-9594-EBFE879920BD}" uniqueName="17" name="2차 금액" queryTableFieldId="17" dataDxfId="4"/>
    <tableColumn id="18" xr3:uid="{5431A64F-AFBA-4D54-A9BA-A4AB04A13A0F}" uniqueName="18" name="총 수금액 (vat포함)" queryTableFieldId="18" dataDxfId="3"/>
    <tableColumn id="19" xr3:uid="{D98B0919-DA6D-4E62-A950-CCBB1704F6DA}" uniqueName="19" name="미수금액 (vat포함)" queryTableFieldId="19" dataDxfId="2"/>
    <tableColumn id="20" xr3:uid="{8E7DD305-DD76-484A-B669-3E6A5BCA223E}" uniqueName="20" name="총액 (vat포함)" queryTableFieldId="20" dataDxfId="1"/>
    <tableColumn id="21" xr3:uid="{F4641E96-F759-409D-90C5-ACFAE20AD8C3}" uniqueName="21" name="계산서_x000a_(최초)" queryTableFieldId="2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3421-92A2-428D-8D24-32E51C104D1A}">
  <dimension ref="A1:M26"/>
  <sheetViews>
    <sheetView tabSelected="1" topLeftCell="A8" workbookViewId="0">
      <selection activeCell="B4" sqref="B4"/>
    </sheetView>
  </sheetViews>
  <sheetFormatPr defaultRowHeight="20.100000000000001" customHeight="1" x14ac:dyDescent="0.3"/>
  <cols>
    <col min="1" max="1" width="8.375" style="2" bestFit="1" customWidth="1"/>
    <col min="2" max="3" width="11.125" style="2" bestFit="1" customWidth="1"/>
    <col min="4" max="4" width="35" bestFit="1" customWidth="1"/>
    <col min="5" max="5" width="13.25" bestFit="1" customWidth="1"/>
    <col min="6" max="7" width="9.25" style="2" bestFit="1" customWidth="1"/>
    <col min="8" max="8" width="17.875" style="2" bestFit="1" customWidth="1"/>
    <col min="9" max="9" width="10" style="2" bestFit="1" customWidth="1"/>
    <col min="10" max="10" width="19.375" style="2" bestFit="1" customWidth="1"/>
    <col min="11" max="11" width="21" style="2" bestFit="1" customWidth="1"/>
    <col min="12" max="12" width="19.5" style="6" bestFit="1" customWidth="1"/>
    <col min="13" max="13" width="11.125" style="6" bestFit="1" customWidth="1"/>
    <col min="14" max="14" width="9.375" bestFit="1" customWidth="1"/>
  </cols>
  <sheetData>
    <row r="1" spans="1:13" s="4" customFormat="1" ht="17.2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</row>
    <row r="2" spans="1:13" ht="16.5" x14ac:dyDescent="0.3">
      <c r="A2" s="32"/>
      <c r="B2" s="9">
        <v>45896</v>
      </c>
      <c r="C2" s="9">
        <v>45903</v>
      </c>
      <c r="D2" s="10" t="s">
        <v>13</v>
      </c>
      <c r="E2" s="10" t="s">
        <v>14</v>
      </c>
      <c r="F2" s="11" t="s">
        <v>15</v>
      </c>
      <c r="G2" s="11" t="s">
        <v>16</v>
      </c>
      <c r="H2" s="11">
        <v>1650</v>
      </c>
      <c r="I2" s="11">
        <v>1</v>
      </c>
      <c r="J2" s="11" t="s">
        <v>17</v>
      </c>
      <c r="K2" s="11" t="s">
        <v>18</v>
      </c>
      <c r="L2" s="12">
        <v>70000000</v>
      </c>
      <c r="M2" s="29"/>
    </row>
    <row r="3" spans="1:13" ht="16.5" x14ac:dyDescent="0.3">
      <c r="A3" s="33"/>
      <c r="B3" s="15">
        <v>45922</v>
      </c>
      <c r="C3" s="15">
        <v>45930</v>
      </c>
      <c r="D3" s="16" t="s">
        <v>19</v>
      </c>
      <c r="E3" s="16" t="s">
        <v>20</v>
      </c>
      <c r="F3" s="17" t="s">
        <v>15</v>
      </c>
      <c r="G3" s="17" t="s">
        <v>16</v>
      </c>
      <c r="H3" s="17">
        <v>1100</v>
      </c>
      <c r="I3" s="17">
        <v>1</v>
      </c>
      <c r="J3" s="17" t="s">
        <v>17</v>
      </c>
      <c r="K3" s="17" t="s">
        <v>21</v>
      </c>
      <c r="L3" s="18"/>
      <c r="M3" s="30"/>
    </row>
    <row r="4" spans="1:13" ht="16.5" x14ac:dyDescent="0.3">
      <c r="A4" s="33"/>
      <c r="B4" s="15">
        <v>45926</v>
      </c>
      <c r="C4" s="15">
        <v>46112</v>
      </c>
      <c r="D4" s="16" t="s">
        <v>22</v>
      </c>
      <c r="E4" s="16" t="s">
        <v>23</v>
      </c>
      <c r="F4" s="17" t="s">
        <v>15</v>
      </c>
      <c r="G4" s="17" t="s">
        <v>24</v>
      </c>
      <c r="H4" s="17" t="s">
        <v>25</v>
      </c>
      <c r="I4" s="17">
        <v>1</v>
      </c>
      <c r="J4" s="17" t="s">
        <v>17</v>
      </c>
      <c r="K4" s="17" t="s">
        <v>26</v>
      </c>
      <c r="L4" s="18">
        <v>104121817</v>
      </c>
      <c r="M4" s="30"/>
    </row>
    <row r="5" spans="1:13" ht="16.5" x14ac:dyDescent="0.3">
      <c r="A5" s="33"/>
      <c r="B5" s="15">
        <v>46000</v>
      </c>
      <c r="C5" s="15">
        <v>46075</v>
      </c>
      <c r="D5" s="16" t="s">
        <v>27</v>
      </c>
      <c r="E5" s="16" t="s">
        <v>28</v>
      </c>
      <c r="F5" s="17" t="s">
        <v>15</v>
      </c>
      <c r="G5" s="17" t="s">
        <v>16</v>
      </c>
      <c r="H5" s="17" t="s">
        <v>29</v>
      </c>
      <c r="I5" s="17">
        <v>1</v>
      </c>
      <c r="J5" s="17" t="s">
        <v>17</v>
      </c>
      <c r="K5" s="17" t="s">
        <v>30</v>
      </c>
      <c r="L5" s="18">
        <v>442750000</v>
      </c>
      <c r="M5" s="30"/>
    </row>
    <row r="6" spans="1:13" ht="16.5" x14ac:dyDescent="0.3">
      <c r="A6" s="33"/>
      <c r="B6" s="15">
        <v>46001</v>
      </c>
      <c r="C6" s="15">
        <v>46075</v>
      </c>
      <c r="D6" s="16" t="s">
        <v>31</v>
      </c>
      <c r="E6" s="16" t="s">
        <v>32</v>
      </c>
      <c r="F6" s="17" t="s">
        <v>15</v>
      </c>
      <c r="G6" s="17" t="s">
        <v>16</v>
      </c>
      <c r="H6" s="17" t="s">
        <v>29</v>
      </c>
      <c r="I6" s="17">
        <v>1</v>
      </c>
      <c r="J6" s="17" t="s">
        <v>17</v>
      </c>
      <c r="K6" s="17" t="s">
        <v>30</v>
      </c>
      <c r="L6" s="18"/>
      <c r="M6" s="30"/>
    </row>
    <row r="7" spans="1:13" ht="16.5" x14ac:dyDescent="0.3">
      <c r="A7" s="33"/>
      <c r="B7" s="15">
        <v>46087</v>
      </c>
      <c r="C7" s="15">
        <v>46146</v>
      </c>
      <c r="D7" s="16" t="s">
        <v>33</v>
      </c>
      <c r="E7" s="16" t="s">
        <v>34</v>
      </c>
      <c r="F7" s="17" t="s">
        <v>15</v>
      </c>
      <c r="G7" s="17" t="s">
        <v>16</v>
      </c>
      <c r="H7" s="17" t="s">
        <v>35</v>
      </c>
      <c r="I7" s="17">
        <v>1</v>
      </c>
      <c r="J7" s="17" t="s">
        <v>36</v>
      </c>
      <c r="K7" s="17" t="s">
        <v>37</v>
      </c>
      <c r="L7" s="18">
        <v>46950000</v>
      </c>
      <c r="M7" s="30"/>
    </row>
    <row r="8" spans="1:13" ht="16.5" x14ac:dyDescent="0.3">
      <c r="A8" s="33"/>
      <c r="B8" s="15">
        <v>46087</v>
      </c>
      <c r="C8" s="15">
        <v>46146</v>
      </c>
      <c r="D8" s="16" t="s">
        <v>38</v>
      </c>
      <c r="E8" s="16" t="s">
        <v>39</v>
      </c>
      <c r="F8" s="17" t="s">
        <v>15</v>
      </c>
      <c r="G8" s="17" t="s">
        <v>16</v>
      </c>
      <c r="H8" s="17" t="s">
        <v>35</v>
      </c>
      <c r="I8" s="17">
        <v>1</v>
      </c>
      <c r="J8" s="17" t="s">
        <v>36</v>
      </c>
      <c r="K8" s="17" t="s">
        <v>37</v>
      </c>
      <c r="L8" s="18">
        <v>46950000</v>
      </c>
      <c r="M8" s="30"/>
    </row>
    <row r="9" spans="1:13" ht="16.5" x14ac:dyDescent="0.3">
      <c r="A9" s="33"/>
      <c r="B9" s="15">
        <v>46090</v>
      </c>
      <c r="C9" s="15">
        <v>46097</v>
      </c>
      <c r="D9" s="16" t="s">
        <v>40</v>
      </c>
      <c r="E9" s="16" t="s">
        <v>41</v>
      </c>
      <c r="F9" s="17" t="s">
        <v>15</v>
      </c>
      <c r="G9" s="17" t="s">
        <v>16</v>
      </c>
      <c r="H9" s="17">
        <v>1650</v>
      </c>
      <c r="I9" s="17">
        <v>1</v>
      </c>
      <c r="J9" s="17" t="s">
        <v>42</v>
      </c>
      <c r="K9" s="17" t="s">
        <v>43</v>
      </c>
      <c r="L9" s="18"/>
      <c r="M9" s="30"/>
    </row>
    <row r="10" spans="1:13" ht="16.5" x14ac:dyDescent="0.3">
      <c r="A10" s="33"/>
      <c r="B10" s="15">
        <v>46098</v>
      </c>
      <c r="C10" s="15">
        <v>46105</v>
      </c>
      <c r="D10" s="16" t="s">
        <v>44</v>
      </c>
      <c r="E10" s="16" t="s">
        <v>45</v>
      </c>
      <c r="F10" s="17" t="s">
        <v>15</v>
      </c>
      <c r="G10" s="17" t="s">
        <v>16</v>
      </c>
      <c r="H10" s="17" t="s">
        <v>46</v>
      </c>
      <c r="I10" s="17">
        <v>1</v>
      </c>
      <c r="J10" s="17" t="s">
        <v>17</v>
      </c>
      <c r="K10" s="17" t="s">
        <v>26</v>
      </c>
      <c r="L10" s="18">
        <v>16310000</v>
      </c>
      <c r="M10" s="30"/>
    </row>
    <row r="11" spans="1:13" ht="16.5" x14ac:dyDescent="0.3">
      <c r="A11" s="33"/>
      <c r="B11" s="15">
        <v>46106</v>
      </c>
      <c r="C11" s="15"/>
      <c r="D11" s="16" t="s">
        <v>47</v>
      </c>
      <c r="E11" s="16" t="s">
        <v>48</v>
      </c>
      <c r="F11" s="17" t="s">
        <v>15</v>
      </c>
      <c r="G11" s="17" t="s">
        <v>16</v>
      </c>
      <c r="H11" s="17" t="s">
        <v>25</v>
      </c>
      <c r="I11" s="17">
        <v>1</v>
      </c>
      <c r="J11" s="17" t="s">
        <v>17</v>
      </c>
      <c r="K11" s="17" t="s">
        <v>21</v>
      </c>
      <c r="L11" s="18">
        <v>76023085</v>
      </c>
      <c r="M11" s="30"/>
    </row>
    <row r="12" spans="1:13" ht="16.5" x14ac:dyDescent="0.3">
      <c r="A12" s="33"/>
      <c r="B12" s="15">
        <v>46106</v>
      </c>
      <c r="C12" s="15">
        <v>46126</v>
      </c>
      <c r="D12" s="16" t="s">
        <v>49</v>
      </c>
      <c r="E12" s="16" t="s">
        <v>50</v>
      </c>
      <c r="F12" s="17" t="s">
        <v>15</v>
      </c>
      <c r="G12" s="17" t="s">
        <v>16</v>
      </c>
      <c r="H12" s="17" t="s">
        <v>51</v>
      </c>
      <c r="I12" s="17">
        <v>1</v>
      </c>
      <c r="J12" s="17" t="s">
        <v>52</v>
      </c>
      <c r="K12" s="17" t="s">
        <v>53</v>
      </c>
      <c r="L12" s="18">
        <v>28000000</v>
      </c>
      <c r="M12" s="30"/>
    </row>
    <row r="13" spans="1:13" ht="16.5" x14ac:dyDescent="0.3">
      <c r="A13" s="33"/>
      <c r="B13" s="15">
        <v>46119</v>
      </c>
      <c r="C13" s="15"/>
      <c r="D13" s="16" t="s">
        <v>54</v>
      </c>
      <c r="E13" s="16" t="s">
        <v>55</v>
      </c>
      <c r="F13" s="17" t="s">
        <v>15</v>
      </c>
      <c r="G13" s="17" t="s">
        <v>16</v>
      </c>
      <c r="H13" s="17" t="s">
        <v>56</v>
      </c>
      <c r="I13" s="17">
        <v>1</v>
      </c>
      <c r="J13" s="17" t="s">
        <v>17</v>
      </c>
      <c r="K13" s="17" t="s">
        <v>57</v>
      </c>
      <c r="L13" s="18">
        <v>42000000</v>
      </c>
      <c r="M13" s="30"/>
    </row>
    <row r="14" spans="1:13" ht="16.5" x14ac:dyDescent="0.3">
      <c r="A14" s="33"/>
      <c r="B14" s="15">
        <v>46125</v>
      </c>
      <c r="C14" s="15">
        <v>46130</v>
      </c>
      <c r="D14" s="16" t="s">
        <v>58</v>
      </c>
      <c r="E14" s="16" t="s">
        <v>59</v>
      </c>
      <c r="F14" s="17" t="s">
        <v>60</v>
      </c>
      <c r="G14" s="17" t="s">
        <v>16</v>
      </c>
      <c r="H14" s="17" t="s">
        <v>61</v>
      </c>
      <c r="I14" s="17">
        <v>1</v>
      </c>
      <c r="J14" s="17" t="s">
        <v>62</v>
      </c>
      <c r="K14" s="17" t="s">
        <v>63</v>
      </c>
      <c r="L14" s="18">
        <v>25985000</v>
      </c>
      <c r="M14" s="30"/>
    </row>
    <row r="15" spans="1:13" ht="16.5" x14ac:dyDescent="0.3">
      <c r="A15" s="33"/>
      <c r="B15" s="15">
        <v>46125</v>
      </c>
      <c r="C15" s="15">
        <v>46146</v>
      </c>
      <c r="D15" s="16" t="s">
        <v>64</v>
      </c>
      <c r="E15" s="16" t="s">
        <v>65</v>
      </c>
      <c r="F15" s="17" t="s">
        <v>15</v>
      </c>
      <c r="G15" s="17" t="s">
        <v>16</v>
      </c>
      <c r="H15" s="17">
        <v>1500</v>
      </c>
      <c r="I15" s="17">
        <v>1</v>
      </c>
      <c r="J15" s="17" t="s">
        <v>52</v>
      </c>
      <c r="K15" s="17" t="s">
        <v>53</v>
      </c>
      <c r="L15" s="18">
        <v>72170000</v>
      </c>
      <c r="M15" s="30"/>
    </row>
    <row r="16" spans="1:13" ht="16.5" x14ac:dyDescent="0.3">
      <c r="A16" s="33"/>
      <c r="B16" s="15">
        <v>46127</v>
      </c>
      <c r="C16" s="15">
        <v>46133</v>
      </c>
      <c r="D16" s="16" t="s">
        <v>66</v>
      </c>
      <c r="E16" s="16" t="s">
        <v>67</v>
      </c>
      <c r="F16" s="17" t="s">
        <v>15</v>
      </c>
      <c r="G16" s="17" t="s">
        <v>16</v>
      </c>
      <c r="H16" s="17" t="s">
        <v>68</v>
      </c>
      <c r="I16" s="17">
        <v>1</v>
      </c>
      <c r="J16" s="17" t="s">
        <v>69</v>
      </c>
      <c r="K16" s="17" t="s">
        <v>70</v>
      </c>
      <c r="L16" s="18">
        <v>24850000</v>
      </c>
      <c r="M16" s="30"/>
    </row>
    <row r="17" spans="1:13" ht="16.5" x14ac:dyDescent="0.3">
      <c r="A17" s="33"/>
      <c r="B17" s="15">
        <v>46139</v>
      </c>
      <c r="C17" s="15"/>
      <c r="D17" s="16" t="s">
        <v>71</v>
      </c>
      <c r="E17" s="16" t="s">
        <v>72</v>
      </c>
      <c r="F17" s="17" t="s">
        <v>15</v>
      </c>
      <c r="G17" s="17" t="s">
        <v>16</v>
      </c>
      <c r="H17" s="17" t="s">
        <v>73</v>
      </c>
      <c r="I17" s="17">
        <v>1</v>
      </c>
      <c r="J17" s="17" t="s">
        <v>74</v>
      </c>
      <c r="K17" s="17" t="s">
        <v>43</v>
      </c>
      <c r="L17" s="18">
        <v>180000000</v>
      </c>
      <c r="M17" s="30"/>
    </row>
    <row r="18" spans="1:13" ht="16.5" x14ac:dyDescent="0.3">
      <c r="A18" s="33"/>
      <c r="B18" s="15">
        <v>46146</v>
      </c>
      <c r="C18" s="15">
        <v>46153</v>
      </c>
      <c r="D18" s="16" t="s">
        <v>75</v>
      </c>
      <c r="E18" s="16" t="s">
        <v>76</v>
      </c>
      <c r="F18" s="17" t="s">
        <v>60</v>
      </c>
      <c r="G18" s="17" t="s">
        <v>16</v>
      </c>
      <c r="H18" s="17" t="s">
        <v>61</v>
      </c>
      <c r="I18" s="17">
        <v>1</v>
      </c>
      <c r="J18" s="17" t="s">
        <v>77</v>
      </c>
      <c r="K18" s="17" t="s">
        <v>63</v>
      </c>
      <c r="L18" s="18"/>
      <c r="M18" s="30"/>
    </row>
    <row r="19" spans="1:13" ht="16.5" x14ac:dyDescent="0.3">
      <c r="A19" s="33"/>
      <c r="B19" s="15">
        <v>46146</v>
      </c>
      <c r="C19" s="15">
        <v>46153</v>
      </c>
      <c r="D19" s="16" t="s">
        <v>78</v>
      </c>
      <c r="E19" s="16" t="s">
        <v>79</v>
      </c>
      <c r="F19" s="17" t="s">
        <v>60</v>
      </c>
      <c r="G19" s="17" t="s">
        <v>16</v>
      </c>
      <c r="H19" s="17" t="s">
        <v>80</v>
      </c>
      <c r="I19" s="17">
        <v>1</v>
      </c>
      <c r="J19" s="17" t="s">
        <v>77</v>
      </c>
      <c r="K19" s="17" t="s">
        <v>63</v>
      </c>
      <c r="L19" s="18"/>
      <c r="M19" s="30"/>
    </row>
    <row r="20" spans="1:13" ht="16.5" x14ac:dyDescent="0.3">
      <c r="A20" s="33"/>
      <c r="B20" s="15">
        <v>46149</v>
      </c>
      <c r="C20" s="15">
        <v>46161</v>
      </c>
      <c r="D20" s="16" t="s">
        <v>81</v>
      </c>
      <c r="E20" s="16" t="s">
        <v>82</v>
      </c>
      <c r="F20" s="17" t="s">
        <v>15</v>
      </c>
      <c r="G20" s="17" t="s">
        <v>16</v>
      </c>
      <c r="H20" s="17" t="s">
        <v>83</v>
      </c>
      <c r="I20" s="17">
        <v>1</v>
      </c>
      <c r="J20" s="17" t="s">
        <v>17</v>
      </c>
      <c r="K20" s="17" t="s">
        <v>18</v>
      </c>
      <c r="L20" s="18"/>
      <c r="M20" s="30"/>
    </row>
    <row r="21" spans="1:13" ht="16.5" x14ac:dyDescent="0.3">
      <c r="A21" s="33"/>
      <c r="B21" s="15">
        <v>46161</v>
      </c>
      <c r="C21" s="15"/>
      <c r="D21" s="16" t="s">
        <v>54</v>
      </c>
      <c r="E21" s="16" t="s">
        <v>84</v>
      </c>
      <c r="F21" s="17" t="s">
        <v>15</v>
      </c>
      <c r="G21" s="17" t="s">
        <v>16</v>
      </c>
      <c r="H21" s="17" t="s">
        <v>56</v>
      </c>
      <c r="I21" s="17">
        <v>1</v>
      </c>
      <c r="J21" s="17" t="s">
        <v>17</v>
      </c>
      <c r="K21" s="17" t="s">
        <v>57</v>
      </c>
      <c r="L21" s="18">
        <v>42000000</v>
      </c>
      <c r="M21" s="30"/>
    </row>
    <row r="22" spans="1:13" ht="16.5" x14ac:dyDescent="0.3">
      <c r="A22" s="33"/>
      <c r="B22" s="15">
        <v>46161</v>
      </c>
      <c r="C22" s="15"/>
      <c r="D22" s="16" t="s">
        <v>85</v>
      </c>
      <c r="E22" s="16" t="s">
        <v>86</v>
      </c>
      <c r="F22" s="17" t="s">
        <v>15</v>
      </c>
      <c r="G22" s="17" t="s">
        <v>16</v>
      </c>
      <c r="H22" s="17" t="s">
        <v>87</v>
      </c>
      <c r="I22" s="17">
        <v>1</v>
      </c>
      <c r="J22" s="17" t="s">
        <v>88</v>
      </c>
      <c r="K22" s="17" t="s">
        <v>89</v>
      </c>
      <c r="L22" s="18"/>
      <c r="M22" s="30"/>
    </row>
    <row r="23" spans="1:13" ht="16.5" x14ac:dyDescent="0.3">
      <c r="A23" s="33"/>
      <c r="B23" s="15">
        <v>46161</v>
      </c>
      <c r="C23" s="15"/>
      <c r="D23" s="16" t="s">
        <v>90</v>
      </c>
      <c r="E23" s="16" t="s">
        <v>91</v>
      </c>
      <c r="F23" s="17" t="s">
        <v>15</v>
      </c>
      <c r="G23" s="17" t="s">
        <v>16</v>
      </c>
      <c r="H23" s="17" t="s">
        <v>92</v>
      </c>
      <c r="I23" s="17">
        <v>1</v>
      </c>
      <c r="J23" s="17" t="s">
        <v>88</v>
      </c>
      <c r="K23" s="17" t="s">
        <v>89</v>
      </c>
      <c r="L23" s="18"/>
      <c r="M23" s="30"/>
    </row>
    <row r="24" spans="1:13" ht="16.5" x14ac:dyDescent="0.3">
      <c r="A24" s="33"/>
      <c r="B24" s="15">
        <v>46163</v>
      </c>
      <c r="C24" s="15"/>
      <c r="D24" s="16" t="s">
        <v>93</v>
      </c>
      <c r="E24" s="16" t="s">
        <v>94</v>
      </c>
      <c r="F24" s="17" t="s">
        <v>15</v>
      </c>
      <c r="G24" s="17" t="s">
        <v>16</v>
      </c>
      <c r="H24" s="17" t="s">
        <v>95</v>
      </c>
      <c r="I24" s="17">
        <v>1</v>
      </c>
      <c r="J24" s="17" t="s">
        <v>17</v>
      </c>
      <c r="K24" s="17" t="s">
        <v>96</v>
      </c>
      <c r="L24" s="18"/>
      <c r="M24" s="30"/>
    </row>
    <row r="25" spans="1:13" ht="16.5" x14ac:dyDescent="0.3">
      <c r="A25" s="33"/>
      <c r="B25" s="15">
        <v>46165</v>
      </c>
      <c r="C25" s="15">
        <v>46167</v>
      </c>
      <c r="D25" s="16" t="s">
        <v>97</v>
      </c>
      <c r="E25" s="16" t="s">
        <v>98</v>
      </c>
      <c r="F25" s="17" t="s">
        <v>60</v>
      </c>
      <c r="G25" s="17" t="s">
        <v>16</v>
      </c>
      <c r="H25" s="17" t="s">
        <v>99</v>
      </c>
      <c r="I25" s="17">
        <v>1</v>
      </c>
      <c r="J25" s="17" t="s">
        <v>77</v>
      </c>
      <c r="K25" s="17" t="s">
        <v>100</v>
      </c>
      <c r="L25" s="18">
        <v>41600000</v>
      </c>
      <c r="M25" s="30"/>
    </row>
    <row r="26" spans="1:13" ht="17.25" thickBot="1" x14ac:dyDescent="0.35">
      <c r="A26" s="34"/>
      <c r="B26" s="21">
        <v>46168</v>
      </c>
      <c r="C26" s="21"/>
      <c r="D26" s="22" t="s">
        <v>101</v>
      </c>
      <c r="E26" s="22" t="s">
        <v>102</v>
      </c>
      <c r="F26" s="23" t="s">
        <v>60</v>
      </c>
      <c r="G26" s="23" t="s">
        <v>16</v>
      </c>
      <c r="H26" s="23">
        <v>300</v>
      </c>
      <c r="I26" s="23">
        <v>2</v>
      </c>
      <c r="J26" s="23" t="s">
        <v>103</v>
      </c>
      <c r="K26" s="23" t="s">
        <v>104</v>
      </c>
      <c r="L26" s="24"/>
      <c r="M26" s="3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3965-E1D3-4477-9FF2-8FA13574E575}">
  <dimension ref="A1:U22"/>
  <sheetViews>
    <sheetView zoomScale="85" zoomScaleNormal="85" workbookViewId="0">
      <selection activeCell="H24" sqref="H24"/>
    </sheetView>
  </sheetViews>
  <sheetFormatPr defaultRowHeight="20.100000000000001" customHeight="1" x14ac:dyDescent="0.3"/>
  <cols>
    <col min="1" max="1" width="9.25" style="2" bestFit="1" customWidth="1"/>
    <col min="2" max="3" width="11.75" style="38" bestFit="1" customWidth="1"/>
    <col min="4" max="4" width="45.75" bestFit="1" customWidth="1"/>
    <col min="5" max="5" width="11.25" bestFit="1" customWidth="1"/>
    <col min="6" max="7" width="10" style="2" bestFit="1" customWidth="1"/>
    <col min="8" max="8" width="14.5" style="2" bestFit="1" customWidth="1"/>
    <col min="9" max="9" width="10.625" style="2" bestFit="1" customWidth="1"/>
    <col min="10" max="10" width="31.125" bestFit="1" customWidth="1"/>
    <col min="11" max="11" width="22.875" bestFit="1" customWidth="1"/>
    <col min="12" max="12" width="17.5" style="6" bestFit="1" customWidth="1"/>
    <col min="13" max="13" width="10.625" style="6" bestFit="1" customWidth="1"/>
    <col min="14" max="14" width="15.5" style="1" bestFit="1" customWidth="1"/>
    <col min="15" max="15" width="12.5" style="6" bestFit="1" customWidth="1"/>
    <col min="16" max="16" width="11" style="1" bestFit="1" customWidth="1"/>
    <col min="17" max="17" width="12.5" style="6" bestFit="1" customWidth="1"/>
    <col min="18" max="18" width="22.25" style="6" bestFit="1" customWidth="1"/>
    <col min="19" max="19" width="22.125" style="28" bestFit="1" customWidth="1"/>
    <col min="20" max="20" width="17.375" style="6" bestFit="1" customWidth="1"/>
    <col min="21" max="21" width="16.625" style="2" bestFit="1" customWidth="1"/>
  </cols>
  <sheetData>
    <row r="1" spans="1:21" s="3" customFormat="1" ht="17.25" thickBot="1" x14ac:dyDescent="0.35">
      <c r="A1" s="4" t="s">
        <v>0</v>
      </c>
      <c r="B1" s="35" t="s">
        <v>1</v>
      </c>
      <c r="C1" s="35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105</v>
      </c>
      <c r="I1" s="4" t="s">
        <v>8</v>
      </c>
      <c r="J1" s="3" t="s">
        <v>9</v>
      </c>
      <c r="K1" s="3" t="s">
        <v>10</v>
      </c>
      <c r="L1" s="7" t="s">
        <v>11</v>
      </c>
      <c r="M1" s="7" t="s">
        <v>106</v>
      </c>
      <c r="N1" s="8" t="s">
        <v>107</v>
      </c>
      <c r="O1" s="7" t="s">
        <v>108</v>
      </c>
      <c r="P1" s="8" t="s">
        <v>109</v>
      </c>
      <c r="Q1" s="7" t="s">
        <v>110</v>
      </c>
      <c r="R1" s="7" t="s">
        <v>111</v>
      </c>
      <c r="S1" s="25" t="s">
        <v>112</v>
      </c>
      <c r="T1" s="7" t="s">
        <v>113</v>
      </c>
      <c r="U1" s="4" t="s">
        <v>114</v>
      </c>
    </row>
    <row r="2" spans="1:21" ht="16.5" x14ac:dyDescent="0.3">
      <c r="A2" s="32"/>
      <c r="B2" s="36">
        <v>44694</v>
      </c>
      <c r="C2" s="36">
        <v>44694</v>
      </c>
      <c r="D2" s="10" t="s">
        <v>115</v>
      </c>
      <c r="E2" s="10" t="s">
        <v>116</v>
      </c>
      <c r="F2" s="11" t="s">
        <v>15</v>
      </c>
      <c r="G2" s="11" t="s">
        <v>16</v>
      </c>
      <c r="H2" s="11" t="s">
        <v>117</v>
      </c>
      <c r="I2" s="11">
        <v>1</v>
      </c>
      <c r="J2" s="10" t="s">
        <v>118</v>
      </c>
      <c r="K2" s="10" t="s">
        <v>119</v>
      </c>
      <c r="L2" s="12">
        <v>4180000</v>
      </c>
      <c r="M2" s="12">
        <v>418000</v>
      </c>
      <c r="N2" s="13">
        <v>44812</v>
      </c>
      <c r="O2" s="12">
        <v>2598000</v>
      </c>
      <c r="P2" s="13">
        <v>44865</v>
      </c>
      <c r="Q2" s="12">
        <v>1000000</v>
      </c>
      <c r="R2" s="12">
        <v>3598000</v>
      </c>
      <c r="S2" s="26">
        <v>1000000</v>
      </c>
      <c r="T2" s="12">
        <v>4598000</v>
      </c>
      <c r="U2" s="14">
        <v>44712</v>
      </c>
    </row>
    <row r="3" spans="1:21" ht="16.5" x14ac:dyDescent="0.3">
      <c r="A3" s="33"/>
      <c r="B3" s="37">
        <v>45365</v>
      </c>
      <c r="C3" s="37">
        <v>45366</v>
      </c>
      <c r="D3" s="16" t="s">
        <v>120</v>
      </c>
      <c r="E3" s="16" t="s">
        <v>121</v>
      </c>
      <c r="F3" s="17" t="s">
        <v>15</v>
      </c>
      <c r="G3" s="17" t="s">
        <v>24</v>
      </c>
      <c r="H3" s="17" t="s">
        <v>122</v>
      </c>
      <c r="I3" s="17">
        <v>1</v>
      </c>
      <c r="J3" s="16" t="s">
        <v>123</v>
      </c>
      <c r="K3" s="16" t="s">
        <v>124</v>
      </c>
      <c r="L3" s="18">
        <v>15100000</v>
      </c>
      <c r="M3" s="18">
        <v>1510000</v>
      </c>
      <c r="N3" s="19">
        <v>45874</v>
      </c>
      <c r="O3" s="18">
        <v>8308898</v>
      </c>
      <c r="P3" s="19"/>
      <c r="Q3" s="18"/>
      <c r="R3" s="18">
        <v>8308898</v>
      </c>
      <c r="S3" s="27">
        <v>8301102</v>
      </c>
      <c r="T3" s="18">
        <v>16610000</v>
      </c>
      <c r="U3" s="20">
        <v>45382</v>
      </c>
    </row>
    <row r="4" spans="1:21" ht="16.5" x14ac:dyDescent="0.3">
      <c r="A4" s="33"/>
      <c r="B4" s="37">
        <v>45454</v>
      </c>
      <c r="C4" s="37">
        <v>45454</v>
      </c>
      <c r="D4" s="16" t="s">
        <v>125</v>
      </c>
      <c r="E4" s="16" t="s">
        <v>126</v>
      </c>
      <c r="F4" s="17" t="s">
        <v>15</v>
      </c>
      <c r="G4" s="17" t="s">
        <v>16</v>
      </c>
      <c r="H4" s="17" t="s">
        <v>127</v>
      </c>
      <c r="I4" s="17">
        <v>1</v>
      </c>
      <c r="J4" s="16" t="s">
        <v>128</v>
      </c>
      <c r="K4" s="16" t="s">
        <v>129</v>
      </c>
      <c r="L4" s="18">
        <v>3700000</v>
      </c>
      <c r="M4" s="18">
        <v>370000</v>
      </c>
      <c r="N4" s="19"/>
      <c r="O4" s="18"/>
      <c r="P4" s="19"/>
      <c r="Q4" s="18"/>
      <c r="R4" s="18">
        <v>0</v>
      </c>
      <c r="S4" s="27">
        <v>4070000</v>
      </c>
      <c r="T4" s="18">
        <v>4070000</v>
      </c>
      <c r="U4" s="20">
        <v>45471</v>
      </c>
    </row>
    <row r="5" spans="1:21" ht="16.5" x14ac:dyDescent="0.3">
      <c r="A5" s="33"/>
      <c r="B5" s="37">
        <v>45454</v>
      </c>
      <c r="C5" s="37">
        <v>45455</v>
      </c>
      <c r="D5" s="16" t="s">
        <v>130</v>
      </c>
      <c r="E5" s="16" t="s">
        <v>131</v>
      </c>
      <c r="F5" s="17" t="s">
        <v>15</v>
      </c>
      <c r="G5" s="17" t="s">
        <v>16</v>
      </c>
      <c r="H5" s="17" t="s">
        <v>132</v>
      </c>
      <c r="I5" s="17">
        <v>1</v>
      </c>
      <c r="J5" s="16" t="s">
        <v>128</v>
      </c>
      <c r="K5" s="16" t="s">
        <v>129</v>
      </c>
      <c r="L5" s="18">
        <v>3200000</v>
      </c>
      <c r="M5" s="18">
        <v>320000</v>
      </c>
      <c r="N5" s="19"/>
      <c r="O5" s="18"/>
      <c r="P5" s="19"/>
      <c r="Q5" s="18"/>
      <c r="R5" s="18">
        <v>0</v>
      </c>
      <c r="S5" s="27">
        <v>3520000</v>
      </c>
      <c r="T5" s="18">
        <v>3520000</v>
      </c>
      <c r="U5" s="20">
        <v>45471</v>
      </c>
    </row>
    <row r="6" spans="1:21" ht="16.5" x14ac:dyDescent="0.3">
      <c r="A6" s="33"/>
      <c r="B6" s="37">
        <v>45454</v>
      </c>
      <c r="C6" s="37">
        <v>45454</v>
      </c>
      <c r="D6" s="16" t="s">
        <v>133</v>
      </c>
      <c r="E6" s="16" t="s">
        <v>134</v>
      </c>
      <c r="F6" s="17" t="s">
        <v>15</v>
      </c>
      <c r="G6" s="17" t="s">
        <v>16</v>
      </c>
      <c r="H6" s="17" t="s">
        <v>135</v>
      </c>
      <c r="I6" s="17">
        <v>1</v>
      </c>
      <c r="J6" s="16" t="s">
        <v>128</v>
      </c>
      <c r="K6" s="16" t="s">
        <v>129</v>
      </c>
      <c r="L6" s="18">
        <v>1500000</v>
      </c>
      <c r="M6" s="18">
        <v>150000</v>
      </c>
      <c r="N6" s="19"/>
      <c r="O6" s="18"/>
      <c r="P6" s="19"/>
      <c r="Q6" s="18"/>
      <c r="R6" s="18">
        <v>0</v>
      </c>
      <c r="S6" s="27">
        <v>1650000</v>
      </c>
      <c r="T6" s="18">
        <v>1650000</v>
      </c>
      <c r="U6" s="20">
        <v>45471</v>
      </c>
    </row>
    <row r="7" spans="1:21" ht="16.5" x14ac:dyDescent="0.3">
      <c r="A7" s="33"/>
      <c r="B7" s="37">
        <v>45674</v>
      </c>
      <c r="C7" s="37">
        <v>45699</v>
      </c>
      <c r="D7" s="16" t="s">
        <v>136</v>
      </c>
      <c r="E7" s="16" t="s">
        <v>137</v>
      </c>
      <c r="F7" s="17" t="s">
        <v>15</v>
      </c>
      <c r="G7" s="17" t="s">
        <v>24</v>
      </c>
      <c r="H7" s="17" t="s">
        <v>138</v>
      </c>
      <c r="I7" s="17">
        <v>1</v>
      </c>
      <c r="J7" s="16" t="s">
        <v>139</v>
      </c>
      <c r="K7" s="16" t="s">
        <v>140</v>
      </c>
      <c r="L7" s="18">
        <v>22800000</v>
      </c>
      <c r="M7" s="18">
        <v>2280000</v>
      </c>
      <c r="N7" s="19">
        <v>45839</v>
      </c>
      <c r="O7" s="18">
        <v>16000000</v>
      </c>
      <c r="P7" s="19">
        <v>46142</v>
      </c>
      <c r="Q7" s="18">
        <v>5000000</v>
      </c>
      <c r="R7" s="18">
        <v>21000000</v>
      </c>
      <c r="S7" s="27">
        <v>4080000</v>
      </c>
      <c r="T7" s="18">
        <v>25080000</v>
      </c>
      <c r="U7" s="20">
        <v>45716</v>
      </c>
    </row>
    <row r="8" spans="1:21" ht="16.5" x14ac:dyDescent="0.3">
      <c r="A8" s="33"/>
      <c r="B8" s="37">
        <v>45674</v>
      </c>
      <c r="C8" s="37"/>
      <c r="D8" s="16" t="s">
        <v>141</v>
      </c>
      <c r="E8" s="16" t="s">
        <v>142</v>
      </c>
      <c r="F8" s="17" t="s">
        <v>15</v>
      </c>
      <c r="G8" s="17" t="s">
        <v>24</v>
      </c>
      <c r="H8" s="17" t="s">
        <v>143</v>
      </c>
      <c r="I8" s="17">
        <v>1</v>
      </c>
      <c r="J8" s="16" t="s">
        <v>139</v>
      </c>
      <c r="K8" s="16" t="s">
        <v>140</v>
      </c>
      <c r="L8" s="18">
        <v>15000000</v>
      </c>
      <c r="M8" s="18">
        <v>1500000</v>
      </c>
      <c r="N8" s="19"/>
      <c r="O8" s="18"/>
      <c r="P8" s="19"/>
      <c r="Q8" s="18"/>
      <c r="R8" s="18">
        <v>0</v>
      </c>
      <c r="S8" s="27">
        <v>16500000</v>
      </c>
      <c r="T8" s="18">
        <v>16500000</v>
      </c>
      <c r="U8" s="20">
        <v>45716</v>
      </c>
    </row>
    <row r="9" spans="1:21" ht="16.5" x14ac:dyDescent="0.3">
      <c r="A9" s="33"/>
      <c r="B9" s="37">
        <v>45699</v>
      </c>
      <c r="C9" s="37"/>
      <c r="D9" s="16" t="s">
        <v>182</v>
      </c>
      <c r="E9" s="16" t="s">
        <v>183</v>
      </c>
      <c r="F9" s="17" t="s">
        <v>15</v>
      </c>
      <c r="G9" s="17" t="s">
        <v>24</v>
      </c>
      <c r="H9" s="17" t="s">
        <v>144</v>
      </c>
      <c r="I9" s="17">
        <v>1</v>
      </c>
      <c r="J9" s="16" t="s">
        <v>139</v>
      </c>
      <c r="K9" s="16" t="s">
        <v>140</v>
      </c>
      <c r="L9" s="18">
        <v>2200000</v>
      </c>
      <c r="M9" s="18">
        <v>220000</v>
      </c>
      <c r="N9" s="19">
        <v>45905</v>
      </c>
      <c r="O9" s="18">
        <v>2000000</v>
      </c>
      <c r="P9" s="19"/>
      <c r="Q9" s="18"/>
      <c r="R9" s="18">
        <v>2000000</v>
      </c>
      <c r="S9" s="27">
        <v>420000</v>
      </c>
      <c r="T9" s="18">
        <v>2420000</v>
      </c>
      <c r="U9" s="20">
        <v>45716</v>
      </c>
    </row>
    <row r="10" spans="1:21" ht="16.5" x14ac:dyDescent="0.3">
      <c r="A10" s="33"/>
      <c r="B10" s="37">
        <v>45743</v>
      </c>
      <c r="C10" s="37"/>
      <c r="D10" s="16" t="s">
        <v>145</v>
      </c>
      <c r="E10" s="16" t="s">
        <v>146</v>
      </c>
      <c r="F10" s="17" t="s">
        <v>15</v>
      </c>
      <c r="G10" s="17" t="s">
        <v>24</v>
      </c>
      <c r="H10" s="17">
        <v>800</v>
      </c>
      <c r="I10" s="17">
        <v>1</v>
      </c>
      <c r="J10" s="16"/>
      <c r="K10" s="16" t="s">
        <v>147</v>
      </c>
      <c r="L10" s="18">
        <v>22200000</v>
      </c>
      <c r="M10" s="18">
        <v>2220000</v>
      </c>
      <c r="N10" s="19"/>
      <c r="O10" s="18"/>
      <c r="P10" s="19"/>
      <c r="Q10" s="18"/>
      <c r="R10" s="18">
        <v>0</v>
      </c>
      <c r="S10" s="27">
        <v>24420000</v>
      </c>
      <c r="T10" s="18">
        <v>24420000</v>
      </c>
      <c r="U10" s="20">
        <v>46001</v>
      </c>
    </row>
    <row r="11" spans="1:21" ht="16.5" x14ac:dyDescent="0.3">
      <c r="A11" s="33"/>
      <c r="B11" s="37">
        <v>45898</v>
      </c>
      <c r="C11" s="37">
        <v>45962</v>
      </c>
      <c r="D11" s="16" t="s">
        <v>148</v>
      </c>
      <c r="E11" s="16" t="s">
        <v>149</v>
      </c>
      <c r="F11" s="17" t="s">
        <v>15</v>
      </c>
      <c r="G11" s="17" t="s">
        <v>16</v>
      </c>
      <c r="H11" s="17" t="s">
        <v>56</v>
      </c>
      <c r="I11" s="17">
        <v>1</v>
      </c>
      <c r="J11" s="16"/>
      <c r="K11" s="16" t="s">
        <v>147</v>
      </c>
      <c r="L11" s="18">
        <v>24112000</v>
      </c>
      <c r="M11" s="18">
        <v>2411200</v>
      </c>
      <c r="N11" s="19"/>
      <c r="O11" s="18"/>
      <c r="P11" s="19"/>
      <c r="Q11" s="18"/>
      <c r="R11" s="18">
        <v>0</v>
      </c>
      <c r="S11" s="27">
        <v>26523200</v>
      </c>
      <c r="T11" s="18">
        <v>26523200</v>
      </c>
      <c r="U11" s="20">
        <v>46001</v>
      </c>
    </row>
    <row r="12" spans="1:21" ht="16.5" x14ac:dyDescent="0.3">
      <c r="A12" s="33"/>
      <c r="B12" s="37">
        <v>45920</v>
      </c>
      <c r="C12" s="37">
        <v>45962</v>
      </c>
      <c r="D12" s="16" t="s">
        <v>150</v>
      </c>
      <c r="E12" s="16" t="s">
        <v>151</v>
      </c>
      <c r="F12" s="17" t="s">
        <v>15</v>
      </c>
      <c r="G12" s="17" t="s">
        <v>24</v>
      </c>
      <c r="H12" s="17" t="s">
        <v>25</v>
      </c>
      <c r="I12" s="17">
        <v>1</v>
      </c>
      <c r="J12" s="16"/>
      <c r="K12" s="16" t="s">
        <v>147</v>
      </c>
      <c r="L12" s="18">
        <v>37304000</v>
      </c>
      <c r="M12" s="18">
        <v>3730400</v>
      </c>
      <c r="N12" s="19"/>
      <c r="O12" s="18"/>
      <c r="P12" s="19"/>
      <c r="Q12" s="18"/>
      <c r="R12" s="18">
        <v>0</v>
      </c>
      <c r="S12" s="27">
        <v>41034400</v>
      </c>
      <c r="T12" s="18">
        <v>41034400</v>
      </c>
      <c r="U12" s="20">
        <v>46001</v>
      </c>
    </row>
    <row r="13" spans="1:21" ht="16.5" x14ac:dyDescent="0.3">
      <c r="A13" s="33"/>
      <c r="B13" s="37">
        <v>45922</v>
      </c>
      <c r="C13" s="37">
        <v>45959</v>
      </c>
      <c r="D13" s="16" t="s">
        <v>152</v>
      </c>
      <c r="E13" s="16" t="s">
        <v>153</v>
      </c>
      <c r="F13" s="17" t="s">
        <v>15</v>
      </c>
      <c r="G13" s="17" t="s">
        <v>24</v>
      </c>
      <c r="H13" s="17" t="s">
        <v>154</v>
      </c>
      <c r="I13" s="17">
        <v>1</v>
      </c>
      <c r="J13" s="16"/>
      <c r="K13" s="16" t="s">
        <v>147</v>
      </c>
      <c r="L13" s="18">
        <v>20611000</v>
      </c>
      <c r="M13" s="18">
        <v>2061100</v>
      </c>
      <c r="N13" s="19"/>
      <c r="O13" s="18"/>
      <c r="P13" s="19"/>
      <c r="Q13" s="18"/>
      <c r="R13" s="18">
        <v>0</v>
      </c>
      <c r="S13" s="27">
        <v>22672100</v>
      </c>
      <c r="T13" s="18">
        <v>22672100</v>
      </c>
      <c r="U13" s="20">
        <v>46001</v>
      </c>
    </row>
    <row r="14" spans="1:21" ht="16.5" x14ac:dyDescent="0.3">
      <c r="A14" s="33"/>
      <c r="B14" s="37">
        <v>45958</v>
      </c>
      <c r="C14" s="37">
        <v>46015</v>
      </c>
      <c r="D14" s="16" t="s">
        <v>155</v>
      </c>
      <c r="E14" s="16" t="s">
        <v>156</v>
      </c>
      <c r="F14" s="17" t="s">
        <v>15</v>
      </c>
      <c r="G14" s="17" t="s">
        <v>157</v>
      </c>
      <c r="H14" s="17" t="s">
        <v>158</v>
      </c>
      <c r="I14" s="17">
        <v>1</v>
      </c>
      <c r="J14" s="16" t="s">
        <v>159</v>
      </c>
      <c r="K14" s="16" t="s">
        <v>160</v>
      </c>
      <c r="L14" s="18">
        <v>179687273</v>
      </c>
      <c r="M14" s="18">
        <v>17968727.300000001</v>
      </c>
      <c r="N14" s="19">
        <v>46057</v>
      </c>
      <c r="O14" s="18">
        <v>93656000</v>
      </c>
      <c r="P14" s="19">
        <v>46119</v>
      </c>
      <c r="Q14" s="18">
        <v>104000000</v>
      </c>
      <c r="R14" s="18">
        <v>197656000</v>
      </c>
      <c r="S14" s="27">
        <v>0.30000001192092896</v>
      </c>
      <c r="T14" s="18">
        <v>197656000.30000001</v>
      </c>
      <c r="U14" s="20">
        <v>46032</v>
      </c>
    </row>
    <row r="15" spans="1:21" ht="16.5" x14ac:dyDescent="0.3">
      <c r="A15" s="33"/>
      <c r="B15" s="37">
        <v>46036</v>
      </c>
      <c r="C15" s="37"/>
      <c r="D15" s="16" t="s">
        <v>161</v>
      </c>
      <c r="E15" s="16" t="s">
        <v>162</v>
      </c>
      <c r="F15" s="17" t="s">
        <v>15</v>
      </c>
      <c r="G15" s="17" t="s">
        <v>163</v>
      </c>
      <c r="H15" s="17">
        <v>1000</v>
      </c>
      <c r="I15" s="17">
        <v>1</v>
      </c>
      <c r="J15" s="16" t="s">
        <v>52</v>
      </c>
      <c r="K15" s="16" t="s">
        <v>53</v>
      </c>
      <c r="L15" s="18">
        <v>31150000</v>
      </c>
      <c r="M15" s="18">
        <v>3115000</v>
      </c>
      <c r="N15" s="19">
        <v>46111</v>
      </c>
      <c r="O15" s="18">
        <v>33935000</v>
      </c>
      <c r="P15" s="19"/>
      <c r="Q15" s="18"/>
      <c r="R15" s="18">
        <v>33935000</v>
      </c>
      <c r="S15" s="27">
        <v>330000</v>
      </c>
      <c r="T15" s="18">
        <v>34265000</v>
      </c>
      <c r="U15" s="20">
        <v>46081</v>
      </c>
    </row>
    <row r="16" spans="1:21" ht="16.5" x14ac:dyDescent="0.3">
      <c r="A16" s="33"/>
      <c r="B16" s="37">
        <v>46108</v>
      </c>
      <c r="C16" s="37">
        <v>46113</v>
      </c>
      <c r="D16" s="16" t="s">
        <v>164</v>
      </c>
      <c r="E16" s="16" t="s">
        <v>165</v>
      </c>
      <c r="F16" s="17" t="s">
        <v>60</v>
      </c>
      <c r="G16" s="17" t="s">
        <v>16</v>
      </c>
      <c r="H16" s="17" t="s">
        <v>166</v>
      </c>
      <c r="I16" s="17">
        <v>1</v>
      </c>
      <c r="J16" s="16" t="s">
        <v>167</v>
      </c>
      <c r="K16" s="16" t="s">
        <v>168</v>
      </c>
      <c r="L16" s="18">
        <v>20909090.909090903</v>
      </c>
      <c r="M16" s="18">
        <v>2090909.0909090908</v>
      </c>
      <c r="N16" s="19"/>
      <c r="O16" s="18"/>
      <c r="P16" s="19"/>
      <c r="Q16" s="18"/>
      <c r="R16" s="18">
        <v>0</v>
      </c>
      <c r="S16" s="27">
        <v>22999999.999999996</v>
      </c>
      <c r="T16" s="18">
        <v>22999999.999999996</v>
      </c>
      <c r="U16" s="20">
        <v>46142</v>
      </c>
    </row>
    <row r="17" spans="1:21" ht="16.5" x14ac:dyDescent="0.3">
      <c r="A17" s="33"/>
      <c r="B17" s="37">
        <v>46080</v>
      </c>
      <c r="C17" s="37">
        <v>46129</v>
      </c>
      <c r="D17" s="16" t="s">
        <v>169</v>
      </c>
      <c r="E17" s="16" t="s">
        <v>170</v>
      </c>
      <c r="F17" s="17" t="s">
        <v>15</v>
      </c>
      <c r="G17" s="17" t="s">
        <v>16</v>
      </c>
      <c r="H17" s="17" t="s">
        <v>29</v>
      </c>
      <c r="I17" s="17">
        <v>1</v>
      </c>
      <c r="J17" s="16" t="s">
        <v>17</v>
      </c>
      <c r="K17" s="16" t="s">
        <v>171</v>
      </c>
      <c r="L17" s="18">
        <v>370000000</v>
      </c>
      <c r="M17" s="18">
        <v>37000000</v>
      </c>
      <c r="N17" s="19"/>
      <c r="O17" s="18"/>
      <c r="P17" s="19"/>
      <c r="Q17" s="18"/>
      <c r="R17" s="18">
        <v>0</v>
      </c>
      <c r="S17" s="27">
        <v>407000000</v>
      </c>
      <c r="T17" s="18">
        <v>407000000</v>
      </c>
      <c r="U17" s="20">
        <v>46142</v>
      </c>
    </row>
    <row r="18" spans="1:21" ht="16.5" x14ac:dyDescent="0.3">
      <c r="A18" s="33"/>
      <c r="B18" s="37">
        <v>46137</v>
      </c>
      <c r="C18" s="37">
        <v>46142</v>
      </c>
      <c r="D18" s="16" t="s">
        <v>172</v>
      </c>
      <c r="E18" s="16" t="s">
        <v>173</v>
      </c>
      <c r="F18" s="17" t="s">
        <v>60</v>
      </c>
      <c r="G18" s="17" t="s">
        <v>16</v>
      </c>
      <c r="H18" s="17" t="s">
        <v>174</v>
      </c>
      <c r="I18" s="17">
        <v>1</v>
      </c>
      <c r="J18" s="16" t="s">
        <v>77</v>
      </c>
      <c r="K18" s="16" t="s">
        <v>100</v>
      </c>
      <c r="L18" s="18">
        <v>63756000</v>
      </c>
      <c r="M18" s="18">
        <v>6375600</v>
      </c>
      <c r="N18" s="19"/>
      <c r="O18" s="18"/>
      <c r="P18" s="19"/>
      <c r="Q18" s="18"/>
      <c r="R18" s="18"/>
      <c r="S18" s="27">
        <v>70131600</v>
      </c>
      <c r="T18" s="18">
        <v>70131600</v>
      </c>
      <c r="U18" s="20">
        <v>46167</v>
      </c>
    </row>
    <row r="19" spans="1:21" ht="16.5" x14ac:dyDescent="0.3">
      <c r="A19" s="33"/>
      <c r="B19" s="37">
        <v>46165</v>
      </c>
      <c r="C19" s="37">
        <v>46167</v>
      </c>
      <c r="D19" s="16" t="s">
        <v>175</v>
      </c>
      <c r="E19" s="16" t="s">
        <v>176</v>
      </c>
      <c r="F19" s="17" t="s">
        <v>60</v>
      </c>
      <c r="G19" s="17" t="s">
        <v>16</v>
      </c>
      <c r="H19" s="17" t="s">
        <v>177</v>
      </c>
      <c r="I19" s="17">
        <v>1</v>
      </c>
      <c r="J19" s="16" t="s">
        <v>77</v>
      </c>
      <c r="K19" s="16" t="s">
        <v>100</v>
      </c>
      <c r="L19" s="18">
        <v>18672000</v>
      </c>
      <c r="M19" s="18">
        <v>1867200</v>
      </c>
      <c r="N19" s="19"/>
      <c r="O19" s="18"/>
      <c r="P19" s="19"/>
      <c r="Q19" s="18"/>
      <c r="R19" s="18"/>
      <c r="S19" s="27">
        <v>20539200</v>
      </c>
      <c r="T19" s="18">
        <v>20539200</v>
      </c>
      <c r="U19" s="20">
        <v>46167</v>
      </c>
    </row>
    <row r="20" spans="1:21" ht="16.5" x14ac:dyDescent="0.3">
      <c r="A20" s="33"/>
      <c r="B20" s="37">
        <v>46114</v>
      </c>
      <c r="C20" s="37">
        <v>46154</v>
      </c>
      <c r="D20" s="16" t="s">
        <v>184</v>
      </c>
      <c r="E20" s="16" t="s">
        <v>178</v>
      </c>
      <c r="F20" s="17" t="s">
        <v>15</v>
      </c>
      <c r="G20" s="17" t="s">
        <v>16</v>
      </c>
      <c r="H20" s="17" t="s">
        <v>179</v>
      </c>
      <c r="I20" s="17">
        <v>1</v>
      </c>
      <c r="J20" s="16" t="s">
        <v>180</v>
      </c>
      <c r="K20" s="16" t="s">
        <v>181</v>
      </c>
      <c r="L20" s="18">
        <v>30699999.999999996</v>
      </c>
      <c r="M20" s="18">
        <v>3070000</v>
      </c>
      <c r="N20" s="19"/>
      <c r="O20" s="18"/>
      <c r="P20" s="19"/>
      <c r="Q20" s="18"/>
      <c r="R20" s="18">
        <v>0</v>
      </c>
      <c r="S20" s="27">
        <v>33770000</v>
      </c>
      <c r="T20" s="18">
        <v>33770000</v>
      </c>
      <c r="U20" s="20">
        <v>46169</v>
      </c>
    </row>
    <row r="21" spans="1:21" ht="16.5" x14ac:dyDescent="0.3">
      <c r="A21" s="33"/>
      <c r="B21" s="37">
        <v>46173</v>
      </c>
      <c r="C21" s="37">
        <v>46173</v>
      </c>
      <c r="D21" s="16" t="s">
        <v>185</v>
      </c>
      <c r="E21" s="16"/>
      <c r="F21" s="17" t="s">
        <v>15</v>
      </c>
      <c r="G21" s="17" t="s">
        <v>16</v>
      </c>
      <c r="H21" s="17">
        <v>2400</v>
      </c>
      <c r="I21" s="17">
        <v>1</v>
      </c>
      <c r="J21" s="16" t="s">
        <v>88</v>
      </c>
      <c r="K21" s="16" t="s">
        <v>89</v>
      </c>
      <c r="L21" s="18">
        <v>328130000</v>
      </c>
      <c r="M21" s="18">
        <v>32813000</v>
      </c>
      <c r="N21" s="19"/>
      <c r="O21" s="18"/>
      <c r="P21" s="19"/>
      <c r="Q21" s="18"/>
      <c r="R21" s="18">
        <v>0</v>
      </c>
      <c r="S21" s="27">
        <v>360943000</v>
      </c>
      <c r="T21" s="18">
        <v>360943000</v>
      </c>
      <c r="U21" s="20">
        <v>46173</v>
      </c>
    </row>
    <row r="22" spans="1:21" ht="16.5" x14ac:dyDescent="0.3">
      <c r="A22" s="33"/>
      <c r="B22" s="37">
        <v>46174</v>
      </c>
      <c r="C22" s="37">
        <v>46174</v>
      </c>
      <c r="D22" s="16" t="s">
        <v>186</v>
      </c>
      <c r="E22" s="16" t="s">
        <v>151</v>
      </c>
      <c r="F22" s="17" t="s">
        <v>15</v>
      </c>
      <c r="G22" s="17" t="s">
        <v>24</v>
      </c>
      <c r="H22" s="17" t="s">
        <v>25</v>
      </c>
      <c r="I22" s="17">
        <v>1</v>
      </c>
      <c r="J22" s="16" t="s">
        <v>187</v>
      </c>
      <c r="K22" s="16" t="s">
        <v>147</v>
      </c>
      <c r="L22" s="18">
        <v>52113500</v>
      </c>
      <c r="M22" s="18">
        <v>5211350</v>
      </c>
      <c r="N22" s="19"/>
      <c r="O22" s="18"/>
      <c r="P22" s="19"/>
      <c r="Q22" s="18"/>
      <c r="R22" s="18">
        <v>0</v>
      </c>
      <c r="S22" s="27">
        <v>57324850</v>
      </c>
      <c r="T22" s="18">
        <v>57324850</v>
      </c>
      <c r="U22" s="20">
        <v>46173</v>
      </c>
    </row>
  </sheetData>
  <phoneticPr fontId="1" type="noConversion"/>
  <conditionalFormatting sqref="F1:F1048576">
    <cfRule type="containsText" dxfId="35" priority="2" operator="containsText" text="상수도">
      <formula>NOT(ISERROR(SEARCH("상수도",F1)))</formula>
    </cfRule>
    <cfRule type="containsText" dxfId="34" priority="3" operator="containsText" text="지역난방">
      <formula>NOT(ISERROR(SEARCH("지역난방",F1)))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6F401-ED5B-4D75-AB71-4F201EA80595}">
  <dimension ref="A1"/>
  <sheetViews>
    <sheetView workbookViewId="0">
      <selection activeCell="I24" sqref="I24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24985F-8AED-4453-B09F-39B63C6D28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계산서 미발행</vt:lpstr>
      <vt:lpstr>미수금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승리 백</dc:creator>
  <cp:lastModifiedBy>승리 백</cp:lastModifiedBy>
  <dcterms:created xsi:type="dcterms:W3CDTF">2026-06-01T02:07:49Z</dcterms:created>
  <dcterms:modified xsi:type="dcterms:W3CDTF">2026-06-02T04:45:36Z</dcterms:modified>
</cp:coreProperties>
</file>