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Dhcmain\(주)대호스토퍼\0영업사항(견적서)\AA지역별 견적현황\2025년\지역난방\한국지역난방공사\2025년 열수송관 천공 및 차단공사(1권역)\지사별 기성\1.용인\1회기성\"/>
    </mc:Choice>
  </mc:AlternateContent>
  <bookViews>
    <workbookView xWindow="-120" yWindow="-120" windowWidth="29040" windowHeight="15720" tabRatio="913"/>
  </bookViews>
  <sheets>
    <sheet name="내역서표지(용인)" sheetId="5" r:id="rId1"/>
    <sheet name="결과요약" sheetId="155" r:id="rId2"/>
    <sheet name="시공사별 금액" sheetId="156" r:id="rId3"/>
    <sheet name="기성정산내역 (용인)" sheetId="157" r:id="rId4"/>
    <sheet name="기성집계표" sheetId="158" r:id="rId5"/>
    <sheet name="기성총괄표(용인)" sheetId="73" r:id="rId6"/>
    <sheet name="기성내역서(용인)" sheetId="25" r:id="rId7"/>
    <sheet name="기성정산내역(중앙_2권역 대행)" sheetId="173" r:id="rId8"/>
    <sheet name="기성총괄표(중앙_2권역 대행)" sheetId="174" r:id="rId9"/>
    <sheet name="기성내역서(중앙_2권역 대행)" sheetId="175" r:id="rId10"/>
    <sheet name="수량산출서(중앙_2권역 대행)" sheetId="176" r:id="rId11"/>
    <sheet name="기성정산내역(수지-수원_시티_건가)" sheetId="159" r:id="rId12"/>
    <sheet name="기성총괄표(수지-수원_시티_건가)" sheetId="128" r:id="rId13"/>
    <sheet name="기성내역서(수지-수원_시티_건가)" sheetId="129" r:id="rId14"/>
    <sheet name="수량산출서(수지-수원_시티_건가)" sheetId="160" r:id="rId15"/>
    <sheet name="기성정산내역(2025열수송관_시티_건가)" sheetId="161" r:id="rId16"/>
    <sheet name="기성총괄표(2025열수송관_시티_건가)" sheetId="162" r:id="rId17"/>
    <sheet name="기성내역서(2025열수송관_시티_건가)" sheetId="163" r:id="rId18"/>
    <sheet name="수량산출서(2025열수송관_시티_건가)" sheetId="164" r:id="rId19"/>
    <sheet name="기성정산내역(2024용인_지성_제조)" sheetId="169" r:id="rId20"/>
    <sheet name="기성총괄표(2024용인_지성_제조)" sheetId="170" r:id="rId21"/>
    <sheet name="기성내역서(2024용인_지성_제조)" sheetId="171" r:id="rId22"/>
    <sheet name="수량산출서(2024용인_지성_제조)" sheetId="172" r:id="rId23"/>
    <sheet name="기성정산내역(2024용인_지성_건가)" sheetId="177" r:id="rId24"/>
    <sheet name="기성총괄표(2024용인_지성_건가)" sheetId="178" r:id="rId25"/>
    <sheet name="기성내역서(2024용인_지성_건가)" sheetId="179" r:id="rId26"/>
    <sheet name="수량산출서(2024용인_지성_건가)" sheetId="180" r:id="rId27"/>
    <sheet name="기성정산내역(2024용인_지성_예수금)" sheetId="185" r:id="rId28"/>
    <sheet name="기성총괄표(2024용인_지성_예수금)" sheetId="186" r:id="rId29"/>
    <sheet name="기성내역서(2024용인_지성_예수금)" sheetId="187" r:id="rId30"/>
    <sheet name="수량산출서(2024용인_지성_예수금)" sheetId="188" r:id="rId31"/>
  </sheets>
  <externalReferences>
    <externalReference r:id="rId32"/>
    <externalReference r:id="rId33"/>
  </externalReferences>
  <definedNames>
    <definedName name="_A146432" localSheetId="3">#REF!</definedName>
    <definedName name="_A146432" localSheetId="23">#REF!</definedName>
    <definedName name="_A146432" localSheetId="27">#REF!</definedName>
    <definedName name="_A146432" localSheetId="19">#REF!</definedName>
    <definedName name="_A146432" localSheetId="15">#REF!</definedName>
    <definedName name="_A146432" localSheetId="11">#REF!</definedName>
    <definedName name="_A146432" localSheetId="7">#REF!</definedName>
    <definedName name="_A69999" localSheetId="3">#REF!</definedName>
    <definedName name="_A69999" localSheetId="23">#REF!</definedName>
    <definedName name="_A69999" localSheetId="27">#REF!</definedName>
    <definedName name="_A69999" localSheetId="19">#REF!</definedName>
    <definedName name="_A69999" localSheetId="15">#REF!</definedName>
    <definedName name="_A69999" localSheetId="11">#REF!</definedName>
    <definedName name="_A69999" localSheetId="7">#REF!</definedName>
    <definedName name="_A70013" localSheetId="3">#REF!</definedName>
    <definedName name="_A70013" localSheetId="23">#REF!</definedName>
    <definedName name="_A70013" localSheetId="27">#REF!</definedName>
    <definedName name="_A70013" localSheetId="19">#REF!</definedName>
    <definedName name="_A70013" localSheetId="15">#REF!</definedName>
    <definedName name="_A70013" localSheetId="11">#REF!</definedName>
    <definedName name="_A70013" localSheetId="7">#REF!</definedName>
    <definedName name="_A946432" localSheetId="3">#REF!</definedName>
    <definedName name="_A946432" localSheetId="23">#REF!</definedName>
    <definedName name="_A946432" localSheetId="27">#REF!</definedName>
    <definedName name="_A946432" localSheetId="19">#REF!</definedName>
    <definedName name="_A946432" localSheetId="15">#REF!</definedName>
    <definedName name="_A946432" localSheetId="11">#REF!</definedName>
    <definedName name="_A946432" localSheetId="7">#REF!</definedName>
    <definedName name="_D800" localSheetId="3">#REF!</definedName>
    <definedName name="_D800" localSheetId="23">#REF!</definedName>
    <definedName name="_D800" localSheetId="27">#REF!</definedName>
    <definedName name="_D800" localSheetId="19">#REF!</definedName>
    <definedName name="_D800" localSheetId="15">#REF!</definedName>
    <definedName name="_D800" localSheetId="11">#REF!</definedName>
    <definedName name="_D800" localSheetId="7">#REF!</definedName>
    <definedName name="_Fill" localSheetId="1" hidden="1">#REF!</definedName>
    <definedName name="_Fill" localSheetId="3" hidden="1">#REF!</definedName>
    <definedName name="_Fill" localSheetId="23" hidden="1">#REF!</definedName>
    <definedName name="_Fill" localSheetId="27" hidden="1">#REF!</definedName>
    <definedName name="_Fill" localSheetId="19" hidden="1">#REF!</definedName>
    <definedName name="_Fill" localSheetId="15" hidden="1">#REF!</definedName>
    <definedName name="_Fill" localSheetId="11" hidden="1">#REF!</definedName>
    <definedName name="_Fill" localSheetId="7" hidden="1">#REF!</definedName>
    <definedName name="_Fill" localSheetId="26" hidden="1">#REF!</definedName>
    <definedName name="_Fill" localSheetId="30" hidden="1">#REF!</definedName>
    <definedName name="_Fill" localSheetId="22" hidden="1">#REF!</definedName>
    <definedName name="_Fill" localSheetId="18" hidden="1">#REF!</definedName>
    <definedName name="_Fill" localSheetId="14" hidden="1">#REF!</definedName>
    <definedName name="_Fill" localSheetId="10" hidden="1">#REF!</definedName>
    <definedName name="_Fill" localSheetId="2" hidden="1">#REF!</definedName>
    <definedName name="_Fill" hidden="1">#REF!</definedName>
    <definedName name="_xlnm._FilterDatabase" localSheetId="25" hidden="1">'기성내역서(2024용인_지성_건가)'!$A$4:$N$61</definedName>
    <definedName name="_xlnm._FilterDatabase" localSheetId="29" hidden="1">'기성내역서(2024용인_지성_예수금)'!$A$4:$N$61</definedName>
    <definedName name="_xlnm._FilterDatabase" localSheetId="21" hidden="1">'기성내역서(2024용인_지성_제조)'!$A$4:$N$61</definedName>
    <definedName name="_xlnm._FilterDatabase" localSheetId="17" hidden="1">'기성내역서(2025열수송관_시티_건가)'!$A$4:$N$61</definedName>
    <definedName name="_xlnm._FilterDatabase" localSheetId="13" hidden="1">'기성내역서(수지-수원_시티_건가)'!$A$4:$N$61</definedName>
    <definedName name="_xlnm._FilterDatabase" localSheetId="6" hidden="1">'기성내역서(용인)'!$A$4:$N$61</definedName>
    <definedName name="_xlnm._FilterDatabase" localSheetId="9" hidden="1">'기성내역서(중앙_2권역 대행)'!$A$4:$N$61</definedName>
    <definedName name="_Key1" localSheetId="3" hidden="1">#REF!</definedName>
    <definedName name="_Key1" localSheetId="23" hidden="1">#REF!</definedName>
    <definedName name="_Key1" localSheetId="27" hidden="1">#REF!</definedName>
    <definedName name="_Key1" localSheetId="19" hidden="1">#REF!</definedName>
    <definedName name="_Key1" localSheetId="15" hidden="1">#REF!</definedName>
    <definedName name="_Key1" localSheetId="11" hidden="1">#REF!</definedName>
    <definedName name="_Key1" localSheetId="7" hidden="1">#REF!</definedName>
    <definedName name="_Key2" localSheetId="3" hidden="1">#REF!</definedName>
    <definedName name="_Key2" localSheetId="23" hidden="1">#REF!</definedName>
    <definedName name="_Key2" localSheetId="27" hidden="1">#REF!</definedName>
    <definedName name="_Key2" localSheetId="19" hidden="1">#REF!</definedName>
    <definedName name="_Key2" localSheetId="15" hidden="1">#REF!</definedName>
    <definedName name="_Key2" localSheetId="11" hidden="1">#REF!</definedName>
    <definedName name="_Key2" localSheetId="7" hidden="1">#REF!</definedName>
    <definedName name="_Order1" hidden="1">255</definedName>
    <definedName name="_Order2" hidden="1">255</definedName>
    <definedName name="_Parse_Out" localSheetId="3" hidden="1">#REF!</definedName>
    <definedName name="_Parse_Out" localSheetId="23" hidden="1">#REF!</definedName>
    <definedName name="_Parse_Out" localSheetId="27" hidden="1">#REF!</definedName>
    <definedName name="_Parse_Out" localSheetId="19" hidden="1">#REF!</definedName>
    <definedName name="_Parse_Out" localSheetId="15" hidden="1">#REF!</definedName>
    <definedName name="_Parse_Out" localSheetId="11" hidden="1">#REF!</definedName>
    <definedName name="_Parse_Out" localSheetId="7" hidden="1">#REF!</definedName>
    <definedName name="_Regression_Int" hidden="1">1</definedName>
    <definedName name="_Sort" localSheetId="3" hidden="1">#REF!</definedName>
    <definedName name="_Sort" localSheetId="23" hidden="1">#REF!</definedName>
    <definedName name="_Sort" localSheetId="27" hidden="1">#REF!</definedName>
    <definedName name="_Sort" localSheetId="19" hidden="1">#REF!</definedName>
    <definedName name="_Sort" localSheetId="15" hidden="1">#REF!</definedName>
    <definedName name="_Sort" localSheetId="11" hidden="1">#REF!</definedName>
    <definedName name="_Sort" localSheetId="7" hidden="1">#REF!</definedName>
    <definedName name="¿i·Iº¹≫c" localSheetId="3">#REF!</definedName>
    <definedName name="¿i·Iº¹≫c" localSheetId="23">#REF!</definedName>
    <definedName name="¿i·Iº¹≫c" localSheetId="27">#REF!</definedName>
    <definedName name="¿i·Iº¹≫c" localSheetId="19">#REF!</definedName>
    <definedName name="¿i·Iº¹≫c" localSheetId="15">#REF!</definedName>
    <definedName name="¿i·Iº¹≫c" localSheetId="11">#REF!</definedName>
    <definedName name="¿i·Iº¹≫c" localSheetId="7">#REF!</definedName>
    <definedName name="a">#REF!</definedName>
    <definedName name="AccessDatabase" hidden="1">"C:\홍성일\주간공정\96-10142.mdb"</definedName>
    <definedName name="AI¼a" localSheetId="3">#REF!</definedName>
    <definedName name="AI¼a" localSheetId="23">#REF!</definedName>
    <definedName name="AI¼a" localSheetId="27">#REF!</definedName>
    <definedName name="AI¼a" localSheetId="19">#REF!</definedName>
    <definedName name="AI¼a" localSheetId="15">#REF!</definedName>
    <definedName name="AI¼a" localSheetId="11">#REF!</definedName>
    <definedName name="AI¼a" localSheetId="7">#REF!</definedName>
    <definedName name="ÀÎ¼â" localSheetId="3">#REF!</definedName>
    <definedName name="ÀÎ¼â" localSheetId="23">#REF!</definedName>
    <definedName name="ÀÎ¼â" localSheetId="27">#REF!</definedName>
    <definedName name="ÀÎ¼â" localSheetId="19">#REF!</definedName>
    <definedName name="ÀÎ¼â" localSheetId="15">#REF!</definedName>
    <definedName name="ÀÎ¼â" localSheetId="11">#REF!</definedName>
    <definedName name="ÀÎ¼â" localSheetId="7">#REF!</definedName>
    <definedName name="Ao¿i±a" localSheetId="3">#REF!</definedName>
    <definedName name="Ao¿i±a" localSheetId="23">#REF!</definedName>
    <definedName name="Ao¿i±a" localSheetId="27">#REF!</definedName>
    <definedName name="Ao¿i±a" localSheetId="19">#REF!</definedName>
    <definedName name="Ao¿i±a" localSheetId="15">#REF!</definedName>
    <definedName name="Ao¿i±a" localSheetId="11">#REF!</definedName>
    <definedName name="Ao¿i±a" localSheetId="7">#REF!</definedName>
    <definedName name="Áö¿ì±â" localSheetId="3">#REF!</definedName>
    <definedName name="Áö¿ì±â" localSheetId="23">#REF!</definedName>
    <definedName name="Áö¿ì±â" localSheetId="27">#REF!</definedName>
    <definedName name="Áö¿ì±â" localSheetId="19">#REF!</definedName>
    <definedName name="Áö¿ì±â" localSheetId="15">#REF!</definedName>
    <definedName name="Áö¿ì±â" localSheetId="11">#REF!</definedName>
    <definedName name="Áö¿ì±â" localSheetId="7">#REF!</definedName>
    <definedName name="b">#REF!</definedName>
    <definedName name="DANGA">#REF!,#REF!</definedName>
    <definedName name="_xlnm.Database" localSheetId="1">#REF!</definedName>
    <definedName name="_xlnm.Database" localSheetId="3">#REF!</definedName>
    <definedName name="_xlnm.Database" localSheetId="23">#REF!</definedName>
    <definedName name="_xlnm.Database" localSheetId="27">#REF!</definedName>
    <definedName name="_xlnm.Database" localSheetId="19">#REF!</definedName>
    <definedName name="_xlnm.Database" localSheetId="15">#REF!</definedName>
    <definedName name="_xlnm.Database" localSheetId="11">#REF!</definedName>
    <definedName name="_xlnm.Database" localSheetId="7">#REF!</definedName>
    <definedName name="_xlnm.Database" localSheetId="26">#REF!</definedName>
    <definedName name="_xlnm.Database" localSheetId="30">#REF!</definedName>
    <definedName name="_xlnm.Database" localSheetId="22">#REF!</definedName>
    <definedName name="_xlnm.Database" localSheetId="18">#REF!</definedName>
    <definedName name="_xlnm.Database" localSheetId="14">#REF!</definedName>
    <definedName name="_xlnm.Database" localSheetId="10">#REF!</definedName>
    <definedName name="_xlnm.Database" localSheetId="2">#REF!</definedName>
    <definedName name="_xlnm.Database">#REF!</definedName>
    <definedName name="dkdkdkdkd" localSheetId="1" hidden="1">{#N/A,#N/A,FALSE,"명세표"}</definedName>
    <definedName name="dkdkdkdkd" localSheetId="3" hidden="1">{#N/A,#N/A,FALSE,"명세표"}</definedName>
    <definedName name="dkdkdkdkd" localSheetId="23" hidden="1">{#N/A,#N/A,FALSE,"명세표"}</definedName>
    <definedName name="dkdkdkdkd" localSheetId="27" hidden="1">{#N/A,#N/A,FALSE,"명세표"}</definedName>
    <definedName name="dkdkdkdkd" localSheetId="19" hidden="1">{#N/A,#N/A,FALSE,"명세표"}</definedName>
    <definedName name="dkdkdkdkd" localSheetId="15" hidden="1">{#N/A,#N/A,FALSE,"명세표"}</definedName>
    <definedName name="dkdkdkdkd" localSheetId="11" hidden="1">{#N/A,#N/A,FALSE,"명세표"}</definedName>
    <definedName name="dkdkdkdkd" localSheetId="7" hidden="1">{#N/A,#N/A,FALSE,"명세표"}</definedName>
    <definedName name="dkdkdkdkd" localSheetId="4" hidden="1">{#N/A,#N/A,FALSE,"명세표"}</definedName>
    <definedName name="dkdkdkdkd" localSheetId="26" hidden="1">{#N/A,#N/A,FALSE,"명세표"}</definedName>
    <definedName name="dkdkdkdkd" localSheetId="30" hidden="1">{#N/A,#N/A,FALSE,"명세표"}</definedName>
    <definedName name="dkdkdkdkd" localSheetId="22" hidden="1">{#N/A,#N/A,FALSE,"명세표"}</definedName>
    <definedName name="dkdkdkdkd" localSheetId="18" hidden="1">{#N/A,#N/A,FALSE,"명세표"}</definedName>
    <definedName name="dkdkdkdkd" localSheetId="14" hidden="1">{#N/A,#N/A,FALSE,"명세표"}</definedName>
    <definedName name="dkdkdkdkd" localSheetId="10" hidden="1">{#N/A,#N/A,FALSE,"명세표"}</definedName>
    <definedName name="dkdkdkdkd" localSheetId="2" hidden="1">{#N/A,#N/A,FALSE,"명세표"}</definedName>
    <definedName name="dkdkdkdkd" hidden="1">{#N/A,#N/A,FALSE,"명세표"}</definedName>
    <definedName name="faCTOR" localSheetId="3">#REF!</definedName>
    <definedName name="faCTOR" localSheetId="23">#REF!</definedName>
    <definedName name="faCTOR" localSheetId="27">#REF!</definedName>
    <definedName name="faCTOR" localSheetId="19">#REF!</definedName>
    <definedName name="faCTOR" localSheetId="15">#REF!</definedName>
    <definedName name="faCTOR" localSheetId="11">#REF!</definedName>
    <definedName name="faCTOR" localSheetId="7">#REF!</definedName>
    <definedName name="HTML_CodePage" hidden="1">949</definedName>
    <definedName name="HTML_Control" localSheetId="1" hidden="1">{"'Prog-Plot'!$A$1:$P$35"}</definedName>
    <definedName name="HTML_Control" localSheetId="3" hidden="1">{"'Prog-Plot'!$A$1:$P$35"}</definedName>
    <definedName name="HTML_Control" localSheetId="23" hidden="1">{"'Prog-Plot'!$A$1:$P$35"}</definedName>
    <definedName name="HTML_Control" localSheetId="27" hidden="1">{"'Prog-Plot'!$A$1:$P$35"}</definedName>
    <definedName name="HTML_Control" localSheetId="19" hidden="1">{"'Prog-Plot'!$A$1:$P$35"}</definedName>
    <definedName name="HTML_Control" localSheetId="15" hidden="1">{"'Prog-Plot'!$A$1:$P$35"}</definedName>
    <definedName name="HTML_Control" localSheetId="11" hidden="1">{"'Prog-Plot'!$A$1:$P$35"}</definedName>
    <definedName name="HTML_Control" localSheetId="7" hidden="1">{"'Prog-Plot'!$A$1:$P$35"}</definedName>
    <definedName name="HTML_Control" localSheetId="4" hidden="1">{"'Prog-Plot'!$A$1:$P$35"}</definedName>
    <definedName name="HTML_Control" localSheetId="26" hidden="1">{"'Prog-Plot'!$A$1:$P$35"}</definedName>
    <definedName name="HTML_Control" localSheetId="30" hidden="1">{"'Prog-Plot'!$A$1:$P$35"}</definedName>
    <definedName name="HTML_Control" localSheetId="22" hidden="1">{"'Prog-Plot'!$A$1:$P$35"}</definedName>
    <definedName name="HTML_Control" localSheetId="18" hidden="1">{"'Prog-Plot'!$A$1:$P$35"}</definedName>
    <definedName name="HTML_Control" localSheetId="14" hidden="1">{"'Prog-Plot'!$A$1:$P$35"}</definedName>
    <definedName name="HTML_Control" localSheetId="10" hidden="1">{"'Prog-Plot'!$A$1:$P$35"}</definedName>
    <definedName name="HTML_Control" localSheetId="2" hidden="1">{"'Prog-Plot'!$A$1:$P$35"}</definedName>
    <definedName name="HTML_Control" hidden="1">{"'Prog-Plot'!$A$1:$P$35"}</definedName>
    <definedName name="HTML_Description" hidden="1">""</definedName>
    <definedName name="HTML_Email" hidden="1">""</definedName>
    <definedName name="HTML_Header" hidden="1">"Prog-Plot"</definedName>
    <definedName name="HTML_LastUpdate" hidden="1">"2002-04-12"</definedName>
    <definedName name="HTML_LineAfter" hidden="1">FALSE</definedName>
    <definedName name="HTML_LineBefore" hidden="1">FALSE</definedName>
    <definedName name="HTML_Name" hidden="1">"daelim"</definedName>
    <definedName name="HTML_OBDlg2" hidden="1">TRUE</definedName>
    <definedName name="HTML_OBDlg4" hidden="1">TRUE</definedName>
    <definedName name="HTML_OS" hidden="1">0</definedName>
    <definedName name="HTML_PathFile" hidden="1">"C:\basf_tdi\environment\MyHTML.htm"</definedName>
    <definedName name="HTML_Title" hidden="1">"Progress calculation"</definedName>
    <definedName name="ID">#REF!,#REF!</definedName>
    <definedName name="ITEM">#REF!</definedName>
    <definedName name="MAIN" localSheetId="1">결과요약!MAIN</definedName>
    <definedName name="MIN.XLS" localSheetId="3">#REF!</definedName>
    <definedName name="MIN.XLS" localSheetId="23">#REF!</definedName>
    <definedName name="MIN.XLS" localSheetId="27">#REF!</definedName>
    <definedName name="MIN.XLS" localSheetId="19">#REF!</definedName>
    <definedName name="MIN.XLS" localSheetId="15">#REF!</definedName>
    <definedName name="MIN.XLS" localSheetId="11">#REF!</definedName>
    <definedName name="MIN.XLS" localSheetId="7">#REF!</definedName>
    <definedName name="MONEY">#REF!,#REF!</definedName>
    <definedName name="º¹≫c" localSheetId="3">#REF!</definedName>
    <definedName name="º¹≫c" localSheetId="23">#REF!</definedName>
    <definedName name="º¹≫c" localSheetId="27">#REF!</definedName>
    <definedName name="º¹≫c" localSheetId="19">#REF!</definedName>
    <definedName name="º¹≫c" localSheetId="15">#REF!</definedName>
    <definedName name="º¹≫c" localSheetId="11">#REF!</definedName>
    <definedName name="º¹≫c" localSheetId="7">#REF!</definedName>
    <definedName name="º¹≫cAØºn" localSheetId="3">#REF!</definedName>
    <definedName name="º¹≫cAØºn" localSheetId="23">#REF!</definedName>
    <definedName name="º¹≫cAØºn" localSheetId="27">#REF!</definedName>
    <definedName name="º¹≫cAØºn" localSheetId="19">#REF!</definedName>
    <definedName name="º¹≫cAØºn" localSheetId="15">#REF!</definedName>
    <definedName name="º¹≫cAØºn" localSheetId="11">#REF!</definedName>
    <definedName name="º¹≫cAØºn" localSheetId="7">#REF!</definedName>
    <definedName name="Pr" localSheetId="3">#REF!</definedName>
    <definedName name="Pr" localSheetId="23">#REF!</definedName>
    <definedName name="Pr" localSheetId="27">#REF!</definedName>
    <definedName name="Pr" localSheetId="19">#REF!</definedName>
    <definedName name="Pr" localSheetId="15">#REF!</definedName>
    <definedName name="Pr" localSheetId="11">#REF!</definedName>
    <definedName name="Pr" localSheetId="7">#REF!</definedName>
    <definedName name="_xlnm.Print_Area" localSheetId="1">결과요약!$A$1:$E$19</definedName>
    <definedName name="_xlnm.Print_Area" localSheetId="25">'기성내역서(2024용인_지성_건가)'!$A$1:$N$61</definedName>
    <definedName name="_xlnm.Print_Area" localSheetId="29">'기성내역서(2024용인_지성_예수금)'!$A$1:$N$61</definedName>
    <definedName name="_xlnm.Print_Area" localSheetId="21">'기성내역서(2024용인_지성_제조)'!$A$1:$N$61</definedName>
    <definedName name="_xlnm.Print_Area" localSheetId="17">'기성내역서(2025열수송관_시티_건가)'!$A$1:$N$61</definedName>
    <definedName name="_xlnm.Print_Area" localSheetId="13">'기성내역서(수지-수원_시티_건가)'!$A$1:$N$61</definedName>
    <definedName name="_xlnm.Print_Area" localSheetId="6">'기성내역서(용인)'!$A$1:$N$61</definedName>
    <definedName name="_xlnm.Print_Area" localSheetId="9">'기성내역서(중앙_2권역 대행)'!$A$1:$N$61</definedName>
    <definedName name="_xlnm.Print_Area" localSheetId="3">'기성정산내역 (용인)'!$A$1:$N$35</definedName>
    <definedName name="_xlnm.Print_Area" localSheetId="23">'기성정산내역(2024용인_지성_건가)'!$A$1:$M$35</definedName>
    <definedName name="_xlnm.Print_Area" localSheetId="27">'기성정산내역(2024용인_지성_예수금)'!$A$1:$M$35</definedName>
    <definedName name="_xlnm.Print_Area" localSheetId="19">'기성정산내역(2024용인_지성_제조)'!$A$1:$M$35</definedName>
    <definedName name="_xlnm.Print_Area" localSheetId="15">'기성정산내역(2025열수송관_시티_건가)'!$A$1:$M$35</definedName>
    <definedName name="_xlnm.Print_Area" localSheetId="11">'기성정산내역(수지-수원_시티_건가)'!$A$1:$M$35</definedName>
    <definedName name="_xlnm.Print_Area" localSheetId="7">'기성정산내역(중앙_2권역 대행)'!$A$1:$M$35</definedName>
    <definedName name="_xlnm.Print_Area" localSheetId="4">기성집계표!$A$1:$N$61</definedName>
    <definedName name="_xlnm.Print_Area" localSheetId="24">'기성총괄표(2024용인_지성_건가)'!$A$1:$N$38</definedName>
    <definedName name="_xlnm.Print_Area" localSheetId="28">'기성총괄표(2024용인_지성_예수금)'!$A$1:$N$38</definedName>
    <definedName name="_xlnm.Print_Area" localSheetId="20">'기성총괄표(2024용인_지성_제조)'!$A$1:$N$38</definedName>
    <definedName name="_xlnm.Print_Area" localSheetId="16">'기성총괄표(2025열수송관_시티_건가)'!$A$1:$N$38</definedName>
    <definedName name="_xlnm.Print_Area" localSheetId="12">'기성총괄표(수지-수원_시티_건가)'!$A$1:$N$38</definedName>
    <definedName name="_xlnm.Print_Area" localSheetId="5">'기성총괄표(용인)'!$A$1:$N$38</definedName>
    <definedName name="_xlnm.Print_Area" localSheetId="8">'기성총괄표(중앙_2권역 대행)'!$A$1:$N$38</definedName>
    <definedName name="_xlnm.Print_Area" localSheetId="26">'수량산출서(2024용인_지성_건가)'!$A$1:$I$11</definedName>
    <definedName name="_xlnm.Print_Area" localSheetId="30">'수량산출서(2024용인_지성_예수금)'!$A$1:$I$11</definedName>
    <definedName name="_xlnm.Print_Area" localSheetId="22">'수량산출서(2024용인_지성_제조)'!$A$1:$I$11</definedName>
    <definedName name="_xlnm.Print_Area" localSheetId="18">'수량산출서(2025열수송관_시티_건가)'!$A$1:$I$14</definedName>
    <definedName name="_xlnm.Print_Area" localSheetId="14">'수량산출서(수지-수원_시티_건가)'!$A$1:$I$13</definedName>
    <definedName name="_xlnm.Print_Area" localSheetId="10">'수량산출서(중앙_2권역 대행)'!$A$1:$I$11</definedName>
    <definedName name="_xlnm.Print_Area" localSheetId="2">'시공사별 금액'!$A$1:$D$10</definedName>
    <definedName name="_xlnm.Print_Titles" localSheetId="1">#REF!</definedName>
    <definedName name="_xlnm.Print_Titles" localSheetId="25">'기성내역서(2024용인_지성_건가)'!$1:$4</definedName>
    <definedName name="_xlnm.Print_Titles" localSheetId="29">'기성내역서(2024용인_지성_예수금)'!$1:$4</definedName>
    <definedName name="_xlnm.Print_Titles" localSheetId="21">'기성내역서(2024용인_지성_제조)'!$1:$4</definedName>
    <definedName name="_xlnm.Print_Titles" localSheetId="17">'기성내역서(2025열수송관_시티_건가)'!$1:$4</definedName>
    <definedName name="_xlnm.Print_Titles" localSheetId="13">'기성내역서(수지-수원_시티_건가)'!$1:$4</definedName>
    <definedName name="_xlnm.Print_Titles" localSheetId="6">'기성내역서(용인)'!$1:$4</definedName>
    <definedName name="_xlnm.Print_Titles" localSheetId="9">'기성내역서(중앙_2권역 대행)'!$1:$4</definedName>
    <definedName name="_xlnm.Print_Titles" localSheetId="3">'기성정산내역 (용인)'!$1:$3</definedName>
    <definedName name="_xlnm.Print_Titles" localSheetId="23">'기성정산내역(2024용인_지성_건가)'!$1:$3</definedName>
    <definedName name="_xlnm.Print_Titles" localSheetId="27">'기성정산내역(2024용인_지성_예수금)'!$1:$3</definedName>
    <definedName name="_xlnm.Print_Titles" localSheetId="19">'기성정산내역(2024용인_지성_제조)'!$1:$3</definedName>
    <definedName name="_xlnm.Print_Titles" localSheetId="15">'기성정산내역(2025열수송관_시티_건가)'!$1:$3</definedName>
    <definedName name="_xlnm.Print_Titles" localSheetId="11">'기성정산내역(수지-수원_시티_건가)'!$1:$3</definedName>
    <definedName name="_xlnm.Print_Titles" localSheetId="7">'기성정산내역(중앙_2권역 대행)'!$1:$3</definedName>
    <definedName name="_xlnm.Print_Titles" localSheetId="4">기성집계표!$1:$4</definedName>
    <definedName name="_xlnm.Print_Titles" localSheetId="26">#REF!</definedName>
    <definedName name="_xlnm.Print_Titles" localSheetId="30">#REF!</definedName>
    <definedName name="_xlnm.Print_Titles" localSheetId="22">#REF!</definedName>
    <definedName name="_xlnm.Print_Titles" localSheetId="18">#REF!</definedName>
    <definedName name="_xlnm.Print_Titles" localSheetId="14">#REF!</definedName>
    <definedName name="_xlnm.Print_Titles" localSheetId="10">#REF!</definedName>
    <definedName name="_xlnm.Print_Titles" localSheetId="2">#REF!</definedName>
    <definedName name="_xlnm.Print_Titles">#REF!</definedName>
    <definedName name="qkqh1" localSheetId="1" hidden="1">{#N/A,#N/A,FALSE,"명세표"}</definedName>
    <definedName name="qkqh1" localSheetId="3" hidden="1">{#N/A,#N/A,FALSE,"명세표"}</definedName>
    <definedName name="qkqh1" localSheetId="23" hidden="1">{#N/A,#N/A,FALSE,"명세표"}</definedName>
    <definedName name="qkqh1" localSheetId="27" hidden="1">{#N/A,#N/A,FALSE,"명세표"}</definedName>
    <definedName name="qkqh1" localSheetId="19" hidden="1">{#N/A,#N/A,FALSE,"명세표"}</definedName>
    <definedName name="qkqh1" localSheetId="15" hidden="1">{#N/A,#N/A,FALSE,"명세표"}</definedName>
    <definedName name="qkqh1" localSheetId="11" hidden="1">{#N/A,#N/A,FALSE,"명세표"}</definedName>
    <definedName name="qkqh1" localSheetId="7" hidden="1">{#N/A,#N/A,FALSE,"명세표"}</definedName>
    <definedName name="qkqh1" localSheetId="4" hidden="1">{#N/A,#N/A,FALSE,"명세표"}</definedName>
    <definedName name="qkqh1" localSheetId="26" hidden="1">{#N/A,#N/A,FALSE,"명세표"}</definedName>
    <definedName name="qkqh1" localSheetId="30" hidden="1">{#N/A,#N/A,FALSE,"명세표"}</definedName>
    <definedName name="qkqh1" localSheetId="22" hidden="1">{#N/A,#N/A,FALSE,"명세표"}</definedName>
    <definedName name="qkqh1" localSheetId="18" hidden="1">{#N/A,#N/A,FALSE,"명세표"}</definedName>
    <definedName name="qkqh1" localSheetId="14" hidden="1">{#N/A,#N/A,FALSE,"명세표"}</definedName>
    <definedName name="qkqh1" localSheetId="10" hidden="1">{#N/A,#N/A,FALSE,"명세표"}</definedName>
    <definedName name="qkqh1" localSheetId="2" hidden="1">{#N/A,#N/A,FALSE,"명세표"}</definedName>
    <definedName name="qkqh1" hidden="1">{#N/A,#N/A,FALSE,"명세표"}</definedName>
    <definedName name="Royalty" localSheetId="1" hidden="1">{#N/A,#N/A,FALSE,"Sheet1"}</definedName>
    <definedName name="SIZE">#REF!</definedName>
    <definedName name="WLQ" localSheetId="1" hidden="1">{#N/A,#N/A,FALSE,"명세표"}</definedName>
    <definedName name="WLQ" localSheetId="3" hidden="1">{#N/A,#N/A,FALSE,"명세표"}</definedName>
    <definedName name="WLQ" localSheetId="23" hidden="1">{#N/A,#N/A,FALSE,"명세표"}</definedName>
    <definedName name="WLQ" localSheetId="27" hidden="1">{#N/A,#N/A,FALSE,"명세표"}</definedName>
    <definedName name="WLQ" localSheetId="19" hidden="1">{#N/A,#N/A,FALSE,"명세표"}</definedName>
    <definedName name="WLQ" localSheetId="15" hidden="1">{#N/A,#N/A,FALSE,"명세표"}</definedName>
    <definedName name="WLQ" localSheetId="11" hidden="1">{#N/A,#N/A,FALSE,"명세표"}</definedName>
    <definedName name="WLQ" localSheetId="7" hidden="1">{#N/A,#N/A,FALSE,"명세표"}</definedName>
    <definedName name="WLQ" localSheetId="4" hidden="1">{#N/A,#N/A,FALSE,"명세표"}</definedName>
    <definedName name="WLQ" localSheetId="26" hidden="1">{#N/A,#N/A,FALSE,"명세표"}</definedName>
    <definedName name="WLQ" localSheetId="30" hidden="1">{#N/A,#N/A,FALSE,"명세표"}</definedName>
    <definedName name="WLQ" localSheetId="22" hidden="1">{#N/A,#N/A,FALSE,"명세표"}</definedName>
    <definedName name="WLQ" localSheetId="18" hidden="1">{#N/A,#N/A,FALSE,"명세표"}</definedName>
    <definedName name="WLQ" localSheetId="14" hidden="1">{#N/A,#N/A,FALSE,"명세표"}</definedName>
    <definedName name="WLQ" localSheetId="10" hidden="1">{#N/A,#N/A,FALSE,"명세표"}</definedName>
    <definedName name="WLQ" localSheetId="2" hidden="1">{#N/A,#N/A,FALSE,"명세표"}</definedName>
    <definedName name="WLQ" hidden="1">{#N/A,#N/A,FALSE,"명세표"}</definedName>
    <definedName name="wrn.test1." localSheetId="1" hidden="1">{#N/A,#N/A,FALSE,"명세표"}</definedName>
    <definedName name="wrn.test1." localSheetId="3" hidden="1">{#N/A,#N/A,FALSE,"명세표"}</definedName>
    <definedName name="wrn.test1." localSheetId="23" hidden="1">{#N/A,#N/A,FALSE,"명세표"}</definedName>
    <definedName name="wrn.test1." localSheetId="27" hidden="1">{#N/A,#N/A,FALSE,"명세표"}</definedName>
    <definedName name="wrn.test1." localSheetId="19" hidden="1">{#N/A,#N/A,FALSE,"명세표"}</definedName>
    <definedName name="wrn.test1." localSheetId="15" hidden="1">{#N/A,#N/A,FALSE,"명세표"}</definedName>
    <definedName name="wrn.test1." localSheetId="11" hidden="1">{#N/A,#N/A,FALSE,"명세표"}</definedName>
    <definedName name="wrn.test1." localSheetId="7" hidden="1">{#N/A,#N/A,FALSE,"명세표"}</definedName>
    <definedName name="wrn.test1." localSheetId="4" hidden="1">{#N/A,#N/A,FALSE,"명세표"}</definedName>
    <definedName name="wrn.test1." localSheetId="26" hidden="1">{#N/A,#N/A,FALSE,"명세표"}</definedName>
    <definedName name="wrn.test1." localSheetId="30" hidden="1">{#N/A,#N/A,FALSE,"명세표"}</definedName>
    <definedName name="wrn.test1." localSheetId="22" hidden="1">{#N/A,#N/A,FALSE,"명세표"}</definedName>
    <definedName name="wrn.test1." localSheetId="18" hidden="1">{#N/A,#N/A,FALSE,"명세표"}</definedName>
    <definedName name="wrn.test1." localSheetId="14" hidden="1">{#N/A,#N/A,FALSE,"명세표"}</definedName>
    <definedName name="wrn.test1." localSheetId="10" hidden="1">{#N/A,#N/A,FALSE,"명세표"}</definedName>
    <definedName name="wrn.test1." localSheetId="2" hidden="1">{#N/A,#N/A,FALSE,"명세표"}</definedName>
    <definedName name="wrn.test1." hidden="1">{#N/A,#N/A,FALSE,"명세표"}</definedName>
    <definedName name="wrn.통신지." localSheetId="1" hidden="1">{#N/A,#N/A,FALSE,"기안지";#N/A,#N/A,FALSE,"통신지"}</definedName>
    <definedName name="wrn.통신지." localSheetId="3" hidden="1">{#N/A,#N/A,FALSE,"기안지";#N/A,#N/A,FALSE,"통신지"}</definedName>
    <definedName name="wrn.통신지." localSheetId="23" hidden="1">{#N/A,#N/A,FALSE,"기안지";#N/A,#N/A,FALSE,"통신지"}</definedName>
    <definedName name="wrn.통신지." localSheetId="27" hidden="1">{#N/A,#N/A,FALSE,"기안지";#N/A,#N/A,FALSE,"통신지"}</definedName>
    <definedName name="wrn.통신지." localSheetId="19" hidden="1">{#N/A,#N/A,FALSE,"기안지";#N/A,#N/A,FALSE,"통신지"}</definedName>
    <definedName name="wrn.통신지." localSheetId="15" hidden="1">{#N/A,#N/A,FALSE,"기안지";#N/A,#N/A,FALSE,"통신지"}</definedName>
    <definedName name="wrn.통신지." localSheetId="11" hidden="1">{#N/A,#N/A,FALSE,"기안지";#N/A,#N/A,FALSE,"통신지"}</definedName>
    <definedName name="wrn.통신지." localSheetId="7" hidden="1">{#N/A,#N/A,FALSE,"기안지";#N/A,#N/A,FALSE,"통신지"}</definedName>
    <definedName name="wrn.통신지." localSheetId="4" hidden="1">{#N/A,#N/A,FALSE,"기안지";#N/A,#N/A,FALSE,"통신지"}</definedName>
    <definedName name="wrn.통신지." localSheetId="26" hidden="1">{#N/A,#N/A,FALSE,"기안지";#N/A,#N/A,FALSE,"통신지"}</definedName>
    <definedName name="wrn.통신지." localSheetId="30" hidden="1">{#N/A,#N/A,FALSE,"기안지";#N/A,#N/A,FALSE,"통신지"}</definedName>
    <definedName name="wrn.통신지." localSheetId="22" hidden="1">{#N/A,#N/A,FALSE,"기안지";#N/A,#N/A,FALSE,"통신지"}</definedName>
    <definedName name="wrn.통신지." localSheetId="18" hidden="1">{#N/A,#N/A,FALSE,"기안지";#N/A,#N/A,FALSE,"통신지"}</definedName>
    <definedName name="wrn.통신지." localSheetId="14" hidden="1">{#N/A,#N/A,FALSE,"기안지";#N/A,#N/A,FALSE,"통신지"}</definedName>
    <definedName name="wrn.통신지." localSheetId="10" hidden="1">{#N/A,#N/A,FALSE,"기안지";#N/A,#N/A,FALSE,"통신지"}</definedName>
    <definedName name="wrn.통신지." localSheetId="2" hidden="1">{#N/A,#N/A,FALSE,"기안지";#N/A,#N/A,FALSE,"통신지"}</definedName>
    <definedName name="wrn.통신지." hidden="1">{#N/A,#N/A,FALSE,"기안지";#N/A,#N/A,FALSE,"통신지"}</definedName>
    <definedName name="wrn.현장._.NCR._.분석." localSheetId="1" hidden="1">{#N/A,#N/A,FALSE,"현장 NCR 분석";#N/A,#N/A,FALSE,"현장품질감사";#N/A,#N/A,FALSE,"현장품질감사"}</definedName>
    <definedName name="wrn.현장._.NCR._.분석." localSheetId="3" hidden="1">{#N/A,#N/A,FALSE,"현장 NCR 분석";#N/A,#N/A,FALSE,"현장품질감사";#N/A,#N/A,FALSE,"현장품질감사"}</definedName>
    <definedName name="wrn.현장._.NCR._.분석." localSheetId="23" hidden="1">{#N/A,#N/A,FALSE,"현장 NCR 분석";#N/A,#N/A,FALSE,"현장품질감사";#N/A,#N/A,FALSE,"현장품질감사"}</definedName>
    <definedName name="wrn.현장._.NCR._.분석." localSheetId="27" hidden="1">{#N/A,#N/A,FALSE,"현장 NCR 분석";#N/A,#N/A,FALSE,"현장품질감사";#N/A,#N/A,FALSE,"현장품질감사"}</definedName>
    <definedName name="wrn.현장._.NCR._.분석." localSheetId="19" hidden="1">{#N/A,#N/A,FALSE,"현장 NCR 분석";#N/A,#N/A,FALSE,"현장품질감사";#N/A,#N/A,FALSE,"현장품질감사"}</definedName>
    <definedName name="wrn.현장._.NCR._.분석." localSheetId="15" hidden="1">{#N/A,#N/A,FALSE,"현장 NCR 분석";#N/A,#N/A,FALSE,"현장품질감사";#N/A,#N/A,FALSE,"현장품질감사"}</definedName>
    <definedName name="wrn.현장._.NCR._.분석." localSheetId="11" hidden="1">{#N/A,#N/A,FALSE,"현장 NCR 분석";#N/A,#N/A,FALSE,"현장품질감사";#N/A,#N/A,FALSE,"현장품질감사"}</definedName>
    <definedName name="wrn.현장._.NCR._.분석." localSheetId="7" hidden="1">{#N/A,#N/A,FALSE,"현장 NCR 분석";#N/A,#N/A,FALSE,"현장품질감사";#N/A,#N/A,FALSE,"현장품질감사"}</definedName>
    <definedName name="wrn.현장._.NCR._.분석." localSheetId="4" hidden="1">{#N/A,#N/A,FALSE,"현장 NCR 분석";#N/A,#N/A,FALSE,"현장품질감사";#N/A,#N/A,FALSE,"현장품질감사"}</definedName>
    <definedName name="wrn.현장._.NCR._.분석." localSheetId="26" hidden="1">{#N/A,#N/A,FALSE,"현장 NCR 분석";#N/A,#N/A,FALSE,"현장품질감사";#N/A,#N/A,FALSE,"현장품질감사"}</definedName>
    <definedName name="wrn.현장._.NCR._.분석." localSheetId="30" hidden="1">{#N/A,#N/A,FALSE,"현장 NCR 분석";#N/A,#N/A,FALSE,"현장품질감사";#N/A,#N/A,FALSE,"현장품질감사"}</definedName>
    <definedName name="wrn.현장._.NCR._.분석." localSheetId="22" hidden="1">{#N/A,#N/A,FALSE,"현장 NCR 분석";#N/A,#N/A,FALSE,"현장품질감사";#N/A,#N/A,FALSE,"현장품질감사"}</definedName>
    <definedName name="wrn.현장._.NCR._.분석." localSheetId="18" hidden="1">{#N/A,#N/A,FALSE,"현장 NCR 분석";#N/A,#N/A,FALSE,"현장품질감사";#N/A,#N/A,FALSE,"현장품질감사"}</definedName>
    <definedName name="wrn.현장._.NCR._.분석." localSheetId="14" hidden="1">{#N/A,#N/A,FALSE,"현장 NCR 분석";#N/A,#N/A,FALSE,"현장품질감사";#N/A,#N/A,FALSE,"현장품질감사"}</definedName>
    <definedName name="wrn.현장._.NCR._.분석." localSheetId="10" hidden="1">{#N/A,#N/A,FALSE,"현장 NCR 분석";#N/A,#N/A,FALSE,"현장품질감사";#N/A,#N/A,FALSE,"현장품질감사"}</definedName>
    <definedName name="wrn.현장._.NCR._.분석." localSheetId="2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ㄱ">#REF!</definedName>
    <definedName name="ㄱㄱ" localSheetId="1" hidden="1">{#N/A,#N/A,FALSE,"명세표"}</definedName>
    <definedName name="ㄱㄱ" localSheetId="3" hidden="1">{#N/A,#N/A,FALSE,"명세표"}</definedName>
    <definedName name="ㄱㄱ" localSheetId="23" hidden="1">{#N/A,#N/A,FALSE,"명세표"}</definedName>
    <definedName name="ㄱㄱ" localSheetId="27" hidden="1">{#N/A,#N/A,FALSE,"명세표"}</definedName>
    <definedName name="ㄱㄱ" localSheetId="19" hidden="1">{#N/A,#N/A,FALSE,"명세표"}</definedName>
    <definedName name="ㄱㄱ" localSheetId="15" hidden="1">{#N/A,#N/A,FALSE,"명세표"}</definedName>
    <definedName name="ㄱㄱ" localSheetId="11" hidden="1">{#N/A,#N/A,FALSE,"명세표"}</definedName>
    <definedName name="ㄱㄱ" localSheetId="7" hidden="1">{#N/A,#N/A,FALSE,"명세표"}</definedName>
    <definedName name="ㄱㄱ" localSheetId="4" hidden="1">{#N/A,#N/A,FALSE,"명세표"}</definedName>
    <definedName name="ㄱㄱ" localSheetId="26" hidden="1">{#N/A,#N/A,FALSE,"명세표"}</definedName>
    <definedName name="ㄱㄱ" localSheetId="30" hidden="1">{#N/A,#N/A,FALSE,"명세표"}</definedName>
    <definedName name="ㄱㄱ" localSheetId="22" hidden="1">{#N/A,#N/A,FALSE,"명세표"}</definedName>
    <definedName name="ㄱㄱ" localSheetId="18" hidden="1">{#N/A,#N/A,FALSE,"명세표"}</definedName>
    <definedName name="ㄱㄱ" localSheetId="14" hidden="1">{#N/A,#N/A,FALSE,"명세표"}</definedName>
    <definedName name="ㄱㄱ" localSheetId="10" hidden="1">{#N/A,#N/A,FALSE,"명세표"}</definedName>
    <definedName name="ㄱㄱ" localSheetId="2" hidden="1">{#N/A,#N/A,FALSE,"명세표"}</definedName>
    <definedName name="ㄱㄱ" hidden="1">{#N/A,#N/A,FALSE,"명세표"}</definedName>
    <definedName name="가">#REF!</definedName>
    <definedName name="공사명" localSheetId="1">#REF!</definedName>
    <definedName name="공사명" localSheetId="3">#REF!</definedName>
    <definedName name="공사명" localSheetId="23">#REF!</definedName>
    <definedName name="공사명" localSheetId="27">#REF!</definedName>
    <definedName name="공사명" localSheetId="19">#REF!</definedName>
    <definedName name="공사명" localSheetId="15">#REF!</definedName>
    <definedName name="공사명" localSheetId="11">#REF!</definedName>
    <definedName name="공사명" localSheetId="7">#REF!</definedName>
    <definedName name="공사명" localSheetId="26">#REF!</definedName>
    <definedName name="공사명" localSheetId="30">#REF!</definedName>
    <definedName name="공사명" localSheetId="22">#REF!</definedName>
    <definedName name="공사명" localSheetId="18">#REF!</definedName>
    <definedName name="공사명" localSheetId="14">#REF!</definedName>
    <definedName name="공사명" localSheetId="10">#REF!</definedName>
    <definedName name="공사명" localSheetId="2">#REF!</definedName>
    <definedName name="공사명">#REF!</definedName>
    <definedName name="ㄴ">#REF!</definedName>
    <definedName name="ㄴㄴㄴ" localSheetId="1" hidden="1">{#N/A,#N/A,FALSE,"명세표"}</definedName>
    <definedName name="ㄴㄴㄴ" localSheetId="3" hidden="1">{#N/A,#N/A,FALSE,"명세표"}</definedName>
    <definedName name="ㄴㄴㄴ" localSheetId="23" hidden="1">{#N/A,#N/A,FALSE,"명세표"}</definedName>
    <definedName name="ㄴㄴㄴ" localSheetId="27" hidden="1">{#N/A,#N/A,FALSE,"명세표"}</definedName>
    <definedName name="ㄴㄴㄴ" localSheetId="19" hidden="1">{#N/A,#N/A,FALSE,"명세표"}</definedName>
    <definedName name="ㄴㄴㄴ" localSheetId="15" hidden="1">{#N/A,#N/A,FALSE,"명세표"}</definedName>
    <definedName name="ㄴㄴㄴ" localSheetId="11" hidden="1">{#N/A,#N/A,FALSE,"명세표"}</definedName>
    <definedName name="ㄴㄴㄴ" localSheetId="7" hidden="1">{#N/A,#N/A,FALSE,"명세표"}</definedName>
    <definedName name="ㄴㄴㄴ" localSheetId="4" hidden="1">{#N/A,#N/A,FALSE,"명세표"}</definedName>
    <definedName name="ㄴㄴㄴ" localSheetId="26" hidden="1">{#N/A,#N/A,FALSE,"명세표"}</definedName>
    <definedName name="ㄴㄴㄴ" localSheetId="30" hidden="1">{#N/A,#N/A,FALSE,"명세표"}</definedName>
    <definedName name="ㄴㄴㄴ" localSheetId="22" hidden="1">{#N/A,#N/A,FALSE,"명세표"}</definedName>
    <definedName name="ㄴㄴㄴ" localSheetId="18" hidden="1">{#N/A,#N/A,FALSE,"명세표"}</definedName>
    <definedName name="ㄴㄴㄴ" localSheetId="14" hidden="1">{#N/A,#N/A,FALSE,"명세표"}</definedName>
    <definedName name="ㄴㄴㄴ" localSheetId="10" hidden="1">{#N/A,#N/A,FALSE,"명세표"}</definedName>
    <definedName name="ㄴㄴㄴ" localSheetId="2" hidden="1">{#N/A,#N/A,FALSE,"명세표"}</definedName>
    <definedName name="ㄴㄴㄴ" hidden="1">{#N/A,#N/A,FALSE,"명세표"}</definedName>
    <definedName name="나" localSheetId="3">#REF!</definedName>
    <definedName name="나" localSheetId="23">#REF!</definedName>
    <definedName name="나" localSheetId="27">#REF!</definedName>
    <definedName name="나" localSheetId="19">#REF!</definedName>
    <definedName name="나" localSheetId="15">#REF!</definedName>
    <definedName name="나" localSheetId="11">#REF!</definedName>
    <definedName name="나" localSheetId="7">#REF!</definedName>
    <definedName name="ㄷ" localSheetId="3">#REF!</definedName>
    <definedName name="ㄷ" localSheetId="23">#REF!</definedName>
    <definedName name="ㄷ" localSheetId="27">#REF!</definedName>
    <definedName name="ㄷ" localSheetId="19">#REF!</definedName>
    <definedName name="ㄷ" localSheetId="15">#REF!</definedName>
    <definedName name="ㄷ" localSheetId="11">#REF!</definedName>
    <definedName name="ㄷ" localSheetId="7">#REF!</definedName>
    <definedName name="ㄷㄹ1" localSheetId="3">#REF!</definedName>
    <definedName name="ㄷㄹ1" localSheetId="23">#REF!</definedName>
    <definedName name="ㄷㄹ1" localSheetId="27">#REF!</definedName>
    <definedName name="ㄷㄹ1" localSheetId="19">#REF!</definedName>
    <definedName name="ㄷㄹ1" localSheetId="15">#REF!</definedName>
    <definedName name="ㄷㄹ1" localSheetId="11">#REF!</definedName>
    <definedName name="ㄷㄹ1" localSheetId="7">#REF!</definedName>
    <definedName name="다" localSheetId="3">#REF!</definedName>
    <definedName name="다" localSheetId="23">#REF!</definedName>
    <definedName name="다" localSheetId="27">#REF!</definedName>
    <definedName name="다" localSheetId="19">#REF!</definedName>
    <definedName name="다" localSheetId="15">#REF!</definedName>
    <definedName name="다" localSheetId="11">#REF!</definedName>
    <definedName name="다" localSheetId="7">#REF!</definedName>
    <definedName name="ㄹ" localSheetId="1" hidden="1">{#N/A,#N/A,FALSE,"명세표"}</definedName>
    <definedName name="ㄹ" localSheetId="3" hidden="1">{#N/A,#N/A,FALSE,"명세표"}</definedName>
    <definedName name="ㄹ" localSheetId="23" hidden="1">{#N/A,#N/A,FALSE,"명세표"}</definedName>
    <definedName name="ㄹ" localSheetId="27" hidden="1">{#N/A,#N/A,FALSE,"명세표"}</definedName>
    <definedName name="ㄹ" localSheetId="19" hidden="1">{#N/A,#N/A,FALSE,"명세표"}</definedName>
    <definedName name="ㄹ" localSheetId="15" hidden="1">{#N/A,#N/A,FALSE,"명세표"}</definedName>
    <definedName name="ㄹ" localSheetId="11" hidden="1">{#N/A,#N/A,FALSE,"명세표"}</definedName>
    <definedName name="ㄹ" localSheetId="7" hidden="1">{#N/A,#N/A,FALSE,"명세표"}</definedName>
    <definedName name="ㄹ" localSheetId="4" hidden="1">{#N/A,#N/A,FALSE,"명세표"}</definedName>
    <definedName name="ㄹ" localSheetId="26" hidden="1">{#N/A,#N/A,FALSE,"명세표"}</definedName>
    <definedName name="ㄹ" localSheetId="30" hidden="1">{#N/A,#N/A,FALSE,"명세표"}</definedName>
    <definedName name="ㄹ" localSheetId="22" hidden="1">{#N/A,#N/A,FALSE,"명세표"}</definedName>
    <definedName name="ㄹ" localSheetId="18" hidden="1">{#N/A,#N/A,FALSE,"명세표"}</definedName>
    <definedName name="ㄹ" localSheetId="14" hidden="1">{#N/A,#N/A,FALSE,"명세표"}</definedName>
    <definedName name="ㄹ" localSheetId="10" hidden="1">{#N/A,#N/A,FALSE,"명세표"}</definedName>
    <definedName name="ㄹ" localSheetId="2" hidden="1">{#N/A,#N/A,FALSE,"명세표"}</definedName>
    <definedName name="ㄹ" hidden="1">{#N/A,#N/A,FALSE,"명세표"}</definedName>
    <definedName name="ㄹ761" localSheetId="1">#REF!</definedName>
    <definedName name="ㄹ761" localSheetId="3">#REF!</definedName>
    <definedName name="ㄹ761" localSheetId="23">#REF!</definedName>
    <definedName name="ㄹ761" localSheetId="27">#REF!</definedName>
    <definedName name="ㄹ761" localSheetId="19">#REF!</definedName>
    <definedName name="ㄹ761" localSheetId="15">#REF!</definedName>
    <definedName name="ㄹ761" localSheetId="11">#REF!</definedName>
    <definedName name="ㄹ761" localSheetId="7">#REF!</definedName>
    <definedName name="ㄹ761" localSheetId="2">#REF!</definedName>
    <definedName name="ㄹ761">[1]배관내역!#REF!</definedName>
    <definedName name="ㄹㄹㄹ" localSheetId="1" hidden="1">{#N/A,#N/A,FALSE,"명세표"}</definedName>
    <definedName name="ㄹㄹㄹ" localSheetId="3" hidden="1">{#N/A,#N/A,FALSE,"명세표"}</definedName>
    <definedName name="ㄹㄹㄹ" localSheetId="23" hidden="1">{#N/A,#N/A,FALSE,"명세표"}</definedName>
    <definedName name="ㄹㄹㄹ" localSheetId="27" hidden="1">{#N/A,#N/A,FALSE,"명세표"}</definedName>
    <definedName name="ㄹㄹㄹ" localSheetId="19" hidden="1">{#N/A,#N/A,FALSE,"명세표"}</definedName>
    <definedName name="ㄹㄹㄹ" localSheetId="15" hidden="1">{#N/A,#N/A,FALSE,"명세표"}</definedName>
    <definedName name="ㄹㄹㄹ" localSheetId="11" hidden="1">{#N/A,#N/A,FALSE,"명세표"}</definedName>
    <definedName name="ㄹㄹㄹ" localSheetId="7" hidden="1">{#N/A,#N/A,FALSE,"명세표"}</definedName>
    <definedName name="ㄹㄹㄹ" localSheetId="4" hidden="1">{#N/A,#N/A,FALSE,"명세표"}</definedName>
    <definedName name="ㄹㄹㄹ" localSheetId="26" hidden="1">{#N/A,#N/A,FALSE,"명세표"}</definedName>
    <definedName name="ㄹㄹㄹ" localSheetId="30" hidden="1">{#N/A,#N/A,FALSE,"명세표"}</definedName>
    <definedName name="ㄹㄹㄹ" localSheetId="22" hidden="1">{#N/A,#N/A,FALSE,"명세표"}</definedName>
    <definedName name="ㄹㄹㄹ" localSheetId="18" hidden="1">{#N/A,#N/A,FALSE,"명세표"}</definedName>
    <definedName name="ㄹㄹㄹ" localSheetId="14" hidden="1">{#N/A,#N/A,FALSE,"명세표"}</definedName>
    <definedName name="ㄹㄹㄹ" localSheetId="10" hidden="1">{#N/A,#N/A,FALSE,"명세표"}</definedName>
    <definedName name="ㄹㄹㄹ" localSheetId="2" hidden="1">{#N/A,#N/A,FALSE,"명세표"}</definedName>
    <definedName name="ㄹㄹㄹ" hidden="1">{#N/A,#N/A,FALSE,"명세표"}</definedName>
    <definedName name="라" localSheetId="3">#REF!</definedName>
    <definedName name="라" localSheetId="23">#REF!</definedName>
    <definedName name="라" localSheetId="27">#REF!</definedName>
    <definedName name="라" localSheetId="19">#REF!</definedName>
    <definedName name="라" localSheetId="15">#REF!</definedName>
    <definedName name="라" localSheetId="11">#REF!</definedName>
    <definedName name="라" localSheetId="7">#REF!</definedName>
    <definedName name="ㅁ" localSheetId="1" hidden="1">{#N/A,#N/A,FALSE,"명세표"}</definedName>
    <definedName name="ㅁ" localSheetId="3" hidden="1">{#N/A,#N/A,FALSE,"명세표"}</definedName>
    <definedName name="ㅁ" localSheetId="23" hidden="1">{#N/A,#N/A,FALSE,"명세표"}</definedName>
    <definedName name="ㅁ" localSheetId="27" hidden="1">{#N/A,#N/A,FALSE,"명세표"}</definedName>
    <definedName name="ㅁ" localSheetId="19" hidden="1">{#N/A,#N/A,FALSE,"명세표"}</definedName>
    <definedName name="ㅁ" localSheetId="15" hidden="1">{#N/A,#N/A,FALSE,"명세표"}</definedName>
    <definedName name="ㅁ" localSheetId="11" hidden="1">{#N/A,#N/A,FALSE,"명세표"}</definedName>
    <definedName name="ㅁ" localSheetId="7" hidden="1">{#N/A,#N/A,FALSE,"명세표"}</definedName>
    <definedName name="ㅁ" localSheetId="4" hidden="1">{#N/A,#N/A,FALSE,"명세표"}</definedName>
    <definedName name="ㅁ" localSheetId="26" hidden="1">{#N/A,#N/A,FALSE,"명세표"}</definedName>
    <definedName name="ㅁ" localSheetId="30" hidden="1">{#N/A,#N/A,FALSE,"명세표"}</definedName>
    <definedName name="ㅁ" localSheetId="22" hidden="1">{#N/A,#N/A,FALSE,"명세표"}</definedName>
    <definedName name="ㅁ" localSheetId="18" hidden="1">{#N/A,#N/A,FALSE,"명세표"}</definedName>
    <definedName name="ㅁ" localSheetId="14" hidden="1">{#N/A,#N/A,FALSE,"명세표"}</definedName>
    <definedName name="ㅁ" localSheetId="10" hidden="1">{#N/A,#N/A,FALSE,"명세표"}</definedName>
    <definedName name="ㅁ" localSheetId="2" hidden="1">{#N/A,#N/A,FALSE,"명세표"}</definedName>
    <definedName name="ㅁ" hidden="1">{#N/A,#N/A,FALSE,"명세표"}</definedName>
    <definedName name="ㅁ388" localSheetId="1">#REF!</definedName>
    <definedName name="ㅁ388" localSheetId="3">#REF!</definedName>
    <definedName name="ㅁ388" localSheetId="23">#REF!</definedName>
    <definedName name="ㅁ388" localSheetId="27">#REF!</definedName>
    <definedName name="ㅁ388" localSheetId="19">#REF!</definedName>
    <definedName name="ㅁ388" localSheetId="15">#REF!</definedName>
    <definedName name="ㅁ388" localSheetId="11">#REF!</definedName>
    <definedName name="ㅁ388" localSheetId="7">#REF!</definedName>
    <definedName name="ㅁ388" localSheetId="2">#REF!</definedName>
    <definedName name="ㅁ388">[1]배관내역!#REF!</definedName>
    <definedName name="마" localSheetId="3">#REF!</definedName>
    <definedName name="마" localSheetId="23">#REF!</definedName>
    <definedName name="마" localSheetId="27">#REF!</definedName>
    <definedName name="마" localSheetId="19">#REF!</definedName>
    <definedName name="마" localSheetId="15">#REF!</definedName>
    <definedName name="마" localSheetId="11">#REF!</definedName>
    <definedName name="마" localSheetId="7">#REF!</definedName>
    <definedName name="머" localSheetId="1" hidden="1">{#N/A,#N/A,FALSE,"명세표"}</definedName>
    <definedName name="머" localSheetId="3" hidden="1">{#N/A,#N/A,FALSE,"명세표"}</definedName>
    <definedName name="머" localSheetId="23" hidden="1">{#N/A,#N/A,FALSE,"명세표"}</definedName>
    <definedName name="머" localSheetId="27" hidden="1">{#N/A,#N/A,FALSE,"명세표"}</definedName>
    <definedName name="머" localSheetId="19" hidden="1">{#N/A,#N/A,FALSE,"명세표"}</definedName>
    <definedName name="머" localSheetId="15" hidden="1">{#N/A,#N/A,FALSE,"명세표"}</definedName>
    <definedName name="머" localSheetId="11" hidden="1">{#N/A,#N/A,FALSE,"명세표"}</definedName>
    <definedName name="머" localSheetId="7" hidden="1">{#N/A,#N/A,FALSE,"명세표"}</definedName>
    <definedName name="머" localSheetId="4" hidden="1">{#N/A,#N/A,FALSE,"명세표"}</definedName>
    <definedName name="머" localSheetId="26" hidden="1">{#N/A,#N/A,FALSE,"명세표"}</definedName>
    <definedName name="머" localSheetId="30" hidden="1">{#N/A,#N/A,FALSE,"명세표"}</definedName>
    <definedName name="머" localSheetId="22" hidden="1">{#N/A,#N/A,FALSE,"명세표"}</definedName>
    <definedName name="머" localSheetId="18" hidden="1">{#N/A,#N/A,FALSE,"명세표"}</definedName>
    <definedName name="머" localSheetId="14" hidden="1">{#N/A,#N/A,FALSE,"명세표"}</definedName>
    <definedName name="머" localSheetId="10" hidden="1">{#N/A,#N/A,FALSE,"명세표"}</definedName>
    <definedName name="머" localSheetId="2" hidden="1">{#N/A,#N/A,FALSE,"명세표"}</definedName>
    <definedName name="머" hidden="1">{#N/A,#N/A,FALSE,"명세표"}</definedName>
    <definedName name="ㅂ" localSheetId="3">#REF!</definedName>
    <definedName name="ㅂ" localSheetId="23">#REF!</definedName>
    <definedName name="ㅂ" localSheetId="27">#REF!</definedName>
    <definedName name="ㅂ" localSheetId="19">#REF!</definedName>
    <definedName name="ㅂ" localSheetId="15">#REF!</definedName>
    <definedName name="ㅂ" localSheetId="11">#REF!</definedName>
    <definedName name="ㅂ" localSheetId="7">#REF!</definedName>
    <definedName name="ㅂㅂㅂㅂ" localSheetId="1" hidden="1">{#N/A,#N/A,FALSE,"명세표"}</definedName>
    <definedName name="ㅂㅂㅂㅂ" localSheetId="3" hidden="1">{#N/A,#N/A,FALSE,"명세표"}</definedName>
    <definedName name="ㅂㅂㅂㅂ" localSheetId="23" hidden="1">{#N/A,#N/A,FALSE,"명세표"}</definedName>
    <definedName name="ㅂㅂㅂㅂ" localSheetId="27" hidden="1">{#N/A,#N/A,FALSE,"명세표"}</definedName>
    <definedName name="ㅂㅂㅂㅂ" localSheetId="19" hidden="1">{#N/A,#N/A,FALSE,"명세표"}</definedName>
    <definedName name="ㅂㅂㅂㅂ" localSheetId="15" hidden="1">{#N/A,#N/A,FALSE,"명세표"}</definedName>
    <definedName name="ㅂㅂㅂㅂ" localSheetId="11" hidden="1">{#N/A,#N/A,FALSE,"명세표"}</definedName>
    <definedName name="ㅂㅂㅂㅂ" localSheetId="7" hidden="1">{#N/A,#N/A,FALSE,"명세표"}</definedName>
    <definedName name="ㅂㅂㅂㅂ" localSheetId="4" hidden="1">{#N/A,#N/A,FALSE,"명세표"}</definedName>
    <definedName name="ㅂㅂㅂㅂ" localSheetId="26" hidden="1">{#N/A,#N/A,FALSE,"명세표"}</definedName>
    <definedName name="ㅂㅂㅂㅂ" localSheetId="30" hidden="1">{#N/A,#N/A,FALSE,"명세표"}</definedName>
    <definedName name="ㅂㅂㅂㅂ" localSheetId="22" hidden="1">{#N/A,#N/A,FALSE,"명세표"}</definedName>
    <definedName name="ㅂㅂㅂㅂ" localSheetId="18" hidden="1">{#N/A,#N/A,FALSE,"명세표"}</definedName>
    <definedName name="ㅂㅂㅂㅂ" localSheetId="14" hidden="1">{#N/A,#N/A,FALSE,"명세표"}</definedName>
    <definedName name="ㅂㅂㅂㅂ" localSheetId="10" hidden="1">{#N/A,#N/A,FALSE,"명세표"}</definedName>
    <definedName name="ㅂㅂㅂㅂ" localSheetId="2" hidden="1">{#N/A,#N/A,FALSE,"명세표"}</definedName>
    <definedName name="ㅂㅂㅂㅂ" hidden="1">{#N/A,#N/A,FALSE,"명세표"}</definedName>
    <definedName name="ㅂㅂㅂㅂㅂㅂㅂ" localSheetId="1" hidden="1">{#N/A,#N/A,FALSE,"명세표"}</definedName>
    <definedName name="ㅂㅂㅂㅂㅂㅂㅂ" localSheetId="3" hidden="1">{#N/A,#N/A,FALSE,"명세표"}</definedName>
    <definedName name="ㅂㅂㅂㅂㅂㅂㅂ" localSheetId="23" hidden="1">{#N/A,#N/A,FALSE,"명세표"}</definedName>
    <definedName name="ㅂㅂㅂㅂㅂㅂㅂ" localSheetId="27" hidden="1">{#N/A,#N/A,FALSE,"명세표"}</definedName>
    <definedName name="ㅂㅂㅂㅂㅂㅂㅂ" localSheetId="19" hidden="1">{#N/A,#N/A,FALSE,"명세표"}</definedName>
    <definedName name="ㅂㅂㅂㅂㅂㅂㅂ" localSheetId="15" hidden="1">{#N/A,#N/A,FALSE,"명세표"}</definedName>
    <definedName name="ㅂㅂㅂㅂㅂㅂㅂ" localSheetId="11" hidden="1">{#N/A,#N/A,FALSE,"명세표"}</definedName>
    <definedName name="ㅂㅂㅂㅂㅂㅂㅂ" localSheetId="7" hidden="1">{#N/A,#N/A,FALSE,"명세표"}</definedName>
    <definedName name="ㅂㅂㅂㅂㅂㅂㅂ" localSheetId="4" hidden="1">{#N/A,#N/A,FALSE,"명세표"}</definedName>
    <definedName name="ㅂㅂㅂㅂㅂㅂㅂ" localSheetId="26" hidden="1">{#N/A,#N/A,FALSE,"명세표"}</definedName>
    <definedName name="ㅂㅂㅂㅂㅂㅂㅂ" localSheetId="30" hidden="1">{#N/A,#N/A,FALSE,"명세표"}</definedName>
    <definedName name="ㅂㅂㅂㅂㅂㅂㅂ" localSheetId="22" hidden="1">{#N/A,#N/A,FALSE,"명세표"}</definedName>
    <definedName name="ㅂㅂㅂㅂㅂㅂㅂ" localSheetId="18" hidden="1">{#N/A,#N/A,FALSE,"명세표"}</definedName>
    <definedName name="ㅂㅂㅂㅂㅂㅂㅂ" localSheetId="14" hidden="1">{#N/A,#N/A,FALSE,"명세표"}</definedName>
    <definedName name="ㅂㅂㅂㅂㅂㅂㅂ" localSheetId="10" hidden="1">{#N/A,#N/A,FALSE,"명세표"}</definedName>
    <definedName name="ㅂㅂㅂㅂㅂㅂㅂ" localSheetId="2" hidden="1">{#N/A,#N/A,FALSE,"명세표"}</definedName>
    <definedName name="ㅂㅂㅂㅂㅂㅂㅂ" hidden="1">{#N/A,#N/A,FALSE,"명세표"}</definedName>
    <definedName name="바" localSheetId="3">#REF!</definedName>
    <definedName name="바" localSheetId="23">#REF!</definedName>
    <definedName name="바" localSheetId="27">#REF!</definedName>
    <definedName name="바" localSheetId="19">#REF!</definedName>
    <definedName name="바" localSheetId="15">#REF!</definedName>
    <definedName name="바" localSheetId="11">#REF!</definedName>
    <definedName name="바" localSheetId="7">#REF!</definedName>
    <definedName name="복사" localSheetId="3">#REF!</definedName>
    <definedName name="복사" localSheetId="23">#REF!</definedName>
    <definedName name="복사" localSheetId="27">#REF!</definedName>
    <definedName name="복사" localSheetId="19">#REF!</definedName>
    <definedName name="복사" localSheetId="15">#REF!</definedName>
    <definedName name="복사" localSheetId="11">#REF!</definedName>
    <definedName name="복사" localSheetId="7">#REF!</definedName>
    <definedName name="복사준비" localSheetId="3">#REF!</definedName>
    <definedName name="복사준비" localSheetId="23">#REF!</definedName>
    <definedName name="복사준비" localSheetId="27">#REF!</definedName>
    <definedName name="복사준비" localSheetId="19">#REF!</definedName>
    <definedName name="복사준비" localSheetId="15">#REF!</definedName>
    <definedName name="복사준비" localSheetId="11">#REF!</definedName>
    <definedName name="복사준비" localSheetId="7">#REF!</definedName>
    <definedName name="부손익" localSheetId="1" hidden="1">{#N/A,#N/A,FALSE,"현장 NCR 분석";#N/A,#N/A,FALSE,"현장품질감사";#N/A,#N/A,FALSE,"현장품질감사"}</definedName>
    <definedName name="부손익" localSheetId="3" hidden="1">{#N/A,#N/A,FALSE,"현장 NCR 분석";#N/A,#N/A,FALSE,"현장품질감사";#N/A,#N/A,FALSE,"현장품질감사"}</definedName>
    <definedName name="부손익" localSheetId="23" hidden="1">{#N/A,#N/A,FALSE,"현장 NCR 분석";#N/A,#N/A,FALSE,"현장품질감사";#N/A,#N/A,FALSE,"현장품질감사"}</definedName>
    <definedName name="부손익" localSheetId="27" hidden="1">{#N/A,#N/A,FALSE,"현장 NCR 분석";#N/A,#N/A,FALSE,"현장품질감사";#N/A,#N/A,FALSE,"현장품질감사"}</definedName>
    <definedName name="부손익" localSheetId="19" hidden="1">{#N/A,#N/A,FALSE,"현장 NCR 분석";#N/A,#N/A,FALSE,"현장품질감사";#N/A,#N/A,FALSE,"현장품질감사"}</definedName>
    <definedName name="부손익" localSheetId="15" hidden="1">{#N/A,#N/A,FALSE,"현장 NCR 분석";#N/A,#N/A,FALSE,"현장품질감사";#N/A,#N/A,FALSE,"현장품질감사"}</definedName>
    <definedName name="부손익" localSheetId="11" hidden="1">{#N/A,#N/A,FALSE,"현장 NCR 분석";#N/A,#N/A,FALSE,"현장품질감사";#N/A,#N/A,FALSE,"현장품질감사"}</definedName>
    <definedName name="부손익" localSheetId="7" hidden="1">{#N/A,#N/A,FALSE,"현장 NCR 분석";#N/A,#N/A,FALSE,"현장품질감사";#N/A,#N/A,FALSE,"현장품질감사"}</definedName>
    <definedName name="부손익" localSheetId="4" hidden="1">{#N/A,#N/A,FALSE,"현장 NCR 분석";#N/A,#N/A,FALSE,"현장품질감사";#N/A,#N/A,FALSE,"현장품질감사"}</definedName>
    <definedName name="부손익" localSheetId="26" hidden="1">{#N/A,#N/A,FALSE,"현장 NCR 분석";#N/A,#N/A,FALSE,"현장품질감사";#N/A,#N/A,FALSE,"현장품질감사"}</definedName>
    <definedName name="부손익" localSheetId="30" hidden="1">{#N/A,#N/A,FALSE,"현장 NCR 분석";#N/A,#N/A,FALSE,"현장품질감사";#N/A,#N/A,FALSE,"현장품질감사"}</definedName>
    <definedName name="부손익" localSheetId="22" hidden="1">{#N/A,#N/A,FALSE,"현장 NCR 분석";#N/A,#N/A,FALSE,"현장품질감사";#N/A,#N/A,FALSE,"현장품질감사"}</definedName>
    <definedName name="부손익" localSheetId="18" hidden="1">{#N/A,#N/A,FALSE,"현장 NCR 분석";#N/A,#N/A,FALSE,"현장품질감사";#N/A,#N/A,FALSE,"현장품질감사"}</definedName>
    <definedName name="부손익" localSheetId="14" hidden="1">{#N/A,#N/A,FALSE,"현장 NCR 분석";#N/A,#N/A,FALSE,"현장품질감사";#N/A,#N/A,FALSE,"현장품질감사"}</definedName>
    <definedName name="부손익" localSheetId="10" hidden="1">{#N/A,#N/A,FALSE,"현장 NCR 분석";#N/A,#N/A,FALSE,"현장품질감사";#N/A,#N/A,FALSE,"현장품질감사"}</definedName>
    <definedName name="부손익" localSheetId="2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비목1" localSheetId="1">#REF!</definedName>
    <definedName name="비목1" localSheetId="3">#REF!</definedName>
    <definedName name="비목1" localSheetId="23">#REF!</definedName>
    <definedName name="비목1" localSheetId="27">#REF!</definedName>
    <definedName name="비목1" localSheetId="19">#REF!</definedName>
    <definedName name="비목1" localSheetId="15">#REF!</definedName>
    <definedName name="비목1" localSheetId="11">#REF!</definedName>
    <definedName name="비목1" localSheetId="7">#REF!</definedName>
    <definedName name="비목1" localSheetId="26">#REF!</definedName>
    <definedName name="비목1" localSheetId="30">#REF!</definedName>
    <definedName name="비목1" localSheetId="22">#REF!</definedName>
    <definedName name="비목1" localSheetId="18">#REF!</definedName>
    <definedName name="비목1" localSheetId="14">#REF!</definedName>
    <definedName name="비목1" localSheetId="10">#REF!</definedName>
    <definedName name="비목1" localSheetId="2">#REF!</definedName>
    <definedName name="비목1">#REF!</definedName>
    <definedName name="비목2" localSheetId="1">#REF!</definedName>
    <definedName name="비목2" localSheetId="3">#REF!</definedName>
    <definedName name="비목2" localSheetId="23">#REF!</definedName>
    <definedName name="비목2" localSheetId="27">#REF!</definedName>
    <definedName name="비목2" localSheetId="19">#REF!</definedName>
    <definedName name="비목2" localSheetId="15">#REF!</definedName>
    <definedName name="비목2" localSheetId="11">#REF!</definedName>
    <definedName name="비목2" localSheetId="7">#REF!</definedName>
    <definedName name="비목2" localSheetId="26">#REF!</definedName>
    <definedName name="비목2" localSheetId="30">#REF!</definedName>
    <definedName name="비목2" localSheetId="22">#REF!</definedName>
    <definedName name="비목2" localSheetId="18">#REF!</definedName>
    <definedName name="비목2" localSheetId="14">#REF!</definedName>
    <definedName name="비목2" localSheetId="10">#REF!</definedName>
    <definedName name="비목2" localSheetId="2">#REF!</definedName>
    <definedName name="비목2">#REF!</definedName>
    <definedName name="비목3" localSheetId="1">#REF!</definedName>
    <definedName name="비목3" localSheetId="3">#REF!</definedName>
    <definedName name="비목3" localSheetId="23">#REF!</definedName>
    <definedName name="비목3" localSheetId="27">#REF!</definedName>
    <definedName name="비목3" localSheetId="19">#REF!</definedName>
    <definedName name="비목3" localSheetId="15">#REF!</definedName>
    <definedName name="비목3" localSheetId="11">#REF!</definedName>
    <definedName name="비목3" localSheetId="7">#REF!</definedName>
    <definedName name="비목3" localSheetId="26">#REF!</definedName>
    <definedName name="비목3" localSheetId="30">#REF!</definedName>
    <definedName name="비목3" localSheetId="22">#REF!</definedName>
    <definedName name="비목3" localSheetId="18">#REF!</definedName>
    <definedName name="비목3" localSheetId="14">#REF!</definedName>
    <definedName name="비목3" localSheetId="10">#REF!</definedName>
    <definedName name="비목3" localSheetId="2">#REF!</definedName>
    <definedName name="비목3">#REF!</definedName>
    <definedName name="비목4" localSheetId="3">#REF!</definedName>
    <definedName name="비목4" localSheetId="23">#REF!</definedName>
    <definedName name="비목4" localSheetId="27">#REF!</definedName>
    <definedName name="비목4" localSheetId="19">#REF!</definedName>
    <definedName name="비목4" localSheetId="15">#REF!</definedName>
    <definedName name="비목4" localSheetId="11">#REF!</definedName>
    <definedName name="비목4" localSheetId="7">#REF!</definedName>
    <definedName name="비목4">#REF!</definedName>
    <definedName name="사" localSheetId="3">#REF!</definedName>
    <definedName name="사" localSheetId="23">#REF!</definedName>
    <definedName name="사" localSheetId="27">#REF!</definedName>
    <definedName name="사" localSheetId="19">#REF!</definedName>
    <definedName name="사" localSheetId="15">#REF!</definedName>
    <definedName name="사" localSheetId="11">#REF!</definedName>
    <definedName name="사" localSheetId="7">#REF!</definedName>
    <definedName name="석항" localSheetId="1" hidden="1">{#N/A,#N/A,FALSE,"명세표"}</definedName>
    <definedName name="석항" localSheetId="3" hidden="1">{#N/A,#N/A,FALSE,"명세표"}</definedName>
    <definedName name="석항" localSheetId="23" hidden="1">{#N/A,#N/A,FALSE,"명세표"}</definedName>
    <definedName name="석항" localSheetId="27" hidden="1">{#N/A,#N/A,FALSE,"명세표"}</definedName>
    <definedName name="석항" localSheetId="19" hidden="1">{#N/A,#N/A,FALSE,"명세표"}</definedName>
    <definedName name="석항" localSheetId="15" hidden="1">{#N/A,#N/A,FALSE,"명세표"}</definedName>
    <definedName name="석항" localSheetId="11" hidden="1">{#N/A,#N/A,FALSE,"명세표"}</definedName>
    <definedName name="석항" localSheetId="7" hidden="1">{#N/A,#N/A,FALSE,"명세표"}</definedName>
    <definedName name="석항" localSheetId="4" hidden="1">{#N/A,#N/A,FALSE,"명세표"}</definedName>
    <definedName name="석항" localSheetId="26" hidden="1">{#N/A,#N/A,FALSE,"명세표"}</definedName>
    <definedName name="석항" localSheetId="30" hidden="1">{#N/A,#N/A,FALSE,"명세표"}</definedName>
    <definedName name="석항" localSheetId="22" hidden="1">{#N/A,#N/A,FALSE,"명세표"}</definedName>
    <definedName name="석항" localSheetId="18" hidden="1">{#N/A,#N/A,FALSE,"명세표"}</definedName>
    <definedName name="석항" localSheetId="14" hidden="1">{#N/A,#N/A,FALSE,"명세표"}</definedName>
    <definedName name="석항" localSheetId="10" hidden="1">{#N/A,#N/A,FALSE,"명세표"}</definedName>
    <definedName name="석항" localSheetId="2" hidden="1">{#N/A,#N/A,FALSE,"명세표"}</definedName>
    <definedName name="석항" hidden="1">{#N/A,#N/A,FALSE,"명세표"}</definedName>
    <definedName name="설계속도" localSheetId="3">#REF!</definedName>
    <definedName name="설계속도" localSheetId="23">#REF!</definedName>
    <definedName name="설계속도" localSheetId="27">#REF!</definedName>
    <definedName name="설계속도" localSheetId="19">#REF!</definedName>
    <definedName name="설계속도" localSheetId="15">#REF!</definedName>
    <definedName name="설계속도" localSheetId="11">#REF!</definedName>
    <definedName name="설계속도" localSheetId="7">#REF!</definedName>
    <definedName name="수량">#REF!</definedName>
    <definedName name="수량산출서" localSheetId="3">#REF!</definedName>
    <definedName name="수량산출서" localSheetId="23">#REF!</definedName>
    <definedName name="수량산출서" localSheetId="27">#REF!</definedName>
    <definedName name="수량산출서" localSheetId="19">#REF!</definedName>
    <definedName name="수량산출서" localSheetId="15">#REF!</definedName>
    <definedName name="수량산출서" localSheetId="11">#REF!</definedName>
    <definedName name="수량산출서" localSheetId="7">#REF!</definedName>
    <definedName name="신설" localSheetId="1" hidden="1">{#N/A,#N/A,FALSE,"명세표"}</definedName>
    <definedName name="신설" localSheetId="3" hidden="1">{#N/A,#N/A,FALSE,"명세표"}</definedName>
    <definedName name="신설" localSheetId="23" hidden="1">{#N/A,#N/A,FALSE,"명세표"}</definedName>
    <definedName name="신설" localSheetId="27" hidden="1">{#N/A,#N/A,FALSE,"명세표"}</definedName>
    <definedName name="신설" localSheetId="19" hidden="1">{#N/A,#N/A,FALSE,"명세표"}</definedName>
    <definedName name="신설" localSheetId="15" hidden="1">{#N/A,#N/A,FALSE,"명세표"}</definedName>
    <definedName name="신설" localSheetId="11" hidden="1">{#N/A,#N/A,FALSE,"명세표"}</definedName>
    <definedName name="신설" localSheetId="7" hidden="1">{#N/A,#N/A,FALSE,"명세표"}</definedName>
    <definedName name="신설" localSheetId="4" hidden="1">{#N/A,#N/A,FALSE,"명세표"}</definedName>
    <definedName name="신설" localSheetId="26" hidden="1">{#N/A,#N/A,FALSE,"명세표"}</definedName>
    <definedName name="신설" localSheetId="30" hidden="1">{#N/A,#N/A,FALSE,"명세표"}</definedName>
    <definedName name="신설" localSheetId="22" hidden="1">{#N/A,#N/A,FALSE,"명세표"}</definedName>
    <definedName name="신설" localSheetId="18" hidden="1">{#N/A,#N/A,FALSE,"명세표"}</definedName>
    <definedName name="신설" localSheetId="14" hidden="1">{#N/A,#N/A,FALSE,"명세표"}</definedName>
    <definedName name="신설" localSheetId="10" hidden="1">{#N/A,#N/A,FALSE,"명세표"}</definedName>
    <definedName name="신설" localSheetId="2" hidden="1">{#N/A,#N/A,FALSE,"명세표"}</definedName>
    <definedName name="신설" hidden="1">{#N/A,#N/A,FALSE,"명세표"}</definedName>
    <definedName name="ㅇㄱ1" localSheetId="3">#REF!</definedName>
    <definedName name="ㅇㄱ1" localSheetId="23">#REF!</definedName>
    <definedName name="ㅇㄱ1" localSheetId="27">#REF!</definedName>
    <definedName name="ㅇㄱ1" localSheetId="19">#REF!</definedName>
    <definedName name="ㅇㄱ1" localSheetId="15">#REF!</definedName>
    <definedName name="ㅇㄱ1" localSheetId="11">#REF!</definedName>
    <definedName name="ㅇㄱ1" localSheetId="7">#REF!</definedName>
    <definedName name="아" localSheetId="3">#REF!</definedName>
    <definedName name="아" localSheetId="23">#REF!</definedName>
    <definedName name="아" localSheetId="27">#REF!</definedName>
    <definedName name="아" localSheetId="19">#REF!</definedName>
    <definedName name="아" localSheetId="15">#REF!</definedName>
    <definedName name="아" localSheetId="11">#REF!</definedName>
    <definedName name="아" localSheetId="7">#REF!</definedName>
    <definedName name="아스팔트" localSheetId="3">#REF!</definedName>
    <definedName name="아스팔트" localSheetId="23">#REF!</definedName>
    <definedName name="아스팔트" localSheetId="27">#REF!</definedName>
    <definedName name="아스팔트" localSheetId="19">#REF!</definedName>
    <definedName name="아스팔트" localSheetId="15">#REF!</definedName>
    <definedName name="아스팔트" localSheetId="11">#REF!</definedName>
    <definedName name="아스팔트" localSheetId="7">#REF!</definedName>
    <definedName name="오라1" localSheetId="3">#REF!</definedName>
    <definedName name="오라1" localSheetId="23">#REF!</definedName>
    <definedName name="오라1" localSheetId="27">#REF!</definedName>
    <definedName name="오라1" localSheetId="19">#REF!</definedName>
    <definedName name="오라1" localSheetId="15">#REF!</definedName>
    <definedName name="오라1" localSheetId="11">#REF!</definedName>
    <definedName name="오라1" localSheetId="7">#REF!</definedName>
    <definedName name="우로복사" localSheetId="3">#REF!</definedName>
    <definedName name="우로복사" localSheetId="23">#REF!</definedName>
    <definedName name="우로복사" localSheetId="27">#REF!</definedName>
    <definedName name="우로복사" localSheetId="19">#REF!</definedName>
    <definedName name="우로복사" localSheetId="15">#REF!</definedName>
    <definedName name="우로복사" localSheetId="11">#REF!</definedName>
    <definedName name="우로복사" localSheetId="7">#REF!</definedName>
    <definedName name="이" localSheetId="1" hidden="1">{#N/A,#N/A,FALSE,"명세표"}</definedName>
    <definedName name="이" localSheetId="3" hidden="1">{#N/A,#N/A,FALSE,"명세표"}</definedName>
    <definedName name="이" localSheetId="23" hidden="1">{#N/A,#N/A,FALSE,"명세표"}</definedName>
    <definedName name="이" localSheetId="27" hidden="1">{#N/A,#N/A,FALSE,"명세표"}</definedName>
    <definedName name="이" localSheetId="19" hidden="1">{#N/A,#N/A,FALSE,"명세표"}</definedName>
    <definedName name="이" localSheetId="15" hidden="1">{#N/A,#N/A,FALSE,"명세표"}</definedName>
    <definedName name="이" localSheetId="11" hidden="1">{#N/A,#N/A,FALSE,"명세표"}</definedName>
    <definedName name="이" localSheetId="7" hidden="1">{#N/A,#N/A,FALSE,"명세표"}</definedName>
    <definedName name="이" localSheetId="4" hidden="1">{#N/A,#N/A,FALSE,"명세표"}</definedName>
    <definedName name="이" localSheetId="26" hidden="1">{#N/A,#N/A,FALSE,"명세표"}</definedName>
    <definedName name="이" localSheetId="30" hidden="1">{#N/A,#N/A,FALSE,"명세표"}</definedName>
    <definedName name="이" localSheetId="22" hidden="1">{#N/A,#N/A,FALSE,"명세표"}</definedName>
    <definedName name="이" localSheetId="18" hidden="1">{#N/A,#N/A,FALSE,"명세표"}</definedName>
    <definedName name="이" localSheetId="14" hidden="1">{#N/A,#N/A,FALSE,"명세표"}</definedName>
    <definedName name="이" localSheetId="10" hidden="1">{#N/A,#N/A,FALSE,"명세표"}</definedName>
    <definedName name="이" localSheetId="2" hidden="1">{#N/A,#N/A,FALSE,"명세표"}</definedName>
    <definedName name="이" hidden="1">{#N/A,#N/A,FALSE,"명세표"}</definedName>
    <definedName name="인쇄" localSheetId="3">#REF!</definedName>
    <definedName name="인쇄" localSheetId="23">#REF!</definedName>
    <definedName name="인쇄" localSheetId="27">#REF!</definedName>
    <definedName name="인쇄" localSheetId="19">#REF!</definedName>
    <definedName name="인쇄" localSheetId="15">#REF!</definedName>
    <definedName name="인쇄" localSheetId="11">#REF!</definedName>
    <definedName name="인쇄" localSheetId="7">#REF!</definedName>
    <definedName name="ㅈ" localSheetId="1" hidden="1">{#N/A,#N/A,FALSE,"명세표"}</definedName>
    <definedName name="ㅈ" localSheetId="3" hidden="1">{#N/A,#N/A,FALSE,"명세표"}</definedName>
    <definedName name="ㅈ" localSheetId="23" hidden="1">{#N/A,#N/A,FALSE,"명세표"}</definedName>
    <definedName name="ㅈ" localSheetId="27" hidden="1">{#N/A,#N/A,FALSE,"명세표"}</definedName>
    <definedName name="ㅈ" localSheetId="19" hidden="1">{#N/A,#N/A,FALSE,"명세표"}</definedName>
    <definedName name="ㅈ" localSheetId="15" hidden="1">{#N/A,#N/A,FALSE,"명세표"}</definedName>
    <definedName name="ㅈ" localSheetId="11" hidden="1">{#N/A,#N/A,FALSE,"명세표"}</definedName>
    <definedName name="ㅈ" localSheetId="7" hidden="1">{#N/A,#N/A,FALSE,"명세표"}</definedName>
    <definedName name="ㅈ" localSheetId="4" hidden="1">{#N/A,#N/A,FALSE,"명세표"}</definedName>
    <definedName name="ㅈ" localSheetId="26" hidden="1">{#N/A,#N/A,FALSE,"명세표"}</definedName>
    <definedName name="ㅈ" localSheetId="30" hidden="1">{#N/A,#N/A,FALSE,"명세표"}</definedName>
    <definedName name="ㅈ" localSheetId="22" hidden="1">{#N/A,#N/A,FALSE,"명세표"}</definedName>
    <definedName name="ㅈ" localSheetId="18" hidden="1">{#N/A,#N/A,FALSE,"명세표"}</definedName>
    <definedName name="ㅈ" localSheetId="14" hidden="1">{#N/A,#N/A,FALSE,"명세표"}</definedName>
    <definedName name="ㅈ" localSheetId="10" hidden="1">{#N/A,#N/A,FALSE,"명세표"}</definedName>
    <definedName name="ㅈ" localSheetId="2" hidden="1">{#N/A,#N/A,FALSE,"명세표"}</definedName>
    <definedName name="ㅈ" hidden="1">{#N/A,#N/A,FALSE,"명세표"}</definedName>
    <definedName name="ㅈㅈㅈㅈ" localSheetId="1" hidden="1">{#N/A,#N/A,FALSE,"명세표"}</definedName>
    <definedName name="ㅈㅈㅈㅈ" localSheetId="3" hidden="1">{#N/A,#N/A,FALSE,"명세표"}</definedName>
    <definedName name="ㅈㅈㅈㅈ" localSheetId="23" hidden="1">{#N/A,#N/A,FALSE,"명세표"}</definedName>
    <definedName name="ㅈㅈㅈㅈ" localSheetId="27" hidden="1">{#N/A,#N/A,FALSE,"명세표"}</definedName>
    <definedName name="ㅈㅈㅈㅈ" localSheetId="19" hidden="1">{#N/A,#N/A,FALSE,"명세표"}</definedName>
    <definedName name="ㅈㅈㅈㅈ" localSheetId="15" hidden="1">{#N/A,#N/A,FALSE,"명세표"}</definedName>
    <definedName name="ㅈㅈㅈㅈ" localSheetId="11" hidden="1">{#N/A,#N/A,FALSE,"명세표"}</definedName>
    <definedName name="ㅈㅈㅈㅈ" localSheetId="7" hidden="1">{#N/A,#N/A,FALSE,"명세표"}</definedName>
    <definedName name="ㅈㅈㅈㅈ" localSheetId="4" hidden="1">{#N/A,#N/A,FALSE,"명세표"}</definedName>
    <definedName name="ㅈㅈㅈㅈ" localSheetId="26" hidden="1">{#N/A,#N/A,FALSE,"명세표"}</definedName>
    <definedName name="ㅈㅈㅈㅈ" localSheetId="30" hidden="1">{#N/A,#N/A,FALSE,"명세표"}</definedName>
    <definedName name="ㅈㅈㅈㅈ" localSheetId="22" hidden="1">{#N/A,#N/A,FALSE,"명세표"}</definedName>
    <definedName name="ㅈㅈㅈㅈ" localSheetId="18" hidden="1">{#N/A,#N/A,FALSE,"명세표"}</definedName>
    <definedName name="ㅈㅈㅈㅈ" localSheetId="14" hidden="1">{#N/A,#N/A,FALSE,"명세표"}</definedName>
    <definedName name="ㅈㅈㅈㅈ" localSheetId="10" hidden="1">{#N/A,#N/A,FALSE,"명세표"}</definedName>
    <definedName name="ㅈㅈㅈㅈ" localSheetId="2" hidden="1">{#N/A,#N/A,FALSE,"명세표"}</definedName>
    <definedName name="ㅈㅈㅈㅈ" hidden="1">{#N/A,#N/A,FALSE,"명세표"}</definedName>
    <definedName name="자미" localSheetId="1" hidden="1">{#N/A,#N/A,FALSE,"명세표"}</definedName>
    <definedName name="자미" localSheetId="3" hidden="1">{#N/A,#N/A,FALSE,"명세표"}</definedName>
    <definedName name="자미" localSheetId="23" hidden="1">{#N/A,#N/A,FALSE,"명세표"}</definedName>
    <definedName name="자미" localSheetId="27" hidden="1">{#N/A,#N/A,FALSE,"명세표"}</definedName>
    <definedName name="자미" localSheetId="19" hidden="1">{#N/A,#N/A,FALSE,"명세표"}</definedName>
    <definedName name="자미" localSheetId="15" hidden="1">{#N/A,#N/A,FALSE,"명세표"}</definedName>
    <definedName name="자미" localSheetId="11" hidden="1">{#N/A,#N/A,FALSE,"명세표"}</definedName>
    <definedName name="자미" localSheetId="7" hidden="1">{#N/A,#N/A,FALSE,"명세표"}</definedName>
    <definedName name="자미" localSheetId="4" hidden="1">{#N/A,#N/A,FALSE,"명세표"}</definedName>
    <definedName name="자미" localSheetId="26" hidden="1">{#N/A,#N/A,FALSE,"명세표"}</definedName>
    <definedName name="자미" localSheetId="30" hidden="1">{#N/A,#N/A,FALSE,"명세표"}</definedName>
    <definedName name="자미" localSheetId="22" hidden="1">{#N/A,#N/A,FALSE,"명세표"}</definedName>
    <definedName name="자미" localSheetId="18" hidden="1">{#N/A,#N/A,FALSE,"명세표"}</definedName>
    <definedName name="자미" localSheetId="14" hidden="1">{#N/A,#N/A,FALSE,"명세표"}</definedName>
    <definedName name="자미" localSheetId="10" hidden="1">{#N/A,#N/A,FALSE,"명세표"}</definedName>
    <definedName name="자미" localSheetId="2" hidden="1">{#N/A,#N/A,FALSE,"명세표"}</definedName>
    <definedName name="자미" hidden="1">{#N/A,#N/A,FALSE,"명세표"}</definedName>
    <definedName name="지우기" localSheetId="3">#REF!</definedName>
    <definedName name="지우기" localSheetId="23">#REF!</definedName>
    <definedName name="지우기" localSheetId="27">#REF!</definedName>
    <definedName name="지우기" localSheetId="19">#REF!</definedName>
    <definedName name="지우기" localSheetId="15">#REF!</definedName>
    <definedName name="지우기" localSheetId="11">#REF!</definedName>
    <definedName name="지우기" localSheetId="7">#REF!</definedName>
    <definedName name="총계" localSheetId="3">#REF!</definedName>
    <definedName name="총계" localSheetId="23">#REF!</definedName>
    <definedName name="총계" localSheetId="27">#REF!</definedName>
    <definedName name="총계" localSheetId="19">#REF!</definedName>
    <definedName name="총계" localSheetId="15">#REF!</definedName>
    <definedName name="총계" localSheetId="11">#REF!</definedName>
    <definedName name="총계" localSheetId="7">#REF!</definedName>
    <definedName name="총괄">#REF!</definedName>
    <definedName name="ㅋㅁ" localSheetId="1" hidden="1">{#N/A,#N/A,FALSE,"명세표"}</definedName>
    <definedName name="ㅋㅁ" localSheetId="3" hidden="1">{#N/A,#N/A,FALSE,"명세표"}</definedName>
    <definedName name="ㅋㅁ" localSheetId="23" hidden="1">{#N/A,#N/A,FALSE,"명세표"}</definedName>
    <definedName name="ㅋㅁ" localSheetId="27" hidden="1">{#N/A,#N/A,FALSE,"명세표"}</definedName>
    <definedName name="ㅋㅁ" localSheetId="19" hidden="1">{#N/A,#N/A,FALSE,"명세표"}</definedName>
    <definedName name="ㅋㅁ" localSheetId="15" hidden="1">{#N/A,#N/A,FALSE,"명세표"}</definedName>
    <definedName name="ㅋㅁ" localSheetId="11" hidden="1">{#N/A,#N/A,FALSE,"명세표"}</definedName>
    <definedName name="ㅋㅁ" localSheetId="7" hidden="1">{#N/A,#N/A,FALSE,"명세표"}</definedName>
    <definedName name="ㅋㅁ" localSheetId="4" hidden="1">{#N/A,#N/A,FALSE,"명세표"}</definedName>
    <definedName name="ㅋㅁ" localSheetId="26" hidden="1">{#N/A,#N/A,FALSE,"명세표"}</definedName>
    <definedName name="ㅋㅁ" localSheetId="30" hidden="1">{#N/A,#N/A,FALSE,"명세표"}</definedName>
    <definedName name="ㅋㅁ" localSheetId="22" hidden="1">{#N/A,#N/A,FALSE,"명세표"}</definedName>
    <definedName name="ㅋㅁ" localSheetId="18" hidden="1">{#N/A,#N/A,FALSE,"명세표"}</definedName>
    <definedName name="ㅋㅁ" localSheetId="14" hidden="1">{#N/A,#N/A,FALSE,"명세표"}</definedName>
    <definedName name="ㅋㅁ" localSheetId="10" hidden="1">{#N/A,#N/A,FALSE,"명세표"}</definedName>
    <definedName name="ㅋㅁ" localSheetId="2" hidden="1">{#N/A,#N/A,FALSE,"명세표"}</definedName>
    <definedName name="ㅋㅁ" hidden="1">{#N/A,#N/A,FALSE,"명세표"}</definedName>
    <definedName name="ㅋㅋㅋ" localSheetId="1" hidden="1">{#N/A,#N/A,FALSE,"명세표"}</definedName>
    <definedName name="ㅋㅋㅋ" localSheetId="3" hidden="1">{#N/A,#N/A,FALSE,"명세표"}</definedName>
    <definedName name="ㅋㅋㅋ" localSheetId="23" hidden="1">{#N/A,#N/A,FALSE,"명세표"}</definedName>
    <definedName name="ㅋㅋㅋ" localSheetId="27" hidden="1">{#N/A,#N/A,FALSE,"명세표"}</definedName>
    <definedName name="ㅋㅋㅋ" localSheetId="19" hidden="1">{#N/A,#N/A,FALSE,"명세표"}</definedName>
    <definedName name="ㅋㅋㅋ" localSheetId="15" hidden="1">{#N/A,#N/A,FALSE,"명세표"}</definedName>
    <definedName name="ㅋㅋㅋ" localSheetId="11" hidden="1">{#N/A,#N/A,FALSE,"명세표"}</definedName>
    <definedName name="ㅋㅋㅋ" localSheetId="7" hidden="1">{#N/A,#N/A,FALSE,"명세표"}</definedName>
    <definedName name="ㅋㅋㅋ" localSheetId="4" hidden="1">{#N/A,#N/A,FALSE,"명세표"}</definedName>
    <definedName name="ㅋㅋㅋ" localSheetId="26" hidden="1">{#N/A,#N/A,FALSE,"명세표"}</definedName>
    <definedName name="ㅋㅋㅋ" localSheetId="30" hidden="1">{#N/A,#N/A,FALSE,"명세표"}</definedName>
    <definedName name="ㅋㅋㅋ" localSheetId="22" hidden="1">{#N/A,#N/A,FALSE,"명세표"}</definedName>
    <definedName name="ㅋㅋㅋ" localSheetId="18" hidden="1">{#N/A,#N/A,FALSE,"명세표"}</definedName>
    <definedName name="ㅋㅋㅋ" localSheetId="14" hidden="1">{#N/A,#N/A,FALSE,"명세표"}</definedName>
    <definedName name="ㅋㅋㅋ" localSheetId="10" hidden="1">{#N/A,#N/A,FALSE,"명세표"}</definedName>
    <definedName name="ㅋㅋㅋ" localSheetId="2" hidden="1">{#N/A,#N/A,FALSE,"명세표"}</definedName>
    <definedName name="ㅋㅋㅋ" hidden="1">{#N/A,#N/A,FALSE,"명세표"}</definedName>
    <definedName name="콘크리트" localSheetId="3">#REF!</definedName>
    <definedName name="콘크리트" localSheetId="23">#REF!</definedName>
    <definedName name="콘크리트" localSheetId="27">#REF!</definedName>
    <definedName name="콘크리트" localSheetId="19">#REF!</definedName>
    <definedName name="콘크리트" localSheetId="15">#REF!</definedName>
    <definedName name="콘크리트" localSheetId="11">#REF!</definedName>
    <definedName name="콘크리트" localSheetId="7">#REF!</definedName>
    <definedName name="ㅍ" localSheetId="1" hidden="1">{#N/A,#N/A,FALSE,"명세표"}</definedName>
    <definedName name="ㅍ" localSheetId="3" hidden="1">{#N/A,#N/A,FALSE,"명세표"}</definedName>
    <definedName name="ㅍ" localSheetId="23" hidden="1">{#N/A,#N/A,FALSE,"명세표"}</definedName>
    <definedName name="ㅍ" localSheetId="27" hidden="1">{#N/A,#N/A,FALSE,"명세표"}</definedName>
    <definedName name="ㅍ" localSheetId="19" hidden="1">{#N/A,#N/A,FALSE,"명세표"}</definedName>
    <definedName name="ㅍ" localSheetId="15" hidden="1">{#N/A,#N/A,FALSE,"명세표"}</definedName>
    <definedName name="ㅍ" localSheetId="11" hidden="1">{#N/A,#N/A,FALSE,"명세표"}</definedName>
    <definedName name="ㅍ" localSheetId="7" hidden="1">{#N/A,#N/A,FALSE,"명세표"}</definedName>
    <definedName name="ㅍ" localSheetId="4" hidden="1">{#N/A,#N/A,FALSE,"명세표"}</definedName>
    <definedName name="ㅍ" localSheetId="26" hidden="1">{#N/A,#N/A,FALSE,"명세표"}</definedName>
    <definedName name="ㅍ" localSheetId="30" hidden="1">{#N/A,#N/A,FALSE,"명세표"}</definedName>
    <definedName name="ㅍ" localSheetId="22" hidden="1">{#N/A,#N/A,FALSE,"명세표"}</definedName>
    <definedName name="ㅍ" localSheetId="18" hidden="1">{#N/A,#N/A,FALSE,"명세표"}</definedName>
    <definedName name="ㅍ" localSheetId="14" hidden="1">{#N/A,#N/A,FALSE,"명세표"}</definedName>
    <definedName name="ㅍ" localSheetId="10" hidden="1">{#N/A,#N/A,FALSE,"명세표"}</definedName>
    <definedName name="ㅍ" localSheetId="2" hidden="1">{#N/A,#N/A,FALSE,"명세표"}</definedName>
    <definedName name="ㅍ" hidden="1">{#N/A,#N/A,FALSE,"명세표"}</definedName>
    <definedName name="ㅎ1" localSheetId="3">#REF!</definedName>
    <definedName name="ㅎ1" localSheetId="23">#REF!</definedName>
    <definedName name="ㅎ1" localSheetId="27">#REF!</definedName>
    <definedName name="ㅎ1" localSheetId="19">#REF!</definedName>
    <definedName name="ㅎ1" localSheetId="15">#REF!</definedName>
    <definedName name="ㅎ1" localSheetId="11">#REF!</definedName>
    <definedName name="ㅎ1" localSheetId="7">#REF!</definedName>
    <definedName name="하하하" localSheetId="1" hidden="1">{#N/A,#N/A,FALSE,"명세표"}</definedName>
    <definedName name="하하하" localSheetId="3" hidden="1">{#N/A,#N/A,FALSE,"명세표"}</definedName>
    <definedName name="하하하" localSheetId="23" hidden="1">{#N/A,#N/A,FALSE,"명세표"}</definedName>
    <definedName name="하하하" localSheetId="27" hidden="1">{#N/A,#N/A,FALSE,"명세표"}</definedName>
    <definedName name="하하하" localSheetId="19" hidden="1">{#N/A,#N/A,FALSE,"명세표"}</definedName>
    <definedName name="하하하" localSheetId="15" hidden="1">{#N/A,#N/A,FALSE,"명세표"}</definedName>
    <definedName name="하하하" localSheetId="11" hidden="1">{#N/A,#N/A,FALSE,"명세표"}</definedName>
    <definedName name="하하하" localSheetId="7" hidden="1">{#N/A,#N/A,FALSE,"명세표"}</definedName>
    <definedName name="하하하" localSheetId="4" hidden="1">{#N/A,#N/A,FALSE,"명세표"}</definedName>
    <definedName name="하하하" localSheetId="26" hidden="1">{#N/A,#N/A,FALSE,"명세표"}</definedName>
    <definedName name="하하하" localSheetId="30" hidden="1">{#N/A,#N/A,FALSE,"명세표"}</definedName>
    <definedName name="하하하" localSheetId="22" hidden="1">{#N/A,#N/A,FALSE,"명세표"}</definedName>
    <definedName name="하하하" localSheetId="18" hidden="1">{#N/A,#N/A,FALSE,"명세표"}</definedName>
    <definedName name="하하하" localSheetId="14" hidden="1">{#N/A,#N/A,FALSE,"명세표"}</definedName>
    <definedName name="하하하" localSheetId="10" hidden="1">{#N/A,#N/A,FALSE,"명세표"}</definedName>
    <definedName name="하하하" localSheetId="2" hidden="1">{#N/A,#N/A,FALSE,"명세표"}</definedName>
    <definedName name="하하하" hidden="1">{#N/A,#N/A,FALSE,"명세표"}</definedName>
    <definedName name="호호호" localSheetId="1" hidden="1">{#N/A,#N/A,FALSE,"명세표"}</definedName>
    <definedName name="호호호" localSheetId="3" hidden="1">{#N/A,#N/A,FALSE,"명세표"}</definedName>
    <definedName name="호호호" localSheetId="23" hidden="1">{#N/A,#N/A,FALSE,"명세표"}</definedName>
    <definedName name="호호호" localSheetId="27" hidden="1">{#N/A,#N/A,FALSE,"명세표"}</definedName>
    <definedName name="호호호" localSheetId="19" hidden="1">{#N/A,#N/A,FALSE,"명세표"}</definedName>
    <definedName name="호호호" localSheetId="15" hidden="1">{#N/A,#N/A,FALSE,"명세표"}</definedName>
    <definedName name="호호호" localSheetId="11" hidden="1">{#N/A,#N/A,FALSE,"명세표"}</definedName>
    <definedName name="호호호" localSheetId="7" hidden="1">{#N/A,#N/A,FALSE,"명세표"}</definedName>
    <definedName name="호호호" localSheetId="4" hidden="1">{#N/A,#N/A,FALSE,"명세표"}</definedName>
    <definedName name="호호호" localSheetId="26" hidden="1">{#N/A,#N/A,FALSE,"명세표"}</definedName>
    <definedName name="호호호" localSheetId="30" hidden="1">{#N/A,#N/A,FALSE,"명세표"}</definedName>
    <definedName name="호호호" localSheetId="22" hidden="1">{#N/A,#N/A,FALSE,"명세표"}</definedName>
    <definedName name="호호호" localSheetId="18" hidden="1">{#N/A,#N/A,FALSE,"명세표"}</definedName>
    <definedName name="호호호" localSheetId="14" hidden="1">{#N/A,#N/A,FALSE,"명세표"}</definedName>
    <definedName name="호호호" localSheetId="10" hidden="1">{#N/A,#N/A,FALSE,"명세표"}</definedName>
    <definedName name="호호호" localSheetId="2" hidden="1">{#N/A,#N/A,FALSE,"명세표"}</definedName>
    <definedName name="호호호" hidden="1">{#N/A,#N/A,FALSE,"명세표"}</definedName>
    <definedName name="ㅏㅏㅏ" localSheetId="1" hidden="1">{#N/A,#N/A,FALSE,"명세표"}</definedName>
    <definedName name="ㅏㅏㅏ" localSheetId="3" hidden="1">{#N/A,#N/A,FALSE,"명세표"}</definedName>
    <definedName name="ㅏㅏㅏ" localSheetId="23" hidden="1">{#N/A,#N/A,FALSE,"명세표"}</definedName>
    <definedName name="ㅏㅏㅏ" localSheetId="27" hidden="1">{#N/A,#N/A,FALSE,"명세표"}</definedName>
    <definedName name="ㅏㅏㅏ" localSheetId="19" hidden="1">{#N/A,#N/A,FALSE,"명세표"}</definedName>
    <definedName name="ㅏㅏㅏ" localSheetId="15" hidden="1">{#N/A,#N/A,FALSE,"명세표"}</definedName>
    <definedName name="ㅏㅏㅏ" localSheetId="11" hidden="1">{#N/A,#N/A,FALSE,"명세표"}</definedName>
    <definedName name="ㅏㅏㅏ" localSheetId="7" hidden="1">{#N/A,#N/A,FALSE,"명세표"}</definedName>
    <definedName name="ㅏㅏㅏ" localSheetId="4" hidden="1">{#N/A,#N/A,FALSE,"명세표"}</definedName>
    <definedName name="ㅏㅏㅏ" localSheetId="26" hidden="1">{#N/A,#N/A,FALSE,"명세표"}</definedName>
    <definedName name="ㅏㅏㅏ" localSheetId="30" hidden="1">{#N/A,#N/A,FALSE,"명세표"}</definedName>
    <definedName name="ㅏㅏㅏ" localSheetId="22" hidden="1">{#N/A,#N/A,FALSE,"명세표"}</definedName>
    <definedName name="ㅏㅏㅏ" localSheetId="18" hidden="1">{#N/A,#N/A,FALSE,"명세표"}</definedName>
    <definedName name="ㅏㅏㅏ" localSheetId="14" hidden="1">{#N/A,#N/A,FALSE,"명세표"}</definedName>
    <definedName name="ㅏㅏㅏ" localSheetId="10" hidden="1">{#N/A,#N/A,FALSE,"명세표"}</definedName>
    <definedName name="ㅏㅏㅏ" localSheetId="2" hidden="1">{#N/A,#N/A,FALSE,"명세표"}</definedName>
    <definedName name="ㅏㅏㅏ" hidden="1">{#N/A,#N/A,FALSE,"명세표"}</definedName>
    <definedName name="ㅔㅔ" localSheetId="1" hidden="1">{#N/A,#N/A,FALSE,"명세표"}</definedName>
    <definedName name="ㅔㅔ" localSheetId="3" hidden="1">{#N/A,#N/A,FALSE,"명세표"}</definedName>
    <definedName name="ㅔㅔ" localSheetId="23" hidden="1">{#N/A,#N/A,FALSE,"명세표"}</definedName>
    <definedName name="ㅔㅔ" localSheetId="27" hidden="1">{#N/A,#N/A,FALSE,"명세표"}</definedName>
    <definedName name="ㅔㅔ" localSheetId="19" hidden="1">{#N/A,#N/A,FALSE,"명세표"}</definedName>
    <definedName name="ㅔㅔ" localSheetId="15" hidden="1">{#N/A,#N/A,FALSE,"명세표"}</definedName>
    <definedName name="ㅔㅔ" localSheetId="11" hidden="1">{#N/A,#N/A,FALSE,"명세표"}</definedName>
    <definedName name="ㅔㅔ" localSheetId="7" hidden="1">{#N/A,#N/A,FALSE,"명세표"}</definedName>
    <definedName name="ㅔㅔ" localSheetId="4" hidden="1">{#N/A,#N/A,FALSE,"명세표"}</definedName>
    <definedName name="ㅔㅔ" localSheetId="26" hidden="1">{#N/A,#N/A,FALSE,"명세표"}</definedName>
    <definedName name="ㅔㅔ" localSheetId="30" hidden="1">{#N/A,#N/A,FALSE,"명세표"}</definedName>
    <definedName name="ㅔㅔ" localSheetId="22" hidden="1">{#N/A,#N/A,FALSE,"명세표"}</definedName>
    <definedName name="ㅔㅔ" localSheetId="18" hidden="1">{#N/A,#N/A,FALSE,"명세표"}</definedName>
    <definedName name="ㅔㅔ" localSheetId="14" hidden="1">{#N/A,#N/A,FALSE,"명세표"}</definedName>
    <definedName name="ㅔㅔ" localSheetId="10" hidden="1">{#N/A,#N/A,FALSE,"명세표"}</definedName>
    <definedName name="ㅔㅔ" localSheetId="2" hidden="1">{#N/A,#N/A,FALSE,"명세표"}</definedName>
    <definedName name="ㅔㅔ" hidden="1">{#N/A,#N/A,FALSE,"명세표"}</definedName>
    <definedName name="ㅗ11" localSheetId="1">#REF!</definedName>
    <definedName name="ㅗ11" localSheetId="3">#REF!</definedName>
    <definedName name="ㅗ11" localSheetId="23">#REF!</definedName>
    <definedName name="ㅗ11" localSheetId="27">#REF!</definedName>
    <definedName name="ㅗ11" localSheetId="19">#REF!</definedName>
    <definedName name="ㅗ11" localSheetId="15">#REF!</definedName>
    <definedName name="ㅗ11" localSheetId="11">#REF!</definedName>
    <definedName name="ㅗ11" localSheetId="7">#REF!</definedName>
    <definedName name="ㅗ11" localSheetId="26">#REF!</definedName>
    <definedName name="ㅗ11" localSheetId="30">#REF!</definedName>
    <definedName name="ㅗ11" localSheetId="22">#REF!</definedName>
    <definedName name="ㅗ11" localSheetId="18">#REF!</definedName>
    <definedName name="ㅗ11" localSheetId="14">#REF!</definedName>
    <definedName name="ㅗ11" localSheetId="10">#REF!</definedName>
    <definedName name="ㅗ11" localSheetId="2">#REF!</definedName>
    <definedName name="ㅗ11">[2]총괄표!$M$36</definedName>
    <definedName name="ㅗㅗ" localSheetId="1" hidden="1">{#N/A,#N/A,FALSE,"명세표"}</definedName>
    <definedName name="ㅗㅗ" localSheetId="3" hidden="1">{#N/A,#N/A,FALSE,"명세표"}</definedName>
    <definedName name="ㅗㅗ" localSheetId="23" hidden="1">{#N/A,#N/A,FALSE,"명세표"}</definedName>
    <definedName name="ㅗㅗ" localSheetId="27" hidden="1">{#N/A,#N/A,FALSE,"명세표"}</definedName>
    <definedName name="ㅗㅗ" localSheetId="19" hidden="1">{#N/A,#N/A,FALSE,"명세표"}</definedName>
    <definedName name="ㅗㅗ" localSheetId="15" hidden="1">{#N/A,#N/A,FALSE,"명세표"}</definedName>
    <definedName name="ㅗㅗ" localSheetId="11" hidden="1">{#N/A,#N/A,FALSE,"명세표"}</definedName>
    <definedName name="ㅗㅗ" localSheetId="7" hidden="1">{#N/A,#N/A,FALSE,"명세표"}</definedName>
    <definedName name="ㅗㅗ" localSheetId="4" hidden="1">{#N/A,#N/A,FALSE,"명세표"}</definedName>
    <definedName name="ㅗㅗ" localSheetId="26" hidden="1">{#N/A,#N/A,FALSE,"명세표"}</definedName>
    <definedName name="ㅗㅗ" localSheetId="30" hidden="1">{#N/A,#N/A,FALSE,"명세표"}</definedName>
    <definedName name="ㅗㅗ" localSheetId="22" hidden="1">{#N/A,#N/A,FALSE,"명세표"}</definedName>
    <definedName name="ㅗㅗ" localSheetId="18" hidden="1">{#N/A,#N/A,FALSE,"명세표"}</definedName>
    <definedName name="ㅗㅗ" localSheetId="14" hidden="1">{#N/A,#N/A,FALSE,"명세표"}</definedName>
    <definedName name="ㅗㅗ" localSheetId="10" hidden="1">{#N/A,#N/A,FALSE,"명세표"}</definedName>
    <definedName name="ㅗㅗ" localSheetId="2" hidden="1">{#N/A,#N/A,FALSE,"명세표"}</definedName>
    <definedName name="ㅗㅗ" hidden="1">{#N/A,#N/A,FALSE,"명세표"}</definedName>
    <definedName name="ㅜ" localSheetId="1" hidden="1">{#N/A,#N/A,FALSE,"명세표"}</definedName>
    <definedName name="ㅜ" localSheetId="3" hidden="1">{#N/A,#N/A,FALSE,"명세표"}</definedName>
    <definedName name="ㅜ" localSheetId="23" hidden="1">{#N/A,#N/A,FALSE,"명세표"}</definedName>
    <definedName name="ㅜ" localSheetId="27" hidden="1">{#N/A,#N/A,FALSE,"명세표"}</definedName>
    <definedName name="ㅜ" localSheetId="19" hidden="1">{#N/A,#N/A,FALSE,"명세표"}</definedName>
    <definedName name="ㅜ" localSheetId="15" hidden="1">{#N/A,#N/A,FALSE,"명세표"}</definedName>
    <definedName name="ㅜ" localSheetId="11" hidden="1">{#N/A,#N/A,FALSE,"명세표"}</definedName>
    <definedName name="ㅜ" localSheetId="7" hidden="1">{#N/A,#N/A,FALSE,"명세표"}</definedName>
    <definedName name="ㅜ" localSheetId="4" hidden="1">{#N/A,#N/A,FALSE,"명세표"}</definedName>
    <definedName name="ㅜ" localSheetId="26" hidden="1">{#N/A,#N/A,FALSE,"명세표"}</definedName>
    <definedName name="ㅜ" localSheetId="30" hidden="1">{#N/A,#N/A,FALSE,"명세표"}</definedName>
    <definedName name="ㅜ" localSheetId="22" hidden="1">{#N/A,#N/A,FALSE,"명세표"}</definedName>
    <definedName name="ㅜ" localSheetId="18" hidden="1">{#N/A,#N/A,FALSE,"명세표"}</definedName>
    <definedName name="ㅜ" localSheetId="14" hidden="1">{#N/A,#N/A,FALSE,"명세표"}</definedName>
    <definedName name="ㅜ" localSheetId="10" hidden="1">{#N/A,#N/A,FALSE,"명세표"}</definedName>
    <definedName name="ㅜ" localSheetId="2" hidden="1">{#N/A,#N/A,FALSE,"명세표"}</definedName>
    <definedName name="ㅜ" hidden="1">{#N/A,#N/A,FALSE,"명세표"}</definedName>
    <definedName name="ㅡㅡ" localSheetId="1" hidden="1">{#N/A,#N/A,FALSE,"명세표"}</definedName>
    <definedName name="ㅡㅡ" localSheetId="3" hidden="1">{#N/A,#N/A,FALSE,"명세표"}</definedName>
    <definedName name="ㅡㅡ" localSheetId="23" hidden="1">{#N/A,#N/A,FALSE,"명세표"}</definedName>
    <definedName name="ㅡㅡ" localSheetId="27" hidden="1">{#N/A,#N/A,FALSE,"명세표"}</definedName>
    <definedName name="ㅡㅡ" localSheetId="19" hidden="1">{#N/A,#N/A,FALSE,"명세표"}</definedName>
    <definedName name="ㅡㅡ" localSheetId="15" hidden="1">{#N/A,#N/A,FALSE,"명세표"}</definedName>
    <definedName name="ㅡㅡ" localSheetId="11" hidden="1">{#N/A,#N/A,FALSE,"명세표"}</definedName>
    <definedName name="ㅡㅡ" localSheetId="7" hidden="1">{#N/A,#N/A,FALSE,"명세표"}</definedName>
    <definedName name="ㅡㅡ" localSheetId="4" hidden="1">{#N/A,#N/A,FALSE,"명세표"}</definedName>
    <definedName name="ㅡㅡ" localSheetId="26" hidden="1">{#N/A,#N/A,FALSE,"명세표"}</definedName>
    <definedName name="ㅡㅡ" localSheetId="30" hidden="1">{#N/A,#N/A,FALSE,"명세표"}</definedName>
    <definedName name="ㅡㅡ" localSheetId="22" hidden="1">{#N/A,#N/A,FALSE,"명세표"}</definedName>
    <definedName name="ㅡㅡ" localSheetId="18" hidden="1">{#N/A,#N/A,FALSE,"명세표"}</definedName>
    <definedName name="ㅡㅡ" localSheetId="14" hidden="1">{#N/A,#N/A,FALSE,"명세표"}</definedName>
    <definedName name="ㅡㅡ" localSheetId="10" hidden="1">{#N/A,#N/A,FALSE,"명세표"}</definedName>
    <definedName name="ㅡㅡ" localSheetId="2" hidden="1">{#N/A,#N/A,FALSE,"명세표"}</definedName>
    <definedName name="ㅡㅡ" hidden="1">{#N/A,#N/A,FALSE,"명세표"}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56" l="1"/>
  <c r="C8" i="156"/>
  <c r="C7" i="156"/>
  <c r="C6" i="156"/>
  <c r="C5" i="156"/>
  <c r="C4" i="156"/>
  <c r="K11" i="185" l="1"/>
  <c r="K12" i="185"/>
  <c r="K13" i="185"/>
  <c r="K14" i="185"/>
  <c r="K15" i="185"/>
  <c r="K16" i="185"/>
  <c r="K17" i="185"/>
  <c r="K18" i="185"/>
  <c r="K19" i="185"/>
  <c r="K20" i="185"/>
  <c r="K21" i="185"/>
  <c r="K22" i="185"/>
  <c r="K23" i="185"/>
  <c r="K24" i="185"/>
  <c r="K25" i="185"/>
  <c r="K26" i="185"/>
  <c r="K27" i="185"/>
  <c r="K28" i="185"/>
  <c r="K29" i="185"/>
  <c r="K30" i="185"/>
  <c r="K10" i="185"/>
  <c r="K20" i="177"/>
  <c r="K21" i="177"/>
  <c r="K22" i="177"/>
  <c r="K23" i="177"/>
  <c r="K24" i="177"/>
  <c r="K25" i="177"/>
  <c r="K26" i="177"/>
  <c r="K27" i="177"/>
  <c r="K28" i="177"/>
  <c r="K29" i="177"/>
  <c r="K30" i="177"/>
  <c r="K11" i="177"/>
  <c r="K12" i="177"/>
  <c r="K13" i="177"/>
  <c r="K14" i="177"/>
  <c r="K15" i="177"/>
  <c r="K16" i="177"/>
  <c r="K17" i="177"/>
  <c r="K18" i="177"/>
  <c r="K19" i="177"/>
  <c r="K10" i="177"/>
  <c r="K6" i="170"/>
  <c r="I6" i="170"/>
  <c r="K6" i="178"/>
  <c r="I6" i="178"/>
  <c r="G6" i="178"/>
  <c r="K11" i="159"/>
  <c r="K12" i="159"/>
  <c r="K13" i="159"/>
  <c r="K14" i="159"/>
  <c r="K15" i="159"/>
  <c r="K16" i="159"/>
  <c r="K17" i="159"/>
  <c r="K18" i="159"/>
  <c r="K25" i="169" l="1"/>
  <c r="K26" i="169"/>
  <c r="K27" i="169"/>
  <c r="K28" i="169"/>
  <c r="K16" i="169"/>
  <c r="K19" i="169"/>
  <c r="K20" i="169"/>
  <c r="K21" i="169"/>
  <c r="K22" i="169"/>
  <c r="K23" i="169"/>
  <c r="M30" i="73"/>
  <c r="M29" i="73"/>
  <c r="M25" i="73"/>
  <c r="M27" i="73"/>
  <c r="M21" i="73"/>
  <c r="M22" i="73"/>
  <c r="M23" i="73"/>
  <c r="M24" i="73"/>
  <c r="M18" i="73"/>
  <c r="J8" i="157"/>
  <c r="J4" i="157"/>
  <c r="D57" i="25" l="1"/>
  <c r="D58" i="25"/>
  <c r="D59" i="25"/>
  <c r="D56" i="25"/>
  <c r="D53" i="25"/>
  <c r="D47" i="25"/>
  <c r="D48" i="25"/>
  <c r="D49" i="25"/>
  <c r="D50" i="25"/>
  <c r="D46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3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7" i="25"/>
  <c r="D8" i="25"/>
  <c r="D9" i="25"/>
  <c r="D10" i="25"/>
  <c r="B10" i="156" l="1"/>
  <c r="K4" i="159" l="1"/>
  <c r="K4" i="161"/>
  <c r="K4" i="185"/>
  <c r="K6" i="186"/>
  <c r="I6" i="186"/>
  <c r="G6" i="186"/>
  <c r="F12" i="188"/>
  <c r="G60" i="187"/>
  <c r="D60" i="187"/>
  <c r="L59" i="187"/>
  <c r="M59" i="187" s="1"/>
  <c r="K59" i="187"/>
  <c r="I59" i="187"/>
  <c r="G59" i="187"/>
  <c r="M58" i="187"/>
  <c r="L58" i="187"/>
  <c r="K58" i="187"/>
  <c r="I58" i="187"/>
  <c r="G58" i="187"/>
  <c r="L57" i="187"/>
  <c r="M57" i="187" s="1"/>
  <c r="K57" i="187"/>
  <c r="K60" i="187" s="1"/>
  <c r="I57" i="187"/>
  <c r="I60" i="187" s="1"/>
  <c r="G57" i="187"/>
  <c r="L56" i="187"/>
  <c r="M56" i="187" s="1"/>
  <c r="K56" i="187"/>
  <c r="I56" i="187"/>
  <c r="G56" i="187"/>
  <c r="K54" i="187"/>
  <c r="I54" i="187"/>
  <c r="G54" i="187"/>
  <c r="D54" i="187"/>
  <c r="M53" i="187"/>
  <c r="M54" i="187" s="1"/>
  <c r="L53" i="187"/>
  <c r="K53" i="187"/>
  <c r="I53" i="187"/>
  <c r="D51" i="187"/>
  <c r="L50" i="187"/>
  <c r="M50" i="187" s="1"/>
  <c r="K50" i="187"/>
  <c r="I50" i="187"/>
  <c r="G50" i="187"/>
  <c r="L49" i="187"/>
  <c r="M49" i="187" s="1"/>
  <c r="K49" i="187"/>
  <c r="I49" i="187"/>
  <c r="G49" i="187"/>
  <c r="M48" i="187"/>
  <c r="L48" i="187"/>
  <c r="K48" i="187"/>
  <c r="I48" i="187"/>
  <c r="G48" i="187"/>
  <c r="M47" i="187"/>
  <c r="L47" i="187"/>
  <c r="K47" i="187"/>
  <c r="I47" i="187"/>
  <c r="G47" i="187"/>
  <c r="L46" i="187"/>
  <c r="M46" i="187" s="1"/>
  <c r="M51" i="187" s="1"/>
  <c r="K46" i="187"/>
  <c r="K51" i="187" s="1"/>
  <c r="I46" i="187"/>
  <c r="I51" i="187" s="1"/>
  <c r="G46" i="187"/>
  <c r="G51" i="187" s="1"/>
  <c r="D44" i="187"/>
  <c r="L43" i="187"/>
  <c r="M43" i="187" s="1"/>
  <c r="K43" i="187"/>
  <c r="I43" i="187"/>
  <c r="G43" i="187"/>
  <c r="L42" i="187"/>
  <c r="M42" i="187" s="1"/>
  <c r="K42" i="187"/>
  <c r="I42" i="187"/>
  <c r="G42" i="187"/>
  <c r="L41" i="187"/>
  <c r="M41" i="187" s="1"/>
  <c r="K41" i="187"/>
  <c r="I41" i="187"/>
  <c r="G41" i="187"/>
  <c r="L40" i="187"/>
  <c r="M40" i="187" s="1"/>
  <c r="K40" i="187"/>
  <c r="I40" i="187"/>
  <c r="G40" i="187"/>
  <c r="L39" i="187"/>
  <c r="M39" i="187" s="1"/>
  <c r="K39" i="187"/>
  <c r="I39" i="187"/>
  <c r="G39" i="187"/>
  <c r="M38" i="187"/>
  <c r="L38" i="187"/>
  <c r="K38" i="187"/>
  <c r="I38" i="187"/>
  <c r="G38" i="187"/>
  <c r="L37" i="187"/>
  <c r="M37" i="187" s="1"/>
  <c r="K37" i="187"/>
  <c r="I37" i="187"/>
  <c r="I44" i="187" s="1"/>
  <c r="G37" i="187"/>
  <c r="M36" i="187"/>
  <c r="L36" i="187"/>
  <c r="K36" i="187"/>
  <c r="I36" i="187"/>
  <c r="G36" i="187"/>
  <c r="M35" i="187"/>
  <c r="L35" i="187"/>
  <c r="K35" i="187"/>
  <c r="I35" i="187"/>
  <c r="G35" i="187"/>
  <c r="M34" i="187"/>
  <c r="L34" i="187"/>
  <c r="K34" i="187"/>
  <c r="I34" i="187"/>
  <c r="G34" i="187"/>
  <c r="L33" i="187"/>
  <c r="M33" i="187" s="1"/>
  <c r="K33" i="187"/>
  <c r="I33" i="187"/>
  <c r="G33" i="187"/>
  <c r="L32" i="187"/>
  <c r="M32" i="187" s="1"/>
  <c r="K32" i="187"/>
  <c r="I32" i="187"/>
  <c r="G32" i="187"/>
  <c r="L31" i="187"/>
  <c r="M31" i="187" s="1"/>
  <c r="K31" i="187"/>
  <c r="I31" i="187"/>
  <c r="G31" i="187"/>
  <c r="L30" i="187"/>
  <c r="M30" i="187" s="1"/>
  <c r="K30" i="187"/>
  <c r="I30" i="187"/>
  <c r="G30" i="187"/>
  <c r="D28" i="187"/>
  <c r="D62" i="187" s="1"/>
  <c r="L27" i="187"/>
  <c r="M27" i="187" s="1"/>
  <c r="K27" i="187"/>
  <c r="I27" i="187"/>
  <c r="G27" i="187"/>
  <c r="L26" i="187"/>
  <c r="M26" i="187" s="1"/>
  <c r="K26" i="187"/>
  <c r="I26" i="187"/>
  <c r="G26" i="187"/>
  <c r="M25" i="187"/>
  <c r="L25" i="187"/>
  <c r="K25" i="187"/>
  <c r="I25" i="187"/>
  <c r="G25" i="187"/>
  <c r="L24" i="187"/>
  <c r="M24" i="187" s="1"/>
  <c r="K24" i="187"/>
  <c r="I24" i="187"/>
  <c r="G24" i="187"/>
  <c r="L23" i="187"/>
  <c r="M23" i="187" s="1"/>
  <c r="K23" i="187"/>
  <c r="I23" i="187"/>
  <c r="G23" i="187"/>
  <c r="M22" i="187"/>
  <c r="L22" i="187"/>
  <c r="K22" i="187"/>
  <c r="I22" i="187"/>
  <c r="G22" i="187"/>
  <c r="M21" i="187"/>
  <c r="L21" i="187"/>
  <c r="K21" i="187"/>
  <c r="I21" i="187"/>
  <c r="G21" i="187"/>
  <c r="L20" i="187"/>
  <c r="M20" i="187" s="1"/>
  <c r="K20" i="187"/>
  <c r="I20" i="187"/>
  <c r="G20" i="187"/>
  <c r="L19" i="187"/>
  <c r="M19" i="187" s="1"/>
  <c r="K19" i="187"/>
  <c r="I19" i="187"/>
  <c r="G19" i="187"/>
  <c r="L18" i="187"/>
  <c r="M18" i="187" s="1"/>
  <c r="K18" i="187"/>
  <c r="I18" i="187"/>
  <c r="G18" i="187"/>
  <c r="L17" i="187"/>
  <c r="M17" i="187" s="1"/>
  <c r="K17" i="187"/>
  <c r="I17" i="187"/>
  <c r="G17" i="187"/>
  <c r="L16" i="187"/>
  <c r="M16" i="187" s="1"/>
  <c r="K16" i="187"/>
  <c r="I16" i="187"/>
  <c r="G16" i="187"/>
  <c r="L15" i="187"/>
  <c r="M15" i="187" s="1"/>
  <c r="K15" i="187"/>
  <c r="I15" i="187"/>
  <c r="G15" i="187"/>
  <c r="L14" i="187"/>
  <c r="M14" i="187" s="1"/>
  <c r="K14" i="187"/>
  <c r="I14" i="187"/>
  <c r="G14" i="187"/>
  <c r="M13" i="187"/>
  <c r="L13" i="187"/>
  <c r="K13" i="187"/>
  <c r="I13" i="187"/>
  <c r="G13" i="187"/>
  <c r="L12" i="187"/>
  <c r="M12" i="187" s="1"/>
  <c r="K12" i="187"/>
  <c r="I12" i="187"/>
  <c r="G12" i="187"/>
  <c r="L11" i="187"/>
  <c r="M11" i="187" s="1"/>
  <c r="K11" i="187"/>
  <c r="I11" i="187"/>
  <c r="G11" i="187"/>
  <c r="M10" i="187"/>
  <c r="L10" i="187"/>
  <c r="K10" i="187"/>
  <c r="I10" i="187"/>
  <c r="G10" i="187"/>
  <c r="M9" i="187"/>
  <c r="L9" i="187"/>
  <c r="K9" i="187"/>
  <c r="I9" i="187"/>
  <c r="G9" i="187"/>
  <c r="L8" i="187"/>
  <c r="M8" i="187" s="1"/>
  <c r="K8" i="187"/>
  <c r="I8" i="187"/>
  <c r="G8" i="187"/>
  <c r="L7" i="187"/>
  <c r="M7" i="187" s="1"/>
  <c r="K7" i="187"/>
  <c r="I7" i="187"/>
  <c r="G7" i="187"/>
  <c r="G28" i="187" s="1"/>
  <c r="I10" i="186"/>
  <c r="M15" i="186" s="1"/>
  <c r="G10" i="186"/>
  <c r="M6" i="186"/>
  <c r="M10" i="186" s="1"/>
  <c r="L28" i="185"/>
  <c r="L27" i="185"/>
  <c r="L26" i="185"/>
  <c r="L25" i="185"/>
  <c r="L23" i="185"/>
  <c r="L22" i="185"/>
  <c r="L21" i="185"/>
  <c r="L20" i="185"/>
  <c r="L19" i="185"/>
  <c r="L16" i="185"/>
  <c r="J8" i="185"/>
  <c r="L4" i="185"/>
  <c r="L8" i="185" s="1"/>
  <c r="G44" i="187" l="1"/>
  <c r="G61" i="187" s="1"/>
  <c r="K44" i="187"/>
  <c r="M44" i="187"/>
  <c r="I28" i="187"/>
  <c r="I61" i="187" s="1"/>
  <c r="K28" i="187"/>
  <c r="M28" i="187"/>
  <c r="K61" i="187"/>
  <c r="M60" i="187"/>
  <c r="M26" i="186"/>
  <c r="M20" i="186"/>
  <c r="M19" i="186"/>
  <c r="M12" i="186"/>
  <c r="K10" i="186"/>
  <c r="M17" i="186" s="1"/>
  <c r="M14" i="186"/>
  <c r="M13" i="186" s="1"/>
  <c r="K8" i="185"/>
  <c r="M16" i="186" l="1"/>
  <c r="M61" i="187"/>
  <c r="M31" i="186"/>
  <c r="M32" i="186"/>
  <c r="M33" i="186" s="1"/>
  <c r="K31" i="185" s="1"/>
  <c r="M34" i="186" l="1"/>
  <c r="K33" i="186"/>
  <c r="M35" i="186" l="1"/>
  <c r="K33" i="185" s="1"/>
  <c r="K32" i="185"/>
  <c r="M36" i="186"/>
  <c r="M37" i="186" l="1"/>
  <c r="K34" i="185"/>
  <c r="F12" i="180"/>
  <c r="D60" i="179"/>
  <c r="L59" i="179"/>
  <c r="M59" i="179" s="1"/>
  <c r="K59" i="179"/>
  <c r="I59" i="179"/>
  <c r="G59" i="179"/>
  <c r="L58" i="179"/>
  <c r="M58" i="179" s="1"/>
  <c r="K58" i="179"/>
  <c r="I58" i="179"/>
  <c r="G58" i="179"/>
  <c r="G60" i="179" s="1"/>
  <c r="L57" i="179"/>
  <c r="M57" i="179" s="1"/>
  <c r="K57" i="179"/>
  <c r="K60" i="179" s="1"/>
  <c r="I57" i="179"/>
  <c r="G57" i="179"/>
  <c r="L56" i="179"/>
  <c r="M56" i="179" s="1"/>
  <c r="K56" i="179"/>
  <c r="I56" i="179"/>
  <c r="G56" i="179"/>
  <c r="K54" i="179"/>
  <c r="I54" i="179"/>
  <c r="G54" i="179"/>
  <c r="D54" i="179"/>
  <c r="L53" i="179"/>
  <c r="M53" i="179" s="1"/>
  <c r="M54" i="179" s="1"/>
  <c r="K53" i="179"/>
  <c r="I53" i="179"/>
  <c r="D51" i="179"/>
  <c r="L50" i="179"/>
  <c r="M50" i="179" s="1"/>
  <c r="K50" i="179"/>
  <c r="I50" i="179"/>
  <c r="G50" i="179"/>
  <c r="L49" i="179"/>
  <c r="M49" i="179" s="1"/>
  <c r="K49" i="179"/>
  <c r="I49" i="179"/>
  <c r="G49" i="179"/>
  <c r="L48" i="179"/>
  <c r="M48" i="179" s="1"/>
  <c r="K48" i="179"/>
  <c r="I48" i="179"/>
  <c r="G48" i="179"/>
  <c r="L47" i="179"/>
  <c r="M47" i="179" s="1"/>
  <c r="K47" i="179"/>
  <c r="I47" i="179"/>
  <c r="G47" i="179"/>
  <c r="L46" i="179"/>
  <c r="M46" i="179" s="1"/>
  <c r="K46" i="179"/>
  <c r="I46" i="179"/>
  <c r="I51" i="179" s="1"/>
  <c r="G46" i="179"/>
  <c r="D44" i="179"/>
  <c r="L43" i="179"/>
  <c r="M43" i="179" s="1"/>
  <c r="K43" i="179"/>
  <c r="I43" i="179"/>
  <c r="G43" i="179"/>
  <c r="L42" i="179"/>
  <c r="M42" i="179" s="1"/>
  <c r="K42" i="179"/>
  <c r="I42" i="179"/>
  <c r="G42" i="179"/>
  <c r="L41" i="179"/>
  <c r="M41" i="179" s="1"/>
  <c r="K41" i="179"/>
  <c r="I41" i="179"/>
  <c r="G41" i="179"/>
  <c r="L40" i="179"/>
  <c r="M40" i="179" s="1"/>
  <c r="K40" i="179"/>
  <c r="I40" i="179"/>
  <c r="G40" i="179"/>
  <c r="L39" i="179"/>
  <c r="M39" i="179" s="1"/>
  <c r="K39" i="179"/>
  <c r="I39" i="179"/>
  <c r="G39" i="179"/>
  <c r="M38" i="179"/>
  <c r="L38" i="179"/>
  <c r="K38" i="179"/>
  <c r="I38" i="179"/>
  <c r="G38" i="179"/>
  <c r="L37" i="179"/>
  <c r="M37" i="179" s="1"/>
  <c r="K37" i="179"/>
  <c r="I37" i="179"/>
  <c r="G37" i="179"/>
  <c r="L36" i="179"/>
  <c r="M36" i="179" s="1"/>
  <c r="K36" i="179"/>
  <c r="I36" i="179"/>
  <c r="G36" i="179"/>
  <c r="L35" i="179"/>
  <c r="M35" i="179" s="1"/>
  <c r="K35" i="179"/>
  <c r="I35" i="179"/>
  <c r="G35" i="179"/>
  <c r="L34" i="179"/>
  <c r="M34" i="179" s="1"/>
  <c r="K34" i="179"/>
  <c r="I34" i="179"/>
  <c r="G34" i="179"/>
  <c r="L33" i="179"/>
  <c r="M33" i="179" s="1"/>
  <c r="K33" i="179"/>
  <c r="I33" i="179"/>
  <c r="G33" i="179"/>
  <c r="L32" i="179"/>
  <c r="M32" i="179" s="1"/>
  <c r="K32" i="179"/>
  <c r="I32" i="179"/>
  <c r="G32" i="179"/>
  <c r="L31" i="179"/>
  <c r="M31" i="179" s="1"/>
  <c r="K31" i="179"/>
  <c r="I31" i="179"/>
  <c r="G31" i="179"/>
  <c r="L30" i="179"/>
  <c r="M30" i="179" s="1"/>
  <c r="K30" i="179"/>
  <c r="I30" i="179"/>
  <c r="G30" i="179"/>
  <c r="D28" i="179"/>
  <c r="L27" i="179"/>
  <c r="M27" i="179" s="1"/>
  <c r="K27" i="179"/>
  <c r="I27" i="179"/>
  <c r="G27" i="179"/>
  <c r="L26" i="179"/>
  <c r="M26" i="179" s="1"/>
  <c r="K26" i="179"/>
  <c r="I26" i="179"/>
  <c r="G26" i="179"/>
  <c r="L25" i="179"/>
  <c r="M25" i="179" s="1"/>
  <c r="K25" i="179"/>
  <c r="I25" i="179"/>
  <c r="G25" i="179"/>
  <c r="L24" i="179"/>
  <c r="M24" i="179" s="1"/>
  <c r="K24" i="179"/>
  <c r="I24" i="179"/>
  <c r="G24" i="179"/>
  <c r="L23" i="179"/>
  <c r="M23" i="179" s="1"/>
  <c r="K23" i="179"/>
  <c r="I23" i="179"/>
  <c r="G23" i="179"/>
  <c r="L22" i="179"/>
  <c r="M22" i="179" s="1"/>
  <c r="K22" i="179"/>
  <c r="I22" i="179"/>
  <c r="G22" i="179"/>
  <c r="L21" i="179"/>
  <c r="M21" i="179" s="1"/>
  <c r="K21" i="179"/>
  <c r="I21" i="179"/>
  <c r="G21" i="179"/>
  <c r="L20" i="179"/>
  <c r="M20" i="179" s="1"/>
  <c r="K20" i="179"/>
  <c r="I20" i="179"/>
  <c r="G20" i="179"/>
  <c r="L19" i="179"/>
  <c r="M19" i="179" s="1"/>
  <c r="K19" i="179"/>
  <c r="I19" i="179"/>
  <c r="G19" i="179"/>
  <c r="L18" i="179"/>
  <c r="M18" i="179" s="1"/>
  <c r="K18" i="179"/>
  <c r="I18" i="179"/>
  <c r="G18" i="179"/>
  <c r="L17" i="179"/>
  <c r="M17" i="179" s="1"/>
  <c r="K17" i="179"/>
  <c r="I17" i="179"/>
  <c r="G17" i="179"/>
  <c r="L16" i="179"/>
  <c r="M16" i="179" s="1"/>
  <c r="K16" i="179"/>
  <c r="I16" i="179"/>
  <c r="G16" i="179"/>
  <c r="L15" i="179"/>
  <c r="M15" i="179" s="1"/>
  <c r="K15" i="179"/>
  <c r="I15" i="179"/>
  <c r="G15" i="179"/>
  <c r="L14" i="179"/>
  <c r="M14" i="179" s="1"/>
  <c r="K14" i="179"/>
  <c r="I14" i="179"/>
  <c r="G14" i="179"/>
  <c r="L13" i="179"/>
  <c r="M13" i="179" s="1"/>
  <c r="K13" i="179"/>
  <c r="I13" i="179"/>
  <c r="G13" i="179"/>
  <c r="L12" i="179"/>
  <c r="M12" i="179" s="1"/>
  <c r="K12" i="179"/>
  <c r="I12" i="179"/>
  <c r="G12" i="179"/>
  <c r="L11" i="179"/>
  <c r="M11" i="179" s="1"/>
  <c r="K11" i="179"/>
  <c r="I11" i="179"/>
  <c r="G11" i="179"/>
  <c r="L10" i="179"/>
  <c r="M10" i="179" s="1"/>
  <c r="K10" i="179"/>
  <c r="I10" i="179"/>
  <c r="G10" i="179"/>
  <c r="L9" i="179"/>
  <c r="M9" i="179" s="1"/>
  <c r="K9" i="179"/>
  <c r="I9" i="179"/>
  <c r="G9" i="179"/>
  <c r="L8" i="179"/>
  <c r="M8" i="179" s="1"/>
  <c r="K8" i="179"/>
  <c r="I8" i="179"/>
  <c r="G8" i="179"/>
  <c r="L7" i="179"/>
  <c r="M7" i="179" s="1"/>
  <c r="K7" i="179"/>
  <c r="I7" i="179"/>
  <c r="G7" i="179"/>
  <c r="L28" i="177"/>
  <c r="L27" i="177"/>
  <c r="L26" i="177"/>
  <c r="L25" i="177"/>
  <c r="L23" i="177"/>
  <c r="L22" i="177"/>
  <c r="L21" i="177"/>
  <c r="L20" i="177"/>
  <c r="L19" i="177"/>
  <c r="L16" i="177"/>
  <c r="J8" i="177"/>
  <c r="M39" i="186" l="1"/>
  <c r="K35" i="185"/>
  <c r="D62" i="179"/>
  <c r="G51" i="179"/>
  <c r="I60" i="179"/>
  <c r="I44" i="179"/>
  <c r="K44" i="179"/>
  <c r="G44" i="179"/>
  <c r="I28" i="179"/>
  <c r="I61" i="179" s="1"/>
  <c r="I10" i="178" s="1"/>
  <c r="G28" i="179"/>
  <c r="G61" i="179" s="1"/>
  <c r="K28" i="179"/>
  <c r="K61" i="179" s="1"/>
  <c r="K10" i="178" s="1"/>
  <c r="M17" i="178" s="1"/>
  <c r="M44" i="179"/>
  <c r="K51" i="179"/>
  <c r="M51" i="179"/>
  <c r="M28" i="179"/>
  <c r="M60" i="179"/>
  <c r="M28" i="73"/>
  <c r="G10" i="178" l="1"/>
  <c r="M6" i="178"/>
  <c r="M10" i="178" s="1"/>
  <c r="K4" i="177" s="1"/>
  <c r="M14" i="178"/>
  <c r="M15" i="178"/>
  <c r="M61" i="179"/>
  <c r="L12" i="175"/>
  <c r="M12" i="175" s="1"/>
  <c r="K12" i="175"/>
  <c r="I12" i="175"/>
  <c r="G12" i="175"/>
  <c r="L11" i="175"/>
  <c r="M11" i="175" s="1"/>
  <c r="K11" i="175"/>
  <c r="I11" i="175"/>
  <c r="G11" i="175"/>
  <c r="L10" i="175"/>
  <c r="M10" i="175" s="1"/>
  <c r="K10" i="175"/>
  <c r="I10" i="175"/>
  <c r="G10" i="175"/>
  <c r="L9" i="175"/>
  <c r="M9" i="175" s="1"/>
  <c r="K9" i="175"/>
  <c r="I9" i="175"/>
  <c r="G9" i="175"/>
  <c r="L8" i="175"/>
  <c r="M8" i="175" s="1"/>
  <c r="K8" i="175"/>
  <c r="I8" i="175"/>
  <c r="G8" i="175"/>
  <c r="L7" i="175"/>
  <c r="M7" i="175" s="1"/>
  <c r="K7" i="175"/>
  <c r="I7" i="175"/>
  <c r="G7" i="175"/>
  <c r="F12" i="176"/>
  <c r="D60" i="175"/>
  <c r="L59" i="175"/>
  <c r="M59" i="175" s="1"/>
  <c r="K59" i="175"/>
  <c r="I59" i="175"/>
  <c r="G59" i="175"/>
  <c r="L58" i="175"/>
  <c r="M58" i="175" s="1"/>
  <c r="K58" i="175"/>
  <c r="I58" i="175"/>
  <c r="G58" i="175"/>
  <c r="L57" i="175"/>
  <c r="M57" i="175" s="1"/>
  <c r="K57" i="175"/>
  <c r="I57" i="175"/>
  <c r="G57" i="175"/>
  <c r="L56" i="175"/>
  <c r="M56" i="175" s="1"/>
  <c r="K56" i="175"/>
  <c r="I56" i="175"/>
  <c r="G56" i="175"/>
  <c r="G54" i="175"/>
  <c r="D54" i="175"/>
  <c r="L53" i="175"/>
  <c r="M53" i="175" s="1"/>
  <c r="M54" i="175" s="1"/>
  <c r="K53" i="175"/>
  <c r="K54" i="175" s="1"/>
  <c r="I53" i="175"/>
  <c r="I54" i="175" s="1"/>
  <c r="D51" i="175"/>
  <c r="L50" i="175"/>
  <c r="M50" i="175" s="1"/>
  <c r="K50" i="175"/>
  <c r="I50" i="175"/>
  <c r="G50" i="175"/>
  <c r="L49" i="175"/>
  <c r="M49" i="175" s="1"/>
  <c r="K49" i="175"/>
  <c r="I49" i="175"/>
  <c r="G49" i="175"/>
  <c r="L48" i="175"/>
  <c r="M48" i="175" s="1"/>
  <c r="K48" i="175"/>
  <c r="I48" i="175"/>
  <c r="G48" i="175"/>
  <c r="L47" i="175"/>
  <c r="M47" i="175" s="1"/>
  <c r="K47" i="175"/>
  <c r="I47" i="175"/>
  <c r="G47" i="175"/>
  <c r="L46" i="175"/>
  <c r="M46" i="175" s="1"/>
  <c r="K46" i="175"/>
  <c r="I46" i="175"/>
  <c r="G46" i="175"/>
  <c r="D44" i="175"/>
  <c r="L43" i="175"/>
  <c r="M43" i="175" s="1"/>
  <c r="K43" i="175"/>
  <c r="I43" i="175"/>
  <c r="G43" i="175"/>
  <c r="M42" i="175"/>
  <c r="L42" i="175"/>
  <c r="K42" i="175"/>
  <c r="I42" i="175"/>
  <c r="G42" i="175"/>
  <c r="L41" i="175"/>
  <c r="M41" i="175" s="1"/>
  <c r="K41" i="175"/>
  <c r="I41" i="175"/>
  <c r="G41" i="175"/>
  <c r="L40" i="175"/>
  <c r="M40" i="175" s="1"/>
  <c r="K40" i="175"/>
  <c r="I40" i="175"/>
  <c r="G40" i="175"/>
  <c r="L39" i="175"/>
  <c r="M39" i="175" s="1"/>
  <c r="K39" i="175"/>
  <c r="I39" i="175"/>
  <c r="G39" i="175"/>
  <c r="L38" i="175"/>
  <c r="M38" i="175" s="1"/>
  <c r="K38" i="175"/>
  <c r="I38" i="175"/>
  <c r="G38" i="175"/>
  <c r="L37" i="175"/>
  <c r="M37" i="175" s="1"/>
  <c r="K37" i="175"/>
  <c r="I37" i="175"/>
  <c r="G37" i="175"/>
  <c r="L36" i="175"/>
  <c r="M36" i="175" s="1"/>
  <c r="K36" i="175"/>
  <c r="I36" i="175"/>
  <c r="G36" i="175"/>
  <c r="L35" i="175"/>
  <c r="M35" i="175" s="1"/>
  <c r="K35" i="175"/>
  <c r="I35" i="175"/>
  <c r="G35" i="175"/>
  <c r="L34" i="175"/>
  <c r="M34" i="175" s="1"/>
  <c r="K34" i="175"/>
  <c r="I34" i="175"/>
  <c r="G34" i="175"/>
  <c r="L33" i="175"/>
  <c r="M33" i="175" s="1"/>
  <c r="K33" i="175"/>
  <c r="I33" i="175"/>
  <c r="G33" i="175"/>
  <c r="L32" i="175"/>
  <c r="M32" i="175" s="1"/>
  <c r="K32" i="175"/>
  <c r="I32" i="175"/>
  <c r="G32" i="175"/>
  <c r="M31" i="175"/>
  <c r="L31" i="175"/>
  <c r="K31" i="175"/>
  <c r="I31" i="175"/>
  <c r="G31" i="175"/>
  <c r="M30" i="175"/>
  <c r="L30" i="175"/>
  <c r="K30" i="175"/>
  <c r="I30" i="175"/>
  <c r="G30" i="175"/>
  <c r="D28" i="175"/>
  <c r="D62" i="175" s="1"/>
  <c r="L27" i="175"/>
  <c r="M27" i="175" s="1"/>
  <c r="K27" i="175"/>
  <c r="I27" i="175"/>
  <c r="G27" i="175"/>
  <c r="L26" i="175"/>
  <c r="M26" i="175" s="1"/>
  <c r="K26" i="175"/>
  <c r="I26" i="175"/>
  <c r="G26" i="175"/>
  <c r="L25" i="175"/>
  <c r="M25" i="175" s="1"/>
  <c r="K25" i="175"/>
  <c r="I25" i="175"/>
  <c r="G25" i="175"/>
  <c r="L24" i="175"/>
  <c r="M24" i="175" s="1"/>
  <c r="K24" i="175"/>
  <c r="I24" i="175"/>
  <c r="G24" i="175"/>
  <c r="L23" i="175"/>
  <c r="M23" i="175" s="1"/>
  <c r="K23" i="175"/>
  <c r="I23" i="175"/>
  <c r="G23" i="175"/>
  <c r="L22" i="175"/>
  <c r="M22" i="175" s="1"/>
  <c r="K22" i="175"/>
  <c r="I22" i="175"/>
  <c r="G22" i="175"/>
  <c r="L21" i="175"/>
  <c r="M21" i="175" s="1"/>
  <c r="K21" i="175"/>
  <c r="I21" i="175"/>
  <c r="G21" i="175"/>
  <c r="L20" i="175"/>
  <c r="M20" i="175" s="1"/>
  <c r="K20" i="175"/>
  <c r="I20" i="175"/>
  <c r="G20" i="175"/>
  <c r="L19" i="175"/>
  <c r="M19" i="175" s="1"/>
  <c r="K19" i="175"/>
  <c r="I19" i="175"/>
  <c r="G19" i="175"/>
  <c r="M18" i="175"/>
  <c r="L18" i="175"/>
  <c r="K18" i="175"/>
  <c r="I18" i="175"/>
  <c r="G18" i="175"/>
  <c r="L17" i="175"/>
  <c r="M17" i="175" s="1"/>
  <c r="K17" i="175"/>
  <c r="I17" i="175"/>
  <c r="G17" i="175"/>
  <c r="L16" i="175"/>
  <c r="M16" i="175" s="1"/>
  <c r="K16" i="175"/>
  <c r="I16" i="175"/>
  <c r="G16" i="175"/>
  <c r="L15" i="175"/>
  <c r="M15" i="175" s="1"/>
  <c r="K15" i="175"/>
  <c r="I15" i="175"/>
  <c r="G15" i="175"/>
  <c r="L14" i="175"/>
  <c r="M14" i="175" s="1"/>
  <c r="K14" i="175"/>
  <c r="I14" i="175"/>
  <c r="G14" i="175"/>
  <c r="L13" i="175"/>
  <c r="M13" i="175" s="1"/>
  <c r="K13" i="175"/>
  <c r="I13" i="175"/>
  <c r="G13" i="175"/>
  <c r="K28" i="173"/>
  <c r="L28" i="173" s="1"/>
  <c r="K27" i="173"/>
  <c r="L27" i="173" s="1"/>
  <c r="K26" i="173"/>
  <c r="L26" i="173" s="1"/>
  <c r="K25" i="173"/>
  <c r="L25" i="173" s="1"/>
  <c r="K23" i="173"/>
  <c r="L23" i="173" s="1"/>
  <c r="K22" i="173"/>
  <c r="L22" i="173" s="1"/>
  <c r="K21" i="173"/>
  <c r="L21" i="173" s="1"/>
  <c r="K20" i="173"/>
  <c r="L20" i="173" s="1"/>
  <c r="K19" i="173"/>
  <c r="L19" i="173" s="1"/>
  <c r="K16" i="173"/>
  <c r="L16" i="173" s="1"/>
  <c r="J8" i="173"/>
  <c r="M20" i="178" l="1"/>
  <c r="L4" i="177"/>
  <c r="L8" i="177" s="1"/>
  <c r="K8" i="177"/>
  <c r="M13" i="178"/>
  <c r="M12" i="178"/>
  <c r="M26" i="178"/>
  <c r="M19" i="178"/>
  <c r="G51" i="175"/>
  <c r="G28" i="175"/>
  <c r="G60" i="175"/>
  <c r="I60" i="175"/>
  <c r="K60" i="175"/>
  <c r="M60" i="175"/>
  <c r="M51" i="175"/>
  <c r="I28" i="175"/>
  <c r="I51" i="175"/>
  <c r="K51" i="175"/>
  <c r="K44" i="175"/>
  <c r="G44" i="175"/>
  <c r="G61" i="175" s="1"/>
  <c r="G6" i="174" s="1"/>
  <c r="G10" i="174" s="1"/>
  <c r="I44" i="175"/>
  <c r="K28" i="175"/>
  <c r="M28" i="175"/>
  <c r="M44" i="175"/>
  <c r="F57" i="158"/>
  <c r="F58" i="158"/>
  <c r="F59" i="158"/>
  <c r="F56" i="158"/>
  <c r="F14" i="160"/>
  <c r="M16" i="178" l="1"/>
  <c r="M12" i="73"/>
  <c r="I61" i="175"/>
  <c r="M61" i="175"/>
  <c r="K61" i="175"/>
  <c r="K6" i="174"/>
  <c r="K10" i="174" s="1"/>
  <c r="M17" i="174" s="1"/>
  <c r="I6" i="174"/>
  <c r="I10" i="174" s="1"/>
  <c r="M12" i="174"/>
  <c r="M6" i="174"/>
  <c r="M10" i="174" s="1"/>
  <c r="K4" i="173" s="1"/>
  <c r="G49" i="171"/>
  <c r="G50" i="171"/>
  <c r="F12" i="172"/>
  <c r="M31" i="178" l="1"/>
  <c r="M32" i="178"/>
  <c r="K33" i="178" s="1"/>
  <c r="K15" i="173"/>
  <c r="L15" i="173" s="1"/>
  <c r="M14" i="174"/>
  <c r="M15" i="174"/>
  <c r="L4" i="173"/>
  <c r="L8" i="173" s="1"/>
  <c r="K8" i="173"/>
  <c r="K12" i="173"/>
  <c r="L12" i="173" s="1"/>
  <c r="M13" i="174"/>
  <c r="M20" i="174"/>
  <c r="K13" i="173"/>
  <c r="L13" i="173" s="1"/>
  <c r="M19" i="174"/>
  <c r="K10" i="173"/>
  <c r="L10" i="173" s="1"/>
  <c r="D60" i="171"/>
  <c r="L59" i="171"/>
  <c r="M59" i="171" s="1"/>
  <c r="K59" i="171"/>
  <c r="I59" i="171"/>
  <c r="G59" i="171"/>
  <c r="L58" i="171"/>
  <c r="M58" i="171" s="1"/>
  <c r="K58" i="171"/>
  <c r="I58" i="171"/>
  <c r="G58" i="171"/>
  <c r="L57" i="171"/>
  <c r="M57" i="171" s="1"/>
  <c r="K57" i="171"/>
  <c r="I57" i="171"/>
  <c r="G57" i="171"/>
  <c r="L56" i="171"/>
  <c r="M56" i="171" s="1"/>
  <c r="K56" i="171"/>
  <c r="I56" i="171"/>
  <c r="G56" i="171"/>
  <c r="G54" i="171"/>
  <c r="D54" i="171"/>
  <c r="L53" i="171"/>
  <c r="M53" i="171" s="1"/>
  <c r="M54" i="171" s="1"/>
  <c r="K53" i="171"/>
  <c r="K54" i="171" s="1"/>
  <c r="I53" i="171"/>
  <c r="I54" i="171" s="1"/>
  <c r="D51" i="171"/>
  <c r="L50" i="171"/>
  <c r="M50" i="171" s="1"/>
  <c r="K50" i="171"/>
  <c r="I50" i="171"/>
  <c r="L49" i="171"/>
  <c r="M49" i="171" s="1"/>
  <c r="K49" i="171"/>
  <c r="I49" i="171"/>
  <c r="L48" i="171"/>
  <c r="M48" i="171" s="1"/>
  <c r="K48" i="171"/>
  <c r="I48" i="171"/>
  <c r="G48" i="171"/>
  <c r="L47" i="171"/>
  <c r="M47" i="171" s="1"/>
  <c r="K47" i="171"/>
  <c r="I47" i="171"/>
  <c r="G47" i="171"/>
  <c r="L46" i="171"/>
  <c r="M46" i="171" s="1"/>
  <c r="K46" i="171"/>
  <c r="I46" i="171"/>
  <c r="G46" i="171"/>
  <c r="D44" i="171"/>
  <c r="L43" i="171"/>
  <c r="M43" i="171" s="1"/>
  <c r="K43" i="171"/>
  <c r="I43" i="171"/>
  <c r="G43" i="171"/>
  <c r="L42" i="171"/>
  <c r="M42" i="171" s="1"/>
  <c r="K42" i="171"/>
  <c r="I42" i="171"/>
  <c r="G42" i="171"/>
  <c r="L41" i="171"/>
  <c r="M41" i="171" s="1"/>
  <c r="K41" i="171"/>
  <c r="I41" i="171"/>
  <c r="G41" i="171"/>
  <c r="L40" i="171"/>
  <c r="M40" i="171" s="1"/>
  <c r="K40" i="171"/>
  <c r="I40" i="171"/>
  <c r="G40" i="171"/>
  <c r="L39" i="171"/>
  <c r="M39" i="171" s="1"/>
  <c r="K39" i="171"/>
  <c r="I39" i="171"/>
  <c r="G39" i="171"/>
  <c r="L38" i="171"/>
  <c r="M38" i="171" s="1"/>
  <c r="K38" i="171"/>
  <c r="I38" i="171"/>
  <c r="G38" i="171"/>
  <c r="L37" i="171"/>
  <c r="M37" i="171" s="1"/>
  <c r="K37" i="171"/>
  <c r="I37" i="171"/>
  <c r="G37" i="171"/>
  <c r="L36" i="171"/>
  <c r="M36" i="171" s="1"/>
  <c r="K36" i="171"/>
  <c r="I36" i="171"/>
  <c r="G36" i="171"/>
  <c r="L35" i="171"/>
  <c r="M35" i="171" s="1"/>
  <c r="K35" i="171"/>
  <c r="I35" i="171"/>
  <c r="G35" i="171"/>
  <c r="L34" i="171"/>
  <c r="M34" i="171" s="1"/>
  <c r="K34" i="171"/>
  <c r="I34" i="171"/>
  <c r="G34" i="171"/>
  <c r="L33" i="171"/>
  <c r="M33" i="171" s="1"/>
  <c r="K33" i="171"/>
  <c r="I33" i="171"/>
  <c r="G33" i="171"/>
  <c r="L32" i="171"/>
  <c r="M32" i="171" s="1"/>
  <c r="K32" i="171"/>
  <c r="I32" i="171"/>
  <c r="G32" i="171"/>
  <c r="L31" i="171"/>
  <c r="M31" i="171" s="1"/>
  <c r="K31" i="171"/>
  <c r="I31" i="171"/>
  <c r="G31" i="171"/>
  <c r="L30" i="171"/>
  <c r="M30" i="171" s="1"/>
  <c r="K30" i="171"/>
  <c r="I30" i="171"/>
  <c r="G30" i="171"/>
  <c r="D28" i="171"/>
  <c r="L27" i="171"/>
  <c r="M27" i="171" s="1"/>
  <c r="K27" i="171"/>
  <c r="I27" i="171"/>
  <c r="G27" i="171"/>
  <c r="L26" i="171"/>
  <c r="M26" i="171" s="1"/>
  <c r="K26" i="171"/>
  <c r="I26" i="171"/>
  <c r="G26" i="171"/>
  <c r="L25" i="171"/>
  <c r="M25" i="171" s="1"/>
  <c r="K25" i="171"/>
  <c r="I25" i="171"/>
  <c r="G25" i="171"/>
  <c r="L24" i="171"/>
  <c r="M24" i="171" s="1"/>
  <c r="K24" i="171"/>
  <c r="I24" i="171"/>
  <c r="G24" i="171"/>
  <c r="L23" i="171"/>
  <c r="M23" i="171" s="1"/>
  <c r="K23" i="171"/>
  <c r="I23" i="171"/>
  <c r="G23" i="171"/>
  <c r="L22" i="171"/>
  <c r="M22" i="171" s="1"/>
  <c r="K22" i="171"/>
  <c r="I22" i="171"/>
  <c r="G22" i="171"/>
  <c r="L21" i="171"/>
  <c r="M21" i="171" s="1"/>
  <c r="K21" i="171"/>
  <c r="I21" i="171"/>
  <c r="G21" i="171"/>
  <c r="L20" i="171"/>
  <c r="M20" i="171" s="1"/>
  <c r="K20" i="171"/>
  <c r="I20" i="171"/>
  <c r="G20" i="171"/>
  <c r="L19" i="171"/>
  <c r="M19" i="171" s="1"/>
  <c r="K19" i="171"/>
  <c r="I19" i="171"/>
  <c r="G19" i="171"/>
  <c r="M18" i="171"/>
  <c r="L18" i="171"/>
  <c r="K18" i="171"/>
  <c r="I18" i="171"/>
  <c r="G18" i="171"/>
  <c r="L17" i="171"/>
  <c r="M17" i="171" s="1"/>
  <c r="K17" i="171"/>
  <c r="I17" i="171"/>
  <c r="G17" i="171"/>
  <c r="L16" i="171"/>
  <c r="M16" i="171" s="1"/>
  <c r="K16" i="171"/>
  <c r="I16" i="171"/>
  <c r="G16" i="171"/>
  <c r="L15" i="171"/>
  <c r="M15" i="171" s="1"/>
  <c r="K15" i="171"/>
  <c r="I15" i="171"/>
  <c r="G15" i="171"/>
  <c r="L14" i="171"/>
  <c r="M14" i="171" s="1"/>
  <c r="K14" i="171"/>
  <c r="I14" i="171"/>
  <c r="G14" i="171"/>
  <c r="L13" i="171"/>
  <c r="M13" i="171" s="1"/>
  <c r="K13" i="171"/>
  <c r="I13" i="171"/>
  <c r="G13" i="171"/>
  <c r="L12" i="171"/>
  <c r="M12" i="171" s="1"/>
  <c r="K12" i="171"/>
  <c r="I12" i="171"/>
  <c r="G12" i="171"/>
  <c r="L11" i="171"/>
  <c r="M11" i="171" s="1"/>
  <c r="K11" i="171"/>
  <c r="I11" i="171"/>
  <c r="G11" i="171"/>
  <c r="L10" i="171"/>
  <c r="M10" i="171" s="1"/>
  <c r="K10" i="171"/>
  <c r="I10" i="171"/>
  <c r="G10" i="171"/>
  <c r="L9" i="171"/>
  <c r="M9" i="171" s="1"/>
  <c r="K9" i="171"/>
  <c r="I9" i="171"/>
  <c r="G9" i="171"/>
  <c r="L8" i="171"/>
  <c r="M8" i="171" s="1"/>
  <c r="K8" i="171"/>
  <c r="I8" i="171"/>
  <c r="G8" i="171"/>
  <c r="L7" i="171"/>
  <c r="M7" i="171" s="1"/>
  <c r="K7" i="171"/>
  <c r="I7" i="171"/>
  <c r="G7" i="171"/>
  <c r="L28" i="169"/>
  <c r="L27" i="169"/>
  <c r="L26" i="169"/>
  <c r="L25" i="169"/>
  <c r="L23" i="169"/>
  <c r="L22" i="169"/>
  <c r="L21" i="169"/>
  <c r="L20" i="169"/>
  <c r="L19" i="169"/>
  <c r="L16" i="169"/>
  <c r="J8" i="169"/>
  <c r="M33" i="178" l="1"/>
  <c r="K18" i="173"/>
  <c r="L18" i="173" s="1"/>
  <c r="M26" i="174"/>
  <c r="D62" i="171"/>
  <c r="G60" i="171"/>
  <c r="K17" i="173"/>
  <c r="L17" i="173" s="1"/>
  <c r="M16" i="174"/>
  <c r="K11" i="173"/>
  <c r="L11" i="173" s="1"/>
  <c r="I60" i="171"/>
  <c r="I44" i="171"/>
  <c r="G44" i="171"/>
  <c r="K60" i="171"/>
  <c r="G51" i="171"/>
  <c r="M44" i="171"/>
  <c r="K44" i="171"/>
  <c r="I51" i="171"/>
  <c r="K51" i="171"/>
  <c r="M51" i="171"/>
  <c r="G28" i="171"/>
  <c r="K28" i="171"/>
  <c r="I28" i="171"/>
  <c r="M60" i="171"/>
  <c r="M28" i="171"/>
  <c r="M34" i="178" l="1"/>
  <c r="K32" i="177" s="1"/>
  <c r="K31" i="177"/>
  <c r="M35" i="178"/>
  <c r="K33" i="177" s="1"/>
  <c r="K24" i="173"/>
  <c r="L24" i="173" s="1"/>
  <c r="K61" i="171"/>
  <c r="K10" i="170" s="1"/>
  <c r="M17" i="170" s="1"/>
  <c r="K14" i="173"/>
  <c r="L14" i="173" s="1"/>
  <c r="M31" i="174"/>
  <c r="M32" i="174"/>
  <c r="I61" i="171"/>
  <c r="I10" i="170" s="1"/>
  <c r="M15" i="170" s="1"/>
  <c r="G61" i="171"/>
  <c r="G6" i="170" s="1"/>
  <c r="G10" i="170" s="1"/>
  <c r="M12" i="170" s="1"/>
  <c r="M61" i="171"/>
  <c r="K15" i="169" l="1"/>
  <c r="L15" i="169" s="1"/>
  <c r="M17" i="73"/>
  <c r="K13" i="169"/>
  <c r="M15" i="73"/>
  <c r="M36" i="178"/>
  <c r="K34" i="177" s="1"/>
  <c r="L10" i="185"/>
  <c r="L10" i="177"/>
  <c r="M19" i="170"/>
  <c r="L13" i="185"/>
  <c r="L13" i="177"/>
  <c r="L15" i="185"/>
  <c r="L15" i="177"/>
  <c r="M6" i="170"/>
  <c r="M10" i="170" s="1"/>
  <c r="K4" i="169" s="1"/>
  <c r="L4" i="169" s="1"/>
  <c r="L8" i="169" s="1"/>
  <c r="M14" i="170"/>
  <c r="K29" i="173"/>
  <c r="L29" i="173" s="1"/>
  <c r="K30" i="173"/>
  <c r="L30" i="173" s="1"/>
  <c r="K33" i="174"/>
  <c r="M33" i="174"/>
  <c r="M26" i="170"/>
  <c r="K10" i="169"/>
  <c r="L10" i="169" s="1"/>
  <c r="M20" i="170"/>
  <c r="L13" i="169"/>
  <c r="I31" i="158"/>
  <c r="I32" i="158"/>
  <c r="I33" i="158"/>
  <c r="I34" i="158"/>
  <c r="I35" i="158"/>
  <c r="I36" i="158"/>
  <c r="I37" i="158"/>
  <c r="I38" i="158"/>
  <c r="I39" i="158"/>
  <c r="I40" i="158"/>
  <c r="I41" i="158"/>
  <c r="G59" i="158"/>
  <c r="G58" i="158"/>
  <c r="G57" i="158"/>
  <c r="G56" i="158"/>
  <c r="G31" i="158"/>
  <c r="G32" i="158"/>
  <c r="G33" i="158"/>
  <c r="G34" i="158"/>
  <c r="G35" i="158"/>
  <c r="G36" i="158"/>
  <c r="G37" i="158"/>
  <c r="G38" i="158"/>
  <c r="G39" i="158"/>
  <c r="G40" i="158"/>
  <c r="G41" i="158"/>
  <c r="G42" i="158"/>
  <c r="G43" i="158"/>
  <c r="K12" i="169" l="1"/>
  <c r="L12" i="169" s="1"/>
  <c r="M14" i="73"/>
  <c r="K24" i="169"/>
  <c r="M26" i="73"/>
  <c r="K18" i="169"/>
  <c r="M20" i="73"/>
  <c r="K17" i="169"/>
  <c r="M19" i="73"/>
  <c r="M37" i="178"/>
  <c r="K35" i="177" s="1"/>
  <c r="L12" i="185"/>
  <c r="L12" i="177"/>
  <c r="L17" i="185"/>
  <c r="L17" i="177"/>
  <c r="L24" i="169"/>
  <c r="L24" i="185"/>
  <c r="L24" i="177"/>
  <c r="L18" i="169"/>
  <c r="L18" i="185"/>
  <c r="L18" i="177"/>
  <c r="K8" i="169"/>
  <c r="L17" i="169"/>
  <c r="M13" i="170"/>
  <c r="K31" i="173"/>
  <c r="L31" i="173" s="1"/>
  <c r="M34" i="174"/>
  <c r="M16" i="170"/>
  <c r="B2" i="5"/>
  <c r="K11" i="169" l="1"/>
  <c r="L11" i="169" s="1"/>
  <c r="M13" i="73"/>
  <c r="M32" i="170"/>
  <c r="K14" i="169"/>
  <c r="M16" i="73"/>
  <c r="M39" i="178"/>
  <c r="L30" i="185"/>
  <c r="L30" i="177"/>
  <c r="L14" i="169"/>
  <c r="L14" i="185"/>
  <c r="L14" i="177"/>
  <c r="L11" i="185"/>
  <c r="L11" i="177"/>
  <c r="M35" i="174"/>
  <c r="K32" i="173"/>
  <c r="L32" i="173" s="1"/>
  <c r="M33" i="170"/>
  <c r="K31" i="169" s="1"/>
  <c r="M31" i="170"/>
  <c r="D17" i="155"/>
  <c r="K30" i="169" l="1"/>
  <c r="L30" i="169" s="1"/>
  <c r="M32" i="73"/>
  <c r="K29" i="169"/>
  <c r="L29" i="169" s="1"/>
  <c r="M31" i="73"/>
  <c r="K33" i="170"/>
  <c r="L31" i="169"/>
  <c r="L31" i="185"/>
  <c r="L31" i="177"/>
  <c r="L29" i="185"/>
  <c r="L29" i="177"/>
  <c r="M36" i="174"/>
  <c r="K33" i="173"/>
  <c r="M34" i="170"/>
  <c r="K32" i="169" s="1"/>
  <c r="L60" i="158"/>
  <c r="H60" i="158"/>
  <c r="F60" i="158"/>
  <c r="D60" i="158"/>
  <c r="H54" i="158"/>
  <c r="F54" i="158"/>
  <c r="H51" i="158"/>
  <c r="F51" i="158"/>
  <c r="H44" i="158"/>
  <c r="F44" i="158"/>
  <c r="H28" i="158"/>
  <c r="F28" i="158"/>
  <c r="I53" i="158"/>
  <c r="I54" i="158" s="1"/>
  <c r="G53" i="158"/>
  <c r="G54" i="158" s="1"/>
  <c r="E16" i="155" l="1"/>
  <c r="D4" i="156"/>
  <c r="L32" i="185"/>
  <c r="L32" i="177"/>
  <c r="K34" i="173"/>
  <c r="L34" i="173" s="1"/>
  <c r="L33" i="173"/>
  <c r="M37" i="174"/>
  <c r="M35" i="170"/>
  <c r="K33" i="169" s="1"/>
  <c r="L32" i="169"/>
  <c r="H61" i="158"/>
  <c r="F61" i="158"/>
  <c r="M39" i="174" l="1"/>
  <c r="K35" i="173"/>
  <c r="L35" i="173" s="1"/>
  <c r="M36" i="170"/>
  <c r="K34" i="169" s="1"/>
  <c r="L28" i="157"/>
  <c r="L27" i="157"/>
  <c r="L26" i="157"/>
  <c r="L25" i="157"/>
  <c r="L23" i="157"/>
  <c r="L22" i="157"/>
  <c r="L21" i="157"/>
  <c r="L20" i="157"/>
  <c r="L19" i="157"/>
  <c r="L16" i="157"/>
  <c r="J59" i="158"/>
  <c r="J58" i="158"/>
  <c r="J57" i="158"/>
  <c r="J56" i="158"/>
  <c r="J53" i="158"/>
  <c r="J50" i="158"/>
  <c r="L50" i="158" s="1"/>
  <c r="J49" i="158"/>
  <c r="L49" i="158" s="1"/>
  <c r="J48" i="158"/>
  <c r="L48" i="158" s="1"/>
  <c r="J47" i="158"/>
  <c r="L47" i="158" s="1"/>
  <c r="J46" i="158"/>
  <c r="J43" i="158"/>
  <c r="J42" i="158"/>
  <c r="J41" i="158"/>
  <c r="J40" i="158"/>
  <c r="J39" i="158"/>
  <c r="J38" i="158"/>
  <c r="J37" i="158"/>
  <c r="J36" i="158"/>
  <c r="J35" i="158"/>
  <c r="J34" i="158"/>
  <c r="J33" i="158"/>
  <c r="J32" i="158"/>
  <c r="J31" i="158"/>
  <c r="J30" i="158"/>
  <c r="J8" i="158"/>
  <c r="J9" i="158"/>
  <c r="J10" i="158"/>
  <c r="J11" i="158"/>
  <c r="J12" i="158"/>
  <c r="J13" i="158"/>
  <c r="J14" i="158"/>
  <c r="J15" i="158"/>
  <c r="J16" i="158"/>
  <c r="J17" i="158"/>
  <c r="J18" i="158"/>
  <c r="J19" i="158"/>
  <c r="J20" i="158"/>
  <c r="J21" i="158"/>
  <c r="J22" i="158"/>
  <c r="J23" i="158"/>
  <c r="J24" i="158"/>
  <c r="J25" i="158"/>
  <c r="J26" i="158"/>
  <c r="J27" i="158"/>
  <c r="J7" i="158"/>
  <c r="F15" i="164"/>
  <c r="D60" i="163"/>
  <c r="L59" i="163"/>
  <c r="M59" i="163" s="1"/>
  <c r="K59" i="163"/>
  <c r="I59" i="163"/>
  <c r="G59" i="163"/>
  <c r="L58" i="163"/>
  <c r="M58" i="163" s="1"/>
  <c r="K58" i="163"/>
  <c r="I58" i="163"/>
  <c r="G58" i="163"/>
  <c r="L57" i="163"/>
  <c r="M57" i="163" s="1"/>
  <c r="K57" i="163"/>
  <c r="I57" i="163"/>
  <c r="G57" i="163"/>
  <c r="L56" i="163"/>
  <c r="M56" i="163" s="1"/>
  <c r="K56" i="163"/>
  <c r="I56" i="163"/>
  <c r="G56" i="163"/>
  <c r="I54" i="163"/>
  <c r="G54" i="163"/>
  <c r="D54" i="163"/>
  <c r="M53" i="163"/>
  <c r="M54" i="163" s="1"/>
  <c r="L53" i="163"/>
  <c r="K53" i="163"/>
  <c r="K54" i="163" s="1"/>
  <c r="I53" i="163"/>
  <c r="D51" i="163"/>
  <c r="L50" i="163"/>
  <c r="M50" i="163" s="1"/>
  <c r="K50" i="163"/>
  <c r="I50" i="163"/>
  <c r="G50" i="163"/>
  <c r="L49" i="163"/>
  <c r="M49" i="163" s="1"/>
  <c r="K49" i="163"/>
  <c r="I49" i="163"/>
  <c r="G49" i="163"/>
  <c r="L48" i="163"/>
  <c r="M48" i="163" s="1"/>
  <c r="K48" i="163"/>
  <c r="I48" i="163"/>
  <c r="G48" i="163"/>
  <c r="L47" i="163"/>
  <c r="M47" i="163" s="1"/>
  <c r="K47" i="163"/>
  <c r="I47" i="163"/>
  <c r="G47" i="163"/>
  <c r="L46" i="163"/>
  <c r="M46" i="163" s="1"/>
  <c r="K46" i="163"/>
  <c r="I46" i="163"/>
  <c r="G46" i="163"/>
  <c r="D44" i="163"/>
  <c r="L43" i="163"/>
  <c r="M43" i="163" s="1"/>
  <c r="K43" i="163"/>
  <c r="I43" i="163"/>
  <c r="G43" i="163"/>
  <c r="L42" i="163"/>
  <c r="M42" i="163" s="1"/>
  <c r="K42" i="163"/>
  <c r="I42" i="163"/>
  <c r="G42" i="163"/>
  <c r="L41" i="163"/>
  <c r="M41" i="163" s="1"/>
  <c r="K41" i="163"/>
  <c r="I41" i="163"/>
  <c r="G41" i="163"/>
  <c r="L40" i="163"/>
  <c r="M40" i="163" s="1"/>
  <c r="K40" i="163"/>
  <c r="I40" i="163"/>
  <c r="G40" i="163"/>
  <c r="L39" i="163"/>
  <c r="M39" i="163" s="1"/>
  <c r="K39" i="163"/>
  <c r="I39" i="163"/>
  <c r="G39" i="163"/>
  <c r="L38" i="163"/>
  <c r="M38" i="163" s="1"/>
  <c r="K38" i="163"/>
  <c r="I38" i="163"/>
  <c r="G38" i="163"/>
  <c r="L37" i="163"/>
  <c r="M37" i="163" s="1"/>
  <c r="K37" i="163"/>
  <c r="I37" i="163"/>
  <c r="G37" i="163"/>
  <c r="L36" i="163"/>
  <c r="M36" i="163" s="1"/>
  <c r="K36" i="163"/>
  <c r="I36" i="163"/>
  <c r="G36" i="163"/>
  <c r="L35" i="163"/>
  <c r="M35" i="163" s="1"/>
  <c r="K35" i="163"/>
  <c r="I35" i="163"/>
  <c r="G35" i="163"/>
  <c r="L34" i="163"/>
  <c r="M34" i="163" s="1"/>
  <c r="K34" i="163"/>
  <c r="I34" i="163"/>
  <c r="G34" i="163"/>
  <c r="L33" i="163"/>
  <c r="M33" i="163" s="1"/>
  <c r="K33" i="163"/>
  <c r="I33" i="163"/>
  <c r="G33" i="163"/>
  <c r="L32" i="163"/>
  <c r="M32" i="163" s="1"/>
  <c r="K32" i="163"/>
  <c r="I32" i="163"/>
  <c r="G32" i="163"/>
  <c r="L31" i="163"/>
  <c r="M31" i="163" s="1"/>
  <c r="K31" i="163"/>
  <c r="I31" i="163"/>
  <c r="G31" i="163"/>
  <c r="L30" i="163"/>
  <c r="M30" i="163" s="1"/>
  <c r="K30" i="163"/>
  <c r="I30" i="163"/>
  <c r="G30" i="163"/>
  <c r="D28" i="163"/>
  <c r="D62" i="163" s="1"/>
  <c r="L27" i="163"/>
  <c r="M27" i="163" s="1"/>
  <c r="K27" i="163"/>
  <c r="I27" i="163"/>
  <c r="G27" i="163"/>
  <c r="L26" i="163"/>
  <c r="M26" i="163" s="1"/>
  <c r="K26" i="163"/>
  <c r="I26" i="163"/>
  <c r="G26" i="163"/>
  <c r="L25" i="163"/>
  <c r="M25" i="163" s="1"/>
  <c r="K25" i="163"/>
  <c r="I25" i="163"/>
  <c r="G25" i="163"/>
  <c r="L24" i="163"/>
  <c r="M24" i="163" s="1"/>
  <c r="K24" i="163"/>
  <c r="I24" i="163"/>
  <c r="G24" i="163"/>
  <c r="M23" i="163"/>
  <c r="L23" i="163"/>
  <c r="K23" i="163"/>
  <c r="I23" i="163"/>
  <c r="G23" i="163"/>
  <c r="L22" i="163"/>
  <c r="M22" i="163" s="1"/>
  <c r="K22" i="163"/>
  <c r="I22" i="163"/>
  <c r="G22" i="163"/>
  <c r="L21" i="163"/>
  <c r="M21" i="163" s="1"/>
  <c r="K21" i="163"/>
  <c r="I21" i="163"/>
  <c r="G21" i="163"/>
  <c r="L20" i="163"/>
  <c r="M20" i="163" s="1"/>
  <c r="K20" i="163"/>
  <c r="I20" i="163"/>
  <c r="G20" i="163"/>
  <c r="L19" i="163"/>
  <c r="M19" i="163" s="1"/>
  <c r="K19" i="163"/>
  <c r="I19" i="163"/>
  <c r="G19" i="163"/>
  <c r="L18" i="163"/>
  <c r="M18" i="163" s="1"/>
  <c r="K18" i="163"/>
  <c r="I18" i="163"/>
  <c r="G18" i="163"/>
  <c r="L17" i="163"/>
  <c r="M17" i="163" s="1"/>
  <c r="K17" i="163"/>
  <c r="I17" i="163"/>
  <c r="G17" i="163"/>
  <c r="L16" i="163"/>
  <c r="M16" i="163" s="1"/>
  <c r="K16" i="163"/>
  <c r="I16" i="163"/>
  <c r="G16" i="163"/>
  <c r="L15" i="163"/>
  <c r="M15" i="163" s="1"/>
  <c r="K15" i="163"/>
  <c r="I15" i="163"/>
  <c r="G15" i="163"/>
  <c r="L14" i="163"/>
  <c r="M14" i="163" s="1"/>
  <c r="K14" i="163"/>
  <c r="I14" i="163"/>
  <c r="G14" i="163"/>
  <c r="L13" i="163"/>
  <c r="M13" i="163" s="1"/>
  <c r="K13" i="163"/>
  <c r="I13" i="163"/>
  <c r="G13" i="163"/>
  <c r="L12" i="163"/>
  <c r="M12" i="163" s="1"/>
  <c r="K12" i="163"/>
  <c r="I12" i="163"/>
  <c r="G12" i="163"/>
  <c r="L11" i="163"/>
  <c r="M11" i="163" s="1"/>
  <c r="K11" i="163"/>
  <c r="I11" i="163"/>
  <c r="G11" i="163"/>
  <c r="L10" i="163"/>
  <c r="M10" i="163" s="1"/>
  <c r="K10" i="163"/>
  <c r="I10" i="163"/>
  <c r="G10" i="163"/>
  <c r="M9" i="163"/>
  <c r="L9" i="163"/>
  <c r="K9" i="163"/>
  <c r="I9" i="163"/>
  <c r="G9" i="163"/>
  <c r="L8" i="163"/>
  <c r="M8" i="163" s="1"/>
  <c r="K8" i="163"/>
  <c r="I8" i="163"/>
  <c r="G8" i="163"/>
  <c r="L7" i="163"/>
  <c r="M7" i="163" s="1"/>
  <c r="K7" i="163"/>
  <c r="I7" i="163"/>
  <c r="G7" i="163"/>
  <c r="K28" i="161"/>
  <c r="L28" i="161" s="1"/>
  <c r="K27" i="161"/>
  <c r="L27" i="161" s="1"/>
  <c r="K26" i="161"/>
  <c r="L26" i="161" s="1"/>
  <c r="K25" i="161"/>
  <c r="L25" i="161" s="1"/>
  <c r="K23" i="161"/>
  <c r="L23" i="161" s="1"/>
  <c r="K22" i="161"/>
  <c r="L22" i="161" s="1"/>
  <c r="K21" i="161"/>
  <c r="L21" i="161" s="1"/>
  <c r="K20" i="161"/>
  <c r="L20" i="161" s="1"/>
  <c r="K19" i="161"/>
  <c r="L19" i="161" s="1"/>
  <c r="K16" i="161"/>
  <c r="L16" i="161" s="1"/>
  <c r="J8" i="161"/>
  <c r="D8" i="156" l="1"/>
  <c r="E14" i="155"/>
  <c r="L33" i="177"/>
  <c r="L33" i="185"/>
  <c r="L34" i="169"/>
  <c r="L34" i="185"/>
  <c r="L34" i="177"/>
  <c r="K51" i="163"/>
  <c r="I60" i="163"/>
  <c r="I51" i="163"/>
  <c r="I44" i="163"/>
  <c r="K60" i="163"/>
  <c r="G60" i="163"/>
  <c r="K44" i="163"/>
  <c r="G51" i="163"/>
  <c r="G44" i="163"/>
  <c r="L33" i="169"/>
  <c r="M37" i="170"/>
  <c r="K35" i="169" s="1"/>
  <c r="G28" i="163"/>
  <c r="M51" i="163"/>
  <c r="L41" i="158"/>
  <c r="M41" i="158" s="1"/>
  <c r="K41" i="158"/>
  <c r="K31" i="158"/>
  <c r="L31" i="158"/>
  <c r="M31" i="158" s="1"/>
  <c r="M44" i="163"/>
  <c r="L32" i="158"/>
  <c r="M32" i="158" s="1"/>
  <c r="K32" i="158"/>
  <c r="L33" i="158"/>
  <c r="M33" i="158" s="1"/>
  <c r="K33" i="158"/>
  <c r="L34" i="158"/>
  <c r="M34" i="158" s="1"/>
  <c r="K34" i="158"/>
  <c r="K35" i="158"/>
  <c r="L35" i="158"/>
  <c r="M35" i="158" s="1"/>
  <c r="M60" i="163"/>
  <c r="K36" i="158"/>
  <c r="L36" i="158"/>
  <c r="M36" i="158" s="1"/>
  <c r="K37" i="158"/>
  <c r="L37" i="158"/>
  <c r="M37" i="158" s="1"/>
  <c r="L53" i="158"/>
  <c r="K53" i="158"/>
  <c r="K54" i="158" s="1"/>
  <c r="K38" i="158"/>
  <c r="L38" i="158"/>
  <c r="M38" i="158" s="1"/>
  <c r="K40" i="158"/>
  <c r="L40" i="158"/>
  <c r="M40" i="158" s="1"/>
  <c r="K39" i="158"/>
  <c r="L39" i="158"/>
  <c r="M39" i="158" s="1"/>
  <c r="K28" i="163"/>
  <c r="I28" i="163"/>
  <c r="I61" i="163" s="1"/>
  <c r="I6" i="162" s="1"/>
  <c r="I10" i="162" s="1"/>
  <c r="M14" i="162" s="1"/>
  <c r="M28" i="163"/>
  <c r="G61" i="163"/>
  <c r="G6" i="162" s="1"/>
  <c r="G10" i="162" s="1"/>
  <c r="L16" i="159"/>
  <c r="K19" i="159"/>
  <c r="L19" i="159" s="1"/>
  <c r="K20" i="159"/>
  <c r="L20" i="159" s="1"/>
  <c r="K21" i="159"/>
  <c r="L21" i="159" s="1"/>
  <c r="K22" i="159"/>
  <c r="L22" i="159" s="1"/>
  <c r="K23" i="159"/>
  <c r="L23" i="159" s="1"/>
  <c r="K25" i="159"/>
  <c r="L25" i="159" s="1"/>
  <c r="K26" i="159"/>
  <c r="L26" i="159" s="1"/>
  <c r="K27" i="159"/>
  <c r="L27" i="159" s="1"/>
  <c r="K28" i="159"/>
  <c r="L28" i="159" s="1"/>
  <c r="M59" i="158"/>
  <c r="K59" i="158"/>
  <c r="I59" i="158"/>
  <c r="M58" i="158"/>
  <c r="K58" i="158"/>
  <c r="I58" i="158"/>
  <c r="M57" i="158"/>
  <c r="K57" i="158"/>
  <c r="I57" i="158"/>
  <c r="M56" i="158"/>
  <c r="K56" i="158"/>
  <c r="I56" i="158"/>
  <c r="I50" i="158"/>
  <c r="G50" i="158"/>
  <c r="I49" i="158"/>
  <c r="G49" i="158"/>
  <c r="I48" i="158"/>
  <c r="G48" i="158"/>
  <c r="K47" i="158"/>
  <c r="I47" i="158"/>
  <c r="G47" i="158"/>
  <c r="I46" i="158"/>
  <c r="G46" i="158"/>
  <c r="L43" i="158"/>
  <c r="M43" i="158" s="1"/>
  <c r="I43" i="158"/>
  <c r="L42" i="158"/>
  <c r="I42" i="158"/>
  <c r="I30" i="158"/>
  <c r="G30" i="158"/>
  <c r="K27" i="158"/>
  <c r="I27" i="158"/>
  <c r="G27" i="158"/>
  <c r="L26" i="158"/>
  <c r="I26" i="158"/>
  <c r="G26" i="158"/>
  <c r="K25" i="158"/>
  <c r="I25" i="158"/>
  <c r="G25" i="158"/>
  <c r="L24" i="158"/>
  <c r="I24" i="158"/>
  <c r="G24" i="158"/>
  <c r="K23" i="158"/>
  <c r="I23" i="158"/>
  <c r="G23" i="158"/>
  <c r="L22" i="158"/>
  <c r="I22" i="158"/>
  <c r="G22" i="158"/>
  <c r="L21" i="158"/>
  <c r="I21" i="158"/>
  <c r="G21" i="158"/>
  <c r="L20" i="158"/>
  <c r="M20" i="158" s="1"/>
  <c r="I20" i="158"/>
  <c r="G20" i="158"/>
  <c r="L19" i="158"/>
  <c r="I19" i="158"/>
  <c r="G19" i="158"/>
  <c r="K18" i="158"/>
  <c r="I18" i="158"/>
  <c r="G18" i="158"/>
  <c r="L17" i="158"/>
  <c r="I17" i="158"/>
  <c r="G17" i="158"/>
  <c r="L16" i="158"/>
  <c r="I16" i="158"/>
  <c r="G16" i="158"/>
  <c r="L15" i="158"/>
  <c r="I15" i="158"/>
  <c r="G15" i="158"/>
  <c r="L14" i="158"/>
  <c r="I14" i="158"/>
  <c r="G14" i="158"/>
  <c r="L13" i="158"/>
  <c r="I13" i="158"/>
  <c r="G13" i="158"/>
  <c r="L12" i="158"/>
  <c r="I12" i="158"/>
  <c r="G12" i="158"/>
  <c r="L11" i="158"/>
  <c r="I11" i="158"/>
  <c r="G11" i="158"/>
  <c r="I10" i="158"/>
  <c r="G10" i="158"/>
  <c r="K9" i="158"/>
  <c r="I9" i="158"/>
  <c r="G9" i="158"/>
  <c r="L8" i="158"/>
  <c r="I8" i="158"/>
  <c r="G8" i="158"/>
  <c r="I7" i="158"/>
  <c r="G7" i="158"/>
  <c r="M28" i="157"/>
  <c r="M27" i="157"/>
  <c r="M26" i="157"/>
  <c r="M25" i="157"/>
  <c r="M23" i="157"/>
  <c r="M22" i="157"/>
  <c r="M21" i="157"/>
  <c r="M20" i="157"/>
  <c r="M19" i="157"/>
  <c r="M16" i="157"/>
  <c r="K8" i="157"/>
  <c r="D60" i="25"/>
  <c r="J60" i="158" s="1"/>
  <c r="D54" i="25"/>
  <c r="J54" i="158" s="1"/>
  <c r="D51" i="25"/>
  <c r="J51" i="158" s="1"/>
  <c r="D44" i="25"/>
  <c r="J44" i="158" s="1"/>
  <c r="D7" i="156" l="1"/>
  <c r="E15" i="155"/>
  <c r="D9" i="156"/>
  <c r="L35" i="185"/>
  <c r="L35" i="177"/>
  <c r="M61" i="163"/>
  <c r="K61" i="163"/>
  <c r="K6" i="162" s="1"/>
  <c r="K10" i="162" s="1"/>
  <c r="M17" i="162" s="1"/>
  <c r="K15" i="161" s="1"/>
  <c r="L15" i="161" s="1"/>
  <c r="M39" i="170"/>
  <c r="L35" i="169"/>
  <c r="M15" i="162"/>
  <c r="K13" i="161" s="1"/>
  <c r="L13" i="161" s="1"/>
  <c r="L54" i="158"/>
  <c r="M53" i="158"/>
  <c r="M54" i="158" s="1"/>
  <c r="I44" i="158"/>
  <c r="I51" i="158"/>
  <c r="I60" i="158"/>
  <c r="I61" i="158" s="1"/>
  <c r="G51" i="158"/>
  <c r="G44" i="158"/>
  <c r="G28" i="158"/>
  <c r="M60" i="158"/>
  <c r="K60" i="158"/>
  <c r="G60" i="158"/>
  <c r="K46" i="158"/>
  <c r="L30" i="158"/>
  <c r="L44" i="158" s="1"/>
  <c r="I28" i="158"/>
  <c r="L7" i="158"/>
  <c r="L23" i="158"/>
  <c r="M23" i="158" s="1"/>
  <c r="L46" i="158"/>
  <c r="L51" i="158" s="1"/>
  <c r="L9" i="158"/>
  <c r="M9" i="158" s="1"/>
  <c r="K12" i="158"/>
  <c r="K16" i="158"/>
  <c r="M19" i="158"/>
  <c r="M17" i="158"/>
  <c r="M48" i="158"/>
  <c r="M26" i="158"/>
  <c r="K24" i="158"/>
  <c r="K10" i="158"/>
  <c r="L27" i="158"/>
  <c r="K7" i="158"/>
  <c r="L10" i="158"/>
  <c r="K42" i="158"/>
  <c r="K21" i="158"/>
  <c r="K15" i="158"/>
  <c r="M12" i="158"/>
  <c r="K49" i="158"/>
  <c r="L18" i="158"/>
  <c r="M18" i="158" s="1"/>
  <c r="K13" i="158"/>
  <c r="K19" i="158"/>
  <c r="K50" i="158"/>
  <c r="L25" i="158"/>
  <c r="K43" i="158"/>
  <c r="K17" i="158"/>
  <c r="K48" i="158"/>
  <c r="K22" i="158"/>
  <c r="K30" i="158"/>
  <c r="K11" i="158"/>
  <c r="K14" i="158"/>
  <c r="K26" i="158"/>
  <c r="K8" i="158"/>
  <c r="K20" i="158"/>
  <c r="K12" i="161"/>
  <c r="L12" i="161" s="1"/>
  <c r="M12" i="162"/>
  <c r="M24" i="158"/>
  <c r="M13" i="158"/>
  <c r="M14" i="158"/>
  <c r="M8" i="158"/>
  <c r="M15" i="158"/>
  <c r="M22" i="158"/>
  <c r="M49" i="158"/>
  <c r="M11" i="158"/>
  <c r="M21" i="158"/>
  <c r="M42" i="158"/>
  <c r="M50" i="158"/>
  <c r="M16" i="158"/>
  <c r="M6" i="162" l="1"/>
  <c r="M10" i="162" s="1"/>
  <c r="M26" i="162"/>
  <c r="K24" i="161" s="1"/>
  <c r="L24" i="161" s="1"/>
  <c r="M13" i="162"/>
  <c r="M20" i="162"/>
  <c r="K18" i="161" s="1"/>
  <c r="L18" i="161" s="1"/>
  <c r="M19" i="162"/>
  <c r="K17" i="161" s="1"/>
  <c r="L17" i="161" s="1"/>
  <c r="G61" i="158"/>
  <c r="M30" i="158"/>
  <c r="M44" i="158" s="1"/>
  <c r="K51" i="158"/>
  <c r="K44" i="158"/>
  <c r="M46" i="158"/>
  <c r="K28" i="158"/>
  <c r="M7" i="158"/>
  <c r="L28" i="158"/>
  <c r="M25" i="158"/>
  <c r="M47" i="158"/>
  <c r="M10" i="158"/>
  <c r="M27" i="158"/>
  <c r="K10" i="161"/>
  <c r="L10" i="161" s="1"/>
  <c r="M16" i="162"/>
  <c r="K14" i="161" s="1"/>
  <c r="L14" i="161" s="1"/>
  <c r="K11" i="161"/>
  <c r="L11" i="161" s="1"/>
  <c r="K8" i="161" l="1"/>
  <c r="L4" i="161"/>
  <c r="L8" i="161" s="1"/>
  <c r="L61" i="158"/>
  <c r="K61" i="158"/>
  <c r="L4" i="157" s="1"/>
  <c r="L8" i="157" s="1"/>
  <c r="M51" i="158"/>
  <c r="M28" i="158"/>
  <c r="M31" i="162"/>
  <c r="M32" i="162"/>
  <c r="Y59" i="25"/>
  <c r="H59" i="25" s="1"/>
  <c r="I59" i="25" s="1"/>
  <c r="Y58" i="25"/>
  <c r="H58" i="25" s="1"/>
  <c r="I58" i="25" s="1"/>
  <c r="Y57" i="25"/>
  <c r="H57" i="25" s="1"/>
  <c r="I57" i="25" s="1"/>
  <c r="Y56" i="25"/>
  <c r="H56" i="25" s="1"/>
  <c r="Y53" i="25"/>
  <c r="H53" i="25" s="1"/>
  <c r="I53" i="25" s="1"/>
  <c r="I54" i="25" s="1"/>
  <c r="Y50" i="25"/>
  <c r="H50" i="25" s="1"/>
  <c r="Y49" i="25"/>
  <c r="H49" i="25" s="1"/>
  <c r="Y48" i="25"/>
  <c r="H48" i="25" s="1"/>
  <c r="Y47" i="25"/>
  <c r="H47" i="25" s="1"/>
  <c r="Y46" i="25"/>
  <c r="H46" i="25" s="1"/>
  <c r="Y43" i="25"/>
  <c r="H43" i="25" s="1"/>
  <c r="Y42" i="25"/>
  <c r="H42" i="25" s="1"/>
  <c r="Y41" i="25"/>
  <c r="Y40" i="25"/>
  <c r="Y39" i="25"/>
  <c r="Y38" i="25"/>
  <c r="Y37" i="25"/>
  <c r="H37" i="25" s="1"/>
  <c r="I37" i="25" s="1"/>
  <c r="Y36" i="25"/>
  <c r="H36" i="25" s="1"/>
  <c r="Y35" i="25"/>
  <c r="H35" i="25" s="1"/>
  <c r="Y34" i="25"/>
  <c r="H34" i="25" s="1"/>
  <c r="Y33" i="25"/>
  <c r="H33" i="25" s="1"/>
  <c r="Y32" i="25"/>
  <c r="H32" i="25" s="1"/>
  <c r="Y31" i="25"/>
  <c r="H31" i="25" s="1"/>
  <c r="Y30" i="25"/>
  <c r="H30" i="25" s="1"/>
  <c r="Y8" i="25"/>
  <c r="H8" i="25" s="1"/>
  <c r="Y9" i="25"/>
  <c r="H9" i="25" s="1"/>
  <c r="Y10" i="25"/>
  <c r="H10" i="25" s="1"/>
  <c r="Y11" i="25"/>
  <c r="H11" i="25" s="1"/>
  <c r="Y12" i="25"/>
  <c r="Y13" i="25"/>
  <c r="Y14" i="25"/>
  <c r="Y15" i="25"/>
  <c r="Y16" i="25"/>
  <c r="H16" i="25" s="1"/>
  <c r="Y17" i="25"/>
  <c r="H17" i="25" s="1"/>
  <c r="Y18" i="25"/>
  <c r="H18" i="25" s="1"/>
  <c r="Y19" i="25"/>
  <c r="H19" i="25" s="1"/>
  <c r="Y20" i="25"/>
  <c r="H20" i="25" s="1"/>
  <c r="Y21" i="25"/>
  <c r="H21" i="25" s="1"/>
  <c r="Y22" i="25"/>
  <c r="H22" i="25" s="1"/>
  <c r="Y23" i="25"/>
  <c r="H23" i="25" s="1"/>
  <c r="Y24" i="25"/>
  <c r="H24" i="25" s="1"/>
  <c r="Y25" i="25"/>
  <c r="H25" i="25" s="1"/>
  <c r="Y26" i="25"/>
  <c r="H26" i="25" s="1"/>
  <c r="Y27" i="25"/>
  <c r="H27" i="25" s="1"/>
  <c r="Y7" i="25"/>
  <c r="H7" i="25" s="1"/>
  <c r="L59" i="129"/>
  <c r="L58" i="129"/>
  <c r="L57" i="129"/>
  <c r="L56" i="129"/>
  <c r="L53" i="129"/>
  <c r="L50" i="129"/>
  <c r="L49" i="129"/>
  <c r="L48" i="129"/>
  <c r="L47" i="129"/>
  <c r="L46" i="129"/>
  <c r="L43" i="129"/>
  <c r="L42" i="129"/>
  <c r="L41" i="129"/>
  <c r="L40" i="129"/>
  <c r="L39" i="129"/>
  <c r="L38" i="129"/>
  <c r="L37" i="129"/>
  <c r="L36" i="129"/>
  <c r="L35" i="129"/>
  <c r="L34" i="129"/>
  <c r="L33" i="129"/>
  <c r="L32" i="129"/>
  <c r="L31" i="129"/>
  <c r="L30" i="129"/>
  <c r="L27" i="129"/>
  <c r="L26" i="129"/>
  <c r="L25" i="129"/>
  <c r="L24" i="129"/>
  <c r="L23" i="129"/>
  <c r="L22" i="129"/>
  <c r="L21" i="129"/>
  <c r="L20" i="129"/>
  <c r="L19" i="129"/>
  <c r="L18" i="129"/>
  <c r="L17" i="129"/>
  <c r="L16" i="129"/>
  <c r="L15" i="129"/>
  <c r="L14" i="129"/>
  <c r="L13" i="129"/>
  <c r="L12" i="129"/>
  <c r="L11" i="129"/>
  <c r="L10" i="129"/>
  <c r="L9" i="129"/>
  <c r="L8" i="129"/>
  <c r="L7" i="129"/>
  <c r="I48" i="25"/>
  <c r="I47" i="25"/>
  <c r="I16" i="25"/>
  <c r="X56" i="25"/>
  <c r="Z56" i="25"/>
  <c r="AA56" i="25"/>
  <c r="J56" i="25" s="1"/>
  <c r="AB56" i="25"/>
  <c r="X57" i="25"/>
  <c r="Z57" i="25"/>
  <c r="AA57" i="25"/>
  <c r="J57" i="25" s="1"/>
  <c r="AB57" i="25"/>
  <c r="X58" i="25"/>
  <c r="Z58" i="25"/>
  <c r="AA58" i="25"/>
  <c r="J58" i="25" s="1"/>
  <c r="AB58" i="25"/>
  <c r="X59" i="25"/>
  <c r="Z59" i="25"/>
  <c r="AA59" i="25"/>
  <c r="J59" i="25" s="1"/>
  <c r="AB59" i="25"/>
  <c r="W57" i="25"/>
  <c r="F57" i="25" s="1"/>
  <c r="W58" i="25"/>
  <c r="F58" i="25" s="1"/>
  <c r="W59" i="25"/>
  <c r="F59" i="25" s="1"/>
  <c r="W56" i="25"/>
  <c r="F56" i="25" s="1"/>
  <c r="X53" i="25"/>
  <c r="Z53" i="25"/>
  <c r="AA53" i="25"/>
  <c r="J53" i="25" s="1"/>
  <c r="AB53" i="25"/>
  <c r="W53" i="25"/>
  <c r="F53" i="25" s="1"/>
  <c r="X46" i="25"/>
  <c r="Z46" i="25"/>
  <c r="AA46" i="25"/>
  <c r="J46" i="25" s="1"/>
  <c r="AB46" i="25"/>
  <c r="X47" i="25"/>
  <c r="Z47" i="25"/>
  <c r="AA47" i="25"/>
  <c r="J47" i="25" s="1"/>
  <c r="AB47" i="25"/>
  <c r="X48" i="25"/>
  <c r="Z48" i="25"/>
  <c r="AA48" i="25"/>
  <c r="J48" i="25" s="1"/>
  <c r="AB48" i="25"/>
  <c r="X49" i="25"/>
  <c r="Z49" i="25"/>
  <c r="AA49" i="25"/>
  <c r="J49" i="25" s="1"/>
  <c r="AB49" i="25"/>
  <c r="X50" i="25"/>
  <c r="Z50" i="25"/>
  <c r="AA50" i="25"/>
  <c r="J50" i="25" s="1"/>
  <c r="AB50" i="25"/>
  <c r="W47" i="25"/>
  <c r="F47" i="25" s="1"/>
  <c r="W48" i="25"/>
  <c r="F48" i="25" s="1"/>
  <c r="W49" i="25"/>
  <c r="W50" i="25"/>
  <c r="W46" i="25"/>
  <c r="X30" i="25"/>
  <c r="Z30" i="25"/>
  <c r="AA30" i="25"/>
  <c r="J30" i="25" s="1"/>
  <c r="AB30" i="25"/>
  <c r="X31" i="25"/>
  <c r="Z31" i="25"/>
  <c r="AA31" i="25"/>
  <c r="J31" i="25" s="1"/>
  <c r="AB31" i="25"/>
  <c r="X32" i="25"/>
  <c r="Z32" i="25"/>
  <c r="AA32" i="25"/>
  <c r="J32" i="25" s="1"/>
  <c r="AB32" i="25"/>
  <c r="X33" i="25"/>
  <c r="Z33" i="25"/>
  <c r="AA33" i="25"/>
  <c r="J33" i="25" s="1"/>
  <c r="AB33" i="25"/>
  <c r="X34" i="25"/>
  <c r="Z34" i="25"/>
  <c r="AA34" i="25"/>
  <c r="J34" i="25" s="1"/>
  <c r="AB34" i="25"/>
  <c r="X35" i="25"/>
  <c r="Z35" i="25"/>
  <c r="AA35" i="25"/>
  <c r="J35" i="25" s="1"/>
  <c r="AB35" i="25"/>
  <c r="X36" i="25"/>
  <c r="Z36" i="25"/>
  <c r="AA36" i="25"/>
  <c r="J36" i="25" s="1"/>
  <c r="AB36" i="25"/>
  <c r="X37" i="25"/>
  <c r="Z37" i="25"/>
  <c r="AA37" i="25"/>
  <c r="J37" i="25" s="1"/>
  <c r="AB37" i="25"/>
  <c r="X38" i="25"/>
  <c r="Z38" i="25"/>
  <c r="AA38" i="25"/>
  <c r="J38" i="25" s="1"/>
  <c r="AB38" i="25"/>
  <c r="X39" i="25"/>
  <c r="Z39" i="25"/>
  <c r="AA39" i="25"/>
  <c r="J39" i="25" s="1"/>
  <c r="AB39" i="25"/>
  <c r="X40" i="25"/>
  <c r="Z40" i="25"/>
  <c r="AA40" i="25"/>
  <c r="J40" i="25" s="1"/>
  <c r="AB40" i="25"/>
  <c r="X41" i="25"/>
  <c r="Z41" i="25"/>
  <c r="AA41" i="25"/>
  <c r="J41" i="25" s="1"/>
  <c r="K41" i="25" s="1"/>
  <c r="AB41" i="25"/>
  <c r="X42" i="25"/>
  <c r="Z42" i="25"/>
  <c r="AA42" i="25"/>
  <c r="J42" i="25" s="1"/>
  <c r="AB42" i="25"/>
  <c r="X43" i="25"/>
  <c r="Z43" i="25"/>
  <c r="AA43" i="25"/>
  <c r="J43" i="25" s="1"/>
  <c r="AB43" i="25"/>
  <c r="W31" i="25"/>
  <c r="W32" i="25"/>
  <c r="W33" i="25"/>
  <c r="W34" i="25"/>
  <c r="W35" i="25"/>
  <c r="W36" i="25"/>
  <c r="W37" i="25"/>
  <c r="W38" i="25"/>
  <c r="W39" i="25"/>
  <c r="W40" i="25"/>
  <c r="W41" i="25"/>
  <c r="F41" i="25" s="1"/>
  <c r="W42" i="25"/>
  <c r="F42" i="25" s="1"/>
  <c r="W43" i="25"/>
  <c r="W30" i="25"/>
  <c r="F30" i="25" s="1"/>
  <c r="X7" i="25"/>
  <c r="Z7" i="25"/>
  <c r="AA7" i="25"/>
  <c r="J7" i="25" s="1"/>
  <c r="AB7" i="25"/>
  <c r="X8" i="25"/>
  <c r="Z8" i="25"/>
  <c r="AA8" i="25"/>
  <c r="J8" i="25" s="1"/>
  <c r="AB8" i="25"/>
  <c r="X9" i="25"/>
  <c r="Z9" i="25"/>
  <c r="AA9" i="25"/>
  <c r="J9" i="25" s="1"/>
  <c r="AB9" i="25"/>
  <c r="X10" i="25"/>
  <c r="Z10" i="25"/>
  <c r="AA10" i="25"/>
  <c r="J10" i="25" s="1"/>
  <c r="AB10" i="25"/>
  <c r="X11" i="25"/>
  <c r="Z11" i="25"/>
  <c r="AA11" i="25"/>
  <c r="J11" i="25" s="1"/>
  <c r="AB11" i="25"/>
  <c r="X12" i="25"/>
  <c r="Z12" i="25"/>
  <c r="AA12" i="25"/>
  <c r="J12" i="25" s="1"/>
  <c r="AB12" i="25"/>
  <c r="X13" i="25"/>
  <c r="Z13" i="25"/>
  <c r="AA13" i="25"/>
  <c r="J13" i="25" s="1"/>
  <c r="AB13" i="25"/>
  <c r="X14" i="25"/>
  <c r="Z14" i="25"/>
  <c r="AA14" i="25"/>
  <c r="J14" i="25" s="1"/>
  <c r="AB14" i="25"/>
  <c r="X15" i="25"/>
  <c r="Z15" i="25"/>
  <c r="AA15" i="25"/>
  <c r="J15" i="25" s="1"/>
  <c r="AB15" i="25"/>
  <c r="X16" i="25"/>
  <c r="Z16" i="25"/>
  <c r="AA16" i="25"/>
  <c r="J16" i="25" s="1"/>
  <c r="AB16" i="25"/>
  <c r="X17" i="25"/>
  <c r="Z17" i="25"/>
  <c r="AA17" i="25"/>
  <c r="J17" i="25" s="1"/>
  <c r="AB17" i="25"/>
  <c r="X18" i="25"/>
  <c r="Z18" i="25"/>
  <c r="AA18" i="25"/>
  <c r="J18" i="25" s="1"/>
  <c r="AB18" i="25"/>
  <c r="X19" i="25"/>
  <c r="Z19" i="25"/>
  <c r="AA19" i="25"/>
  <c r="J19" i="25" s="1"/>
  <c r="AB19" i="25"/>
  <c r="X20" i="25"/>
  <c r="Z20" i="25"/>
  <c r="AA20" i="25"/>
  <c r="J20" i="25" s="1"/>
  <c r="AB20" i="25"/>
  <c r="X21" i="25"/>
  <c r="Z21" i="25"/>
  <c r="AA21" i="25"/>
  <c r="J21" i="25" s="1"/>
  <c r="AB21" i="25"/>
  <c r="X22" i="25"/>
  <c r="Z22" i="25"/>
  <c r="AA22" i="25"/>
  <c r="J22" i="25" s="1"/>
  <c r="AB22" i="25"/>
  <c r="X23" i="25"/>
  <c r="Z23" i="25"/>
  <c r="AA23" i="25"/>
  <c r="J23" i="25" s="1"/>
  <c r="AB23" i="25"/>
  <c r="X24" i="25"/>
  <c r="Z24" i="25"/>
  <c r="AA24" i="25"/>
  <c r="J24" i="25" s="1"/>
  <c r="AB24" i="25"/>
  <c r="X25" i="25"/>
  <c r="Z25" i="25"/>
  <c r="AA25" i="25"/>
  <c r="J25" i="25" s="1"/>
  <c r="AB25" i="25"/>
  <c r="X26" i="25"/>
  <c r="Z26" i="25"/>
  <c r="AA26" i="25"/>
  <c r="J26" i="25" s="1"/>
  <c r="AB26" i="25"/>
  <c r="X27" i="25"/>
  <c r="Z27" i="25"/>
  <c r="AA27" i="25"/>
  <c r="J27" i="25" s="1"/>
  <c r="AB27" i="25"/>
  <c r="W8" i="25"/>
  <c r="F8" i="25" s="1"/>
  <c r="W9" i="25"/>
  <c r="F9" i="25" s="1"/>
  <c r="W10" i="25"/>
  <c r="F10" i="25" s="1"/>
  <c r="W11" i="25"/>
  <c r="W12" i="25"/>
  <c r="W13" i="25"/>
  <c r="W14" i="25"/>
  <c r="F14" i="25" s="1"/>
  <c r="W15" i="25"/>
  <c r="F15" i="25" s="1"/>
  <c r="W16" i="25"/>
  <c r="W17" i="25"/>
  <c r="W18" i="25"/>
  <c r="W19" i="25"/>
  <c r="F19" i="25" s="1"/>
  <c r="W20" i="25"/>
  <c r="F20" i="25" s="1"/>
  <c r="W21" i="25"/>
  <c r="W22" i="25"/>
  <c r="W23" i="25"/>
  <c r="W24" i="25"/>
  <c r="F24" i="25" s="1"/>
  <c r="W25" i="25"/>
  <c r="F25" i="25" s="1"/>
  <c r="W26" i="25"/>
  <c r="F26" i="25" s="1"/>
  <c r="W27" i="25"/>
  <c r="W7" i="25"/>
  <c r="M61" i="158" l="1"/>
  <c r="M4" i="157"/>
  <c r="M8" i="157" s="1"/>
  <c r="H14" i="25"/>
  <c r="I14" i="25" s="1"/>
  <c r="H13" i="25"/>
  <c r="I13" i="25" s="1"/>
  <c r="H38" i="25"/>
  <c r="I38" i="25" s="1"/>
  <c r="H12" i="25"/>
  <c r="I12" i="25" s="1"/>
  <c r="H39" i="25"/>
  <c r="I39" i="25" s="1"/>
  <c r="H40" i="25"/>
  <c r="I40" i="25" s="1"/>
  <c r="H41" i="25"/>
  <c r="I41" i="25" s="1"/>
  <c r="H15" i="25"/>
  <c r="I15" i="25" s="1"/>
  <c r="K30" i="161"/>
  <c r="L30" i="161" s="1"/>
  <c r="M33" i="162"/>
  <c r="K31" i="161" s="1"/>
  <c r="L31" i="161" s="1"/>
  <c r="K29" i="161"/>
  <c r="L29" i="161" s="1"/>
  <c r="K33" i="162"/>
  <c r="K53" i="25"/>
  <c r="K54" i="25" s="1"/>
  <c r="K37" i="25"/>
  <c r="K16" i="25"/>
  <c r="K40" i="25"/>
  <c r="I11" i="25"/>
  <c r="I27" i="25"/>
  <c r="K34" i="25"/>
  <c r="K33" i="25"/>
  <c r="I42" i="25"/>
  <c r="K20" i="25"/>
  <c r="K7" i="25"/>
  <c r="K43" i="25"/>
  <c r="K39" i="25"/>
  <c r="K38" i="25"/>
  <c r="K15" i="25"/>
  <c r="K42" i="25"/>
  <c r="K21" i="25"/>
  <c r="K36" i="25"/>
  <c r="K26" i="25"/>
  <c r="K58" i="25"/>
  <c r="K14" i="25"/>
  <c r="K13" i="25"/>
  <c r="K10" i="25"/>
  <c r="K17" i="25"/>
  <c r="K9" i="25"/>
  <c r="K57" i="25"/>
  <c r="I26" i="25"/>
  <c r="I10" i="25"/>
  <c r="I43" i="25"/>
  <c r="K8" i="25"/>
  <c r="I24" i="25"/>
  <c r="I8" i="25"/>
  <c r="K30" i="25"/>
  <c r="I9" i="25"/>
  <c r="K47" i="25"/>
  <c r="I23" i="25"/>
  <c r="I30" i="25"/>
  <c r="K25" i="25"/>
  <c r="K48" i="25"/>
  <c r="K24" i="25"/>
  <c r="I22" i="25"/>
  <c r="I31" i="25"/>
  <c r="I49" i="25"/>
  <c r="K23" i="25"/>
  <c r="K19" i="25"/>
  <c r="K32" i="25"/>
  <c r="K56" i="25"/>
  <c r="I21" i="25"/>
  <c r="I32" i="25"/>
  <c r="I50" i="25"/>
  <c r="K50" i="25"/>
  <c r="K59" i="25"/>
  <c r="I20" i="25"/>
  <c r="I25" i="25"/>
  <c r="I19" i="25"/>
  <c r="I56" i="25"/>
  <c r="I60" i="25" s="1"/>
  <c r="K46" i="25"/>
  <c r="I18" i="25"/>
  <c r="K22" i="25"/>
  <c r="K18" i="25"/>
  <c r="K35" i="25"/>
  <c r="K31" i="25"/>
  <c r="I17" i="25"/>
  <c r="I46" i="25"/>
  <c r="K49" i="25"/>
  <c r="F40" i="25"/>
  <c r="G40" i="25" s="1"/>
  <c r="F12" i="25"/>
  <c r="G12" i="25" s="1"/>
  <c r="F38" i="25"/>
  <c r="G38" i="25" s="1"/>
  <c r="F27" i="25"/>
  <c r="L27" i="25" s="1"/>
  <c r="M27" i="25" s="1"/>
  <c r="F46" i="25"/>
  <c r="L46" i="25" s="1"/>
  <c r="M46" i="25" s="1"/>
  <c r="F36" i="25"/>
  <c r="L36" i="25" s="1"/>
  <c r="M36" i="25" s="1"/>
  <c r="F50" i="25"/>
  <c r="G50" i="25" s="1"/>
  <c r="F23" i="25"/>
  <c r="L23" i="25" s="1"/>
  <c r="M23" i="25" s="1"/>
  <c r="F32" i="25"/>
  <c r="G32" i="25" s="1"/>
  <c r="F21" i="25"/>
  <c r="L21" i="25" s="1"/>
  <c r="M21" i="25" s="1"/>
  <c r="F31" i="25"/>
  <c r="L31" i="25" s="1"/>
  <c r="M31" i="25" s="1"/>
  <c r="F7" i="25"/>
  <c r="G7" i="25" s="1"/>
  <c r="F37" i="25"/>
  <c r="L37" i="25" s="1"/>
  <c r="M37" i="25" s="1"/>
  <c r="F35" i="25"/>
  <c r="L35" i="25" s="1"/>
  <c r="M35" i="25" s="1"/>
  <c r="F49" i="25"/>
  <c r="G49" i="25" s="1"/>
  <c r="F34" i="25"/>
  <c r="L34" i="25" s="1"/>
  <c r="M34" i="25" s="1"/>
  <c r="F22" i="25"/>
  <c r="G22" i="25" s="1"/>
  <c r="F18" i="25"/>
  <c r="G18" i="25" s="1"/>
  <c r="F13" i="25"/>
  <c r="L13" i="25" s="1"/>
  <c r="M13" i="25" s="1"/>
  <c r="F39" i="25"/>
  <c r="G39" i="25" s="1"/>
  <c r="F11" i="25"/>
  <c r="L11" i="25" s="1"/>
  <c r="M11" i="25" s="1"/>
  <c r="F33" i="25"/>
  <c r="L33" i="25" s="1"/>
  <c r="M33" i="25" s="1"/>
  <c r="F17" i="25"/>
  <c r="G17" i="25" s="1"/>
  <c r="F43" i="25"/>
  <c r="L43" i="25" s="1"/>
  <c r="M43" i="25" s="1"/>
  <c r="F16" i="25"/>
  <c r="G16" i="25" s="1"/>
  <c r="L56" i="25"/>
  <c r="M56" i="25" s="1"/>
  <c r="L9" i="25"/>
  <c r="M9" i="25" s="1"/>
  <c r="L26" i="25"/>
  <c r="M26" i="25" s="1"/>
  <c r="G26" i="25"/>
  <c r="G48" i="25"/>
  <c r="L48" i="25"/>
  <c r="M48" i="25" s="1"/>
  <c r="K27" i="25"/>
  <c r="K11" i="25"/>
  <c r="G47" i="25"/>
  <c r="L47" i="25"/>
  <c r="M47" i="25" s="1"/>
  <c r="L59" i="25"/>
  <c r="M59" i="25" s="1"/>
  <c r="G42" i="25"/>
  <c r="L42" i="25"/>
  <c r="M42" i="25" s="1"/>
  <c r="G41" i="25"/>
  <c r="L41" i="25"/>
  <c r="M41" i="25" s="1"/>
  <c r="G25" i="25"/>
  <c r="L25" i="25"/>
  <c r="M25" i="25" s="1"/>
  <c r="L8" i="25"/>
  <c r="M8" i="25" s="1"/>
  <c r="G8" i="25"/>
  <c r="L57" i="25"/>
  <c r="M57" i="25" s="1"/>
  <c r="G57" i="25"/>
  <c r="L58" i="25"/>
  <c r="M58" i="25" s="1"/>
  <c r="L53" i="25"/>
  <c r="M53" i="25" s="1"/>
  <c r="M54" i="25" s="1"/>
  <c r="G53" i="25"/>
  <c r="G54" i="25" s="1"/>
  <c r="L10" i="25"/>
  <c r="M10" i="25" s="1"/>
  <c r="G10" i="25"/>
  <c r="G24" i="25"/>
  <c r="L24" i="25"/>
  <c r="M24" i="25" s="1"/>
  <c r="L7" i="25"/>
  <c r="M7" i="25" s="1"/>
  <c r="G9" i="25"/>
  <c r="G56" i="25"/>
  <c r="G59" i="25"/>
  <c r="G58" i="25"/>
  <c r="I33" i="25"/>
  <c r="I34" i="25"/>
  <c r="L30" i="25"/>
  <c r="M30" i="25" s="1"/>
  <c r="I35" i="25"/>
  <c r="I36" i="25"/>
  <c r="G30" i="25"/>
  <c r="L15" i="25"/>
  <c r="M15" i="25" s="1"/>
  <c r="K12" i="25"/>
  <c r="L14" i="25"/>
  <c r="M14" i="25" s="1"/>
  <c r="L20" i="25"/>
  <c r="M20" i="25" s="1"/>
  <c r="L19" i="25"/>
  <c r="M19" i="25" s="1"/>
  <c r="I7" i="25"/>
  <c r="G20" i="25"/>
  <c r="G19" i="25"/>
  <c r="G15" i="25"/>
  <c r="G14" i="25"/>
  <c r="M34" i="162" l="1"/>
  <c r="K32" i="161" s="1"/>
  <c r="L32" i="161" s="1"/>
  <c r="K51" i="25"/>
  <c r="K60" i="25"/>
  <c r="I51" i="25"/>
  <c r="K44" i="25"/>
  <c r="I28" i="25"/>
  <c r="L39" i="25"/>
  <c r="M39" i="25" s="1"/>
  <c r="L32" i="25"/>
  <c r="M32" i="25" s="1"/>
  <c r="L40" i="25"/>
  <c r="M40" i="25" s="1"/>
  <c r="L18" i="25"/>
  <c r="M18" i="25" s="1"/>
  <c r="L12" i="25"/>
  <c r="M12" i="25" s="1"/>
  <c r="L16" i="25"/>
  <c r="M16" i="25" s="1"/>
  <c r="L49" i="25"/>
  <c r="M49" i="25" s="1"/>
  <c r="G34" i="25"/>
  <c r="G35" i="25"/>
  <c r="G11" i="25"/>
  <c r="G27" i="25"/>
  <c r="G43" i="25"/>
  <c r="L17" i="25"/>
  <c r="M17" i="25" s="1"/>
  <c r="G23" i="25"/>
  <c r="L50" i="25"/>
  <c r="M50" i="25" s="1"/>
  <c r="G33" i="25"/>
  <c r="G36" i="25"/>
  <c r="G37" i="25"/>
  <c r="G46" i="25"/>
  <c r="G51" i="25" s="1"/>
  <c r="L38" i="25"/>
  <c r="M38" i="25" s="1"/>
  <c r="G13" i="25"/>
  <c r="G31" i="25"/>
  <c r="G21" i="25"/>
  <c r="L22" i="25"/>
  <c r="M22" i="25" s="1"/>
  <c r="I44" i="25"/>
  <c r="G60" i="25"/>
  <c r="M60" i="25"/>
  <c r="K28" i="25"/>
  <c r="K61" i="25" s="1"/>
  <c r="M35" i="162" l="1"/>
  <c r="I61" i="25"/>
  <c r="M36" i="162"/>
  <c r="K34" i="161" s="1"/>
  <c r="K33" i="161"/>
  <c r="D6" i="156" s="1"/>
  <c r="M37" i="162"/>
  <c r="M44" i="25"/>
  <c r="M28" i="25"/>
  <c r="G28" i="25"/>
  <c r="M51" i="25"/>
  <c r="G44" i="25"/>
  <c r="L34" i="161" l="1"/>
  <c r="L33" i="161"/>
  <c r="K35" i="161"/>
  <c r="M39" i="162"/>
  <c r="G61" i="25"/>
  <c r="M61" i="25"/>
  <c r="D54" i="129"/>
  <c r="D60" i="129"/>
  <c r="L35" i="161" l="1"/>
  <c r="M59" i="129"/>
  <c r="K59" i="129"/>
  <c r="I59" i="129"/>
  <c r="G59" i="129"/>
  <c r="M58" i="129"/>
  <c r="K58" i="129"/>
  <c r="I58" i="129"/>
  <c r="G58" i="129"/>
  <c r="M57" i="129"/>
  <c r="K57" i="129"/>
  <c r="I57" i="129"/>
  <c r="G57" i="129"/>
  <c r="M56" i="129"/>
  <c r="K56" i="129"/>
  <c r="I56" i="129"/>
  <c r="G56" i="129"/>
  <c r="G54" i="129"/>
  <c r="M53" i="129"/>
  <c r="M54" i="129" s="1"/>
  <c r="K53" i="129"/>
  <c r="K54" i="129" s="1"/>
  <c r="I53" i="129"/>
  <c r="I54" i="129" s="1"/>
  <c r="D51" i="129"/>
  <c r="M50" i="129"/>
  <c r="K50" i="129"/>
  <c r="I50" i="129"/>
  <c r="G50" i="129"/>
  <c r="M49" i="129"/>
  <c r="K49" i="129"/>
  <c r="I49" i="129"/>
  <c r="G49" i="129"/>
  <c r="M48" i="129"/>
  <c r="K48" i="129"/>
  <c r="I48" i="129"/>
  <c r="G48" i="129"/>
  <c r="M47" i="129"/>
  <c r="K47" i="129"/>
  <c r="I47" i="129"/>
  <c r="G47" i="129"/>
  <c r="M46" i="129"/>
  <c r="K46" i="129"/>
  <c r="I46" i="129"/>
  <c r="G46" i="129"/>
  <c r="D44" i="129"/>
  <c r="M43" i="129"/>
  <c r="K43" i="129"/>
  <c r="I43" i="129"/>
  <c r="G43" i="129"/>
  <c r="M42" i="129"/>
  <c r="K42" i="129"/>
  <c r="I42" i="129"/>
  <c r="G42" i="129"/>
  <c r="M41" i="129"/>
  <c r="K41" i="129"/>
  <c r="I41" i="129"/>
  <c r="G41" i="129"/>
  <c r="M40" i="129"/>
  <c r="K40" i="129"/>
  <c r="I40" i="129"/>
  <c r="G40" i="129"/>
  <c r="M39" i="129"/>
  <c r="K39" i="129"/>
  <c r="I39" i="129"/>
  <c r="G39" i="129"/>
  <c r="M38" i="129"/>
  <c r="K38" i="129"/>
  <c r="I38" i="129"/>
  <c r="G38" i="129"/>
  <c r="M37" i="129"/>
  <c r="K37" i="129"/>
  <c r="I37" i="129"/>
  <c r="G37" i="129"/>
  <c r="M36" i="129"/>
  <c r="K36" i="129"/>
  <c r="I36" i="129"/>
  <c r="G36" i="129"/>
  <c r="M35" i="129"/>
  <c r="K35" i="129"/>
  <c r="I35" i="129"/>
  <c r="G35" i="129"/>
  <c r="M34" i="129"/>
  <c r="K34" i="129"/>
  <c r="I34" i="129"/>
  <c r="G34" i="129"/>
  <c r="M33" i="129"/>
  <c r="K33" i="129"/>
  <c r="I33" i="129"/>
  <c r="G33" i="129"/>
  <c r="M32" i="129"/>
  <c r="K32" i="129"/>
  <c r="I32" i="129"/>
  <c r="G32" i="129"/>
  <c r="M31" i="129"/>
  <c r="K31" i="129"/>
  <c r="I31" i="129"/>
  <c r="G31" i="129"/>
  <c r="M30" i="129"/>
  <c r="K30" i="129"/>
  <c r="I30" i="129"/>
  <c r="G30" i="129"/>
  <c r="D28" i="129"/>
  <c r="M27" i="129"/>
  <c r="K27" i="129"/>
  <c r="I27" i="129"/>
  <c r="G27" i="129"/>
  <c r="M26" i="129"/>
  <c r="K26" i="129"/>
  <c r="I26" i="129"/>
  <c r="G26" i="129"/>
  <c r="M25" i="129"/>
  <c r="K25" i="129"/>
  <c r="I25" i="129"/>
  <c r="G25" i="129"/>
  <c r="M24" i="129"/>
  <c r="K24" i="129"/>
  <c r="I24" i="129"/>
  <c r="G24" i="129"/>
  <c r="M23" i="129"/>
  <c r="K23" i="129"/>
  <c r="I23" i="129"/>
  <c r="G23" i="129"/>
  <c r="M22" i="129"/>
  <c r="K22" i="129"/>
  <c r="I22" i="129"/>
  <c r="G22" i="129"/>
  <c r="M21" i="129"/>
  <c r="K21" i="129"/>
  <c r="I21" i="129"/>
  <c r="G21" i="129"/>
  <c r="M20" i="129"/>
  <c r="K20" i="129"/>
  <c r="I20" i="129"/>
  <c r="G20" i="129"/>
  <c r="M19" i="129"/>
  <c r="K19" i="129"/>
  <c r="I19" i="129"/>
  <c r="G19" i="129"/>
  <c r="M18" i="129"/>
  <c r="K18" i="129"/>
  <c r="I18" i="129"/>
  <c r="G18" i="129"/>
  <c r="M17" i="129"/>
  <c r="K17" i="129"/>
  <c r="I17" i="129"/>
  <c r="G17" i="129"/>
  <c r="M16" i="129"/>
  <c r="K16" i="129"/>
  <c r="I16" i="129"/>
  <c r="G16" i="129"/>
  <c r="M15" i="129"/>
  <c r="K15" i="129"/>
  <c r="I15" i="129"/>
  <c r="G15" i="129"/>
  <c r="M14" i="129"/>
  <c r="K14" i="129"/>
  <c r="I14" i="129"/>
  <c r="G14" i="129"/>
  <c r="M13" i="129"/>
  <c r="K13" i="129"/>
  <c r="I13" i="129"/>
  <c r="G13" i="129"/>
  <c r="M12" i="129"/>
  <c r="K12" i="129"/>
  <c r="I12" i="129"/>
  <c r="G12" i="129"/>
  <c r="M11" i="129"/>
  <c r="K11" i="129"/>
  <c r="I11" i="129"/>
  <c r="G11" i="129"/>
  <c r="M10" i="129"/>
  <c r="K10" i="129"/>
  <c r="I10" i="129"/>
  <c r="G10" i="129"/>
  <c r="M9" i="129"/>
  <c r="K9" i="129"/>
  <c r="I9" i="129"/>
  <c r="G9" i="129"/>
  <c r="M8" i="129"/>
  <c r="K8" i="129"/>
  <c r="I8" i="129"/>
  <c r="G8" i="129"/>
  <c r="M7" i="129"/>
  <c r="K7" i="129"/>
  <c r="I7" i="129"/>
  <c r="G7" i="129"/>
  <c r="D28" i="25" l="1"/>
  <c r="D62" i="129"/>
  <c r="I60" i="129"/>
  <c r="K44" i="129"/>
  <c r="K51" i="129"/>
  <c r="I51" i="129"/>
  <c r="G51" i="129"/>
  <c r="M51" i="129"/>
  <c r="M44" i="129"/>
  <c r="M28" i="129"/>
  <c r="M60" i="129"/>
  <c r="K60" i="129"/>
  <c r="K28" i="129"/>
  <c r="I28" i="129"/>
  <c r="I44" i="129"/>
  <c r="G44" i="129"/>
  <c r="G28" i="129"/>
  <c r="G60" i="129"/>
  <c r="J28" i="158" l="1"/>
  <c r="J61" i="158" s="1"/>
  <c r="D62" i="25"/>
  <c r="K61" i="129"/>
  <c r="K6" i="128" s="1"/>
  <c r="K10" i="128" s="1"/>
  <c r="M17" i="128" s="1"/>
  <c r="I61" i="129"/>
  <c r="I6" i="128" s="1"/>
  <c r="I10" i="128" s="1"/>
  <c r="M15" i="128" s="1"/>
  <c r="G61" i="129"/>
  <c r="G6" i="128" s="1"/>
  <c r="G10" i="128" s="1"/>
  <c r="M12" i="128" s="1"/>
  <c r="M61" i="129"/>
  <c r="L13" i="157" l="1"/>
  <c r="M13" i="157" s="1"/>
  <c r="K10" i="159"/>
  <c r="L10" i="157"/>
  <c r="M10" i="157" s="1"/>
  <c r="L15" i="157"/>
  <c r="M15" i="157" s="1"/>
  <c r="M6" i="128"/>
  <c r="M10" i="128" s="1"/>
  <c r="L13" i="159"/>
  <c r="L10" i="159"/>
  <c r="L15" i="159"/>
  <c r="M19" i="128"/>
  <c r="M14" i="128"/>
  <c r="M26" i="128"/>
  <c r="M20" i="128"/>
  <c r="M13" i="128" l="1"/>
  <c r="L12" i="157"/>
  <c r="M12" i="157" s="1"/>
  <c r="L18" i="159"/>
  <c r="L18" i="157"/>
  <c r="M18" i="157" s="1"/>
  <c r="L12" i="159"/>
  <c r="L17" i="159"/>
  <c r="L17" i="157"/>
  <c r="M17" i="157" s="1"/>
  <c r="K24" i="159"/>
  <c r="L24" i="159" s="1"/>
  <c r="L24" i="157"/>
  <c r="M24" i="157" s="1"/>
  <c r="L11" i="159"/>
  <c r="M16" i="128"/>
  <c r="L11" i="157" l="1"/>
  <c r="M11" i="157" s="1"/>
  <c r="M32" i="128"/>
  <c r="L14" i="157"/>
  <c r="M14" i="157" s="1"/>
  <c r="L14" i="159"/>
  <c r="M31" i="128"/>
  <c r="M33" i="128"/>
  <c r="M33" i="73" s="1"/>
  <c r="K33" i="128"/>
  <c r="L29" i="157" l="1"/>
  <c r="M29" i="157" s="1"/>
  <c r="L30" i="157"/>
  <c r="M30" i="157" s="1"/>
  <c r="L31" i="157"/>
  <c r="M31" i="157" s="1"/>
  <c r="K30" i="159"/>
  <c r="L30" i="159" s="1"/>
  <c r="K31" i="159"/>
  <c r="L31" i="159" s="1"/>
  <c r="K29" i="159"/>
  <c r="L29" i="159" s="1"/>
  <c r="M34" i="128"/>
  <c r="M34" i="73" s="1"/>
  <c r="L32" i="157" l="1"/>
  <c r="M32" i="157" s="1"/>
  <c r="K32" i="159"/>
  <c r="L32" i="159" s="1"/>
  <c r="M35" i="128"/>
  <c r="M35" i="73" s="1"/>
  <c r="K33" i="159" l="1"/>
  <c r="L33" i="157"/>
  <c r="M33" i="157" s="1"/>
  <c r="M36" i="128"/>
  <c r="M36" i="73" s="1"/>
  <c r="D5" i="156" l="1"/>
  <c r="D10" i="156" s="1"/>
  <c r="E13" i="155"/>
  <c r="C10" i="156"/>
  <c r="L33" i="159"/>
  <c r="K34" i="159"/>
  <c r="L34" i="157"/>
  <c r="M34" i="157" s="1"/>
  <c r="M37" i="128"/>
  <c r="M37" i="73" s="1"/>
  <c r="L34" i="159"/>
  <c r="G6" i="73"/>
  <c r="K35" i="159" l="1"/>
  <c r="L35" i="157"/>
  <c r="M39" i="128"/>
  <c r="L35" i="159"/>
  <c r="G10" i="73"/>
  <c r="F13" i="155" l="1"/>
  <c r="D18" i="155"/>
  <c r="M35" i="157"/>
  <c r="D19" i="155" s="1"/>
  <c r="I6" i="73"/>
  <c r="I10" i="73" l="1"/>
  <c r="K6" i="73" l="1"/>
  <c r="K10" i="73" s="1"/>
  <c r="M6" i="73" l="1"/>
  <c r="M10" i="73" s="1"/>
  <c r="K33" i="73" l="1"/>
  <c r="F17" i="5" l="1"/>
  <c r="F18" i="5" s="1"/>
  <c r="V5" i="25" l="1"/>
  <c r="F19" i="5"/>
  <c r="F15" i="5"/>
  <c r="K8" i="159" l="1"/>
  <c r="J8" i="159" l="1"/>
  <c r="J4" i="159"/>
  <c r="L4" i="159"/>
  <c r="L8" i="159"/>
</calcChain>
</file>

<file path=xl/comments1.xml><?xml version="1.0" encoding="utf-8"?>
<comments xmlns="http://schemas.openxmlformats.org/spreadsheetml/2006/main">
  <authors>
    <author>ProfileAdm</author>
  </authors>
  <commentList>
    <comment ref="M23" authorId="0" shapeId="0">
      <text>
        <r>
          <rPr>
            <b/>
            <sz val="9"/>
            <color indexed="81"/>
            <rFont val="Tahoma"/>
            <family val="2"/>
          </rPr>
          <t>ProfileAdm: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다섯째자리에서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제비율표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>
  <authors>
    <author>ProfileAdm</author>
  </authors>
  <commentList>
    <comment ref="M23" authorId="0" shapeId="0">
      <text>
        <r>
          <rPr>
            <b/>
            <sz val="9"/>
            <color indexed="81"/>
            <rFont val="Tahoma"/>
            <family val="2"/>
          </rPr>
          <t>ProfileAdm: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다섯째자리에서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제비율표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>
  <authors>
    <author>ProfileAdm</author>
  </authors>
  <commentList>
    <comment ref="M23" authorId="0" shapeId="0">
      <text>
        <r>
          <rPr>
            <b/>
            <sz val="9"/>
            <color indexed="81"/>
            <rFont val="Tahoma"/>
            <family val="2"/>
          </rPr>
          <t>ProfileAdm: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다섯째자리에서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제비율표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4.xml><?xml version="1.0" encoding="utf-8"?>
<comments xmlns="http://schemas.openxmlformats.org/spreadsheetml/2006/main">
  <authors>
    <author>ProfileAdm</author>
  </authors>
  <commentList>
    <comment ref="M23" authorId="0" shapeId="0">
      <text>
        <r>
          <rPr>
            <b/>
            <sz val="9"/>
            <color indexed="81"/>
            <rFont val="Tahoma"/>
            <family val="2"/>
          </rPr>
          <t>ProfileAdm: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다섯째자리에서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제비율표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5.xml><?xml version="1.0" encoding="utf-8"?>
<comments xmlns="http://schemas.openxmlformats.org/spreadsheetml/2006/main">
  <authors>
    <author>ProfileAdm</author>
  </authors>
  <commentList>
    <comment ref="M23" authorId="0" shapeId="0">
      <text>
        <r>
          <rPr>
            <b/>
            <sz val="9"/>
            <color indexed="81"/>
            <rFont val="Tahoma"/>
            <family val="2"/>
          </rPr>
          <t>ProfileAdm: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다섯째자리에서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제비율표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6.xml><?xml version="1.0" encoding="utf-8"?>
<comments xmlns="http://schemas.openxmlformats.org/spreadsheetml/2006/main">
  <authors>
    <author>ProfileAdm</author>
  </authors>
  <commentList>
    <comment ref="M23" authorId="0" shapeId="0">
      <text>
        <r>
          <rPr>
            <b/>
            <sz val="9"/>
            <color indexed="81"/>
            <rFont val="Tahoma"/>
            <family val="2"/>
          </rPr>
          <t>ProfileAdm: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다섯째자리에서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제비율표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7.xml><?xml version="1.0" encoding="utf-8"?>
<comments xmlns="http://schemas.openxmlformats.org/spreadsheetml/2006/main">
  <authors>
    <author>ProfileAdm</author>
  </authors>
  <commentList>
    <comment ref="M23" authorId="0" shapeId="0">
      <text>
        <r>
          <rPr>
            <b/>
            <sz val="9"/>
            <color indexed="81"/>
            <rFont val="Tahoma"/>
            <family val="2"/>
          </rPr>
          <t>ProfileAdm: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소수점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다섯째자리에서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반올림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제비율표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<sst xmlns="http://schemas.openxmlformats.org/spreadsheetml/2006/main" count="3791" uniqueCount="458">
  <si>
    <t>비 고</t>
    <phoneticPr fontId="12" type="noConversion"/>
  </si>
  <si>
    <t>[공사비총괄표]</t>
    <phoneticPr fontId="12" type="noConversion"/>
  </si>
  <si>
    <t xml:space="preserve"> (직접노무비 x 요율)</t>
    <phoneticPr fontId="12" type="noConversion"/>
  </si>
  <si>
    <t xml:space="preserve">     총  공  사  비  :  </t>
    <phoneticPr fontId="12" type="noConversion"/>
  </si>
  <si>
    <t>계</t>
  </si>
  <si>
    <t>식</t>
  </si>
  <si>
    <t>단위</t>
  </si>
  <si>
    <t>금         액</t>
  </si>
  <si>
    <t>재 료 비</t>
  </si>
  <si>
    <t>노 무 비</t>
  </si>
  <si>
    <t/>
  </si>
  <si>
    <t>공   종</t>
  </si>
  <si>
    <t>명      칭</t>
  </si>
  <si>
    <t>규      격</t>
  </si>
  <si>
    <t>수   량</t>
  </si>
  <si>
    <t>경  비</t>
  </si>
  <si>
    <t>합  계</t>
  </si>
  <si>
    <t>단   가</t>
  </si>
  <si>
    <t>금    액</t>
  </si>
  <si>
    <t>순공사비</t>
  </si>
  <si>
    <t xml:space="preserve">   1.</t>
  </si>
  <si>
    <t>플랜트용접공</t>
  </si>
  <si>
    <t>300A</t>
  </si>
  <si>
    <t>250A</t>
  </si>
  <si>
    <t>600A</t>
  </si>
  <si>
    <t>850A</t>
  </si>
  <si>
    <t>350A</t>
  </si>
  <si>
    <t>800A</t>
  </si>
  <si>
    <t>750A</t>
  </si>
  <si>
    <t>650A</t>
  </si>
  <si>
    <t>550A</t>
  </si>
  <si>
    <t>500A</t>
  </si>
  <si>
    <t>450A</t>
  </si>
  <si>
    <t>400A</t>
  </si>
  <si>
    <t>2.</t>
    <phoneticPr fontId="12" type="noConversion"/>
  </si>
  <si>
    <t>3.</t>
    <phoneticPr fontId="12" type="noConversion"/>
  </si>
  <si>
    <t>1.</t>
    <phoneticPr fontId="12" type="noConversion"/>
  </si>
  <si>
    <t>단 위</t>
    <phoneticPr fontId="12" type="noConversion"/>
  </si>
  <si>
    <t>수 량</t>
    <phoneticPr fontId="12" type="noConversion"/>
  </si>
  <si>
    <t>규 격</t>
    <phoneticPr fontId="12" type="noConversion"/>
  </si>
  <si>
    <t>재     료     비</t>
    <phoneticPr fontId="12" type="noConversion"/>
  </si>
  <si>
    <t>경           비</t>
    <phoneticPr fontId="12" type="noConversion"/>
  </si>
  <si>
    <t>가. 직접노무비</t>
    <phoneticPr fontId="12" type="noConversion"/>
  </si>
  <si>
    <t>나. 간접노무비</t>
    <phoneticPr fontId="12" type="noConversion"/>
  </si>
  <si>
    <t>분류코드</t>
  </si>
  <si>
    <t>순공사비계</t>
    <phoneticPr fontId="13" type="noConversion"/>
  </si>
  <si>
    <t>순공사비 계</t>
    <phoneticPr fontId="12" type="noConversion"/>
  </si>
  <si>
    <t>노무비</t>
    <phoneticPr fontId="12" type="noConversion"/>
  </si>
  <si>
    <t>100A</t>
    <phoneticPr fontId="13" type="noConversion"/>
  </si>
  <si>
    <t xml:space="preserve">천공 및 차단 </t>
    <phoneticPr fontId="13" type="noConversion"/>
  </si>
  <si>
    <t>125A</t>
    <phoneticPr fontId="13" type="noConversion"/>
  </si>
  <si>
    <t>150A</t>
    <phoneticPr fontId="13" type="noConversion"/>
  </si>
  <si>
    <t>200A</t>
    <phoneticPr fontId="13" type="noConversion"/>
  </si>
  <si>
    <t>공</t>
    <phoneticPr fontId="13" type="noConversion"/>
  </si>
  <si>
    <t xml:space="preserve">  1. 천공 및 차단</t>
    <phoneticPr fontId="12" type="noConversion"/>
  </si>
  <si>
    <t>80A</t>
    <phoneticPr fontId="13" type="noConversion"/>
  </si>
  <si>
    <t>공       종</t>
    <phoneticPr fontId="12" type="noConversion"/>
  </si>
  <si>
    <t>노     무     비</t>
    <phoneticPr fontId="12" type="noConversion"/>
  </si>
  <si>
    <t>단  가</t>
    <phoneticPr fontId="12" type="noConversion"/>
  </si>
  <si>
    <t>금    액</t>
    <phoneticPr fontId="12" type="noConversion"/>
  </si>
  <si>
    <t xml:space="preserve"> Ⅰ. 열배관공사</t>
    <phoneticPr fontId="12" type="noConversion"/>
  </si>
  <si>
    <t>재료비</t>
    <phoneticPr fontId="12" type="noConversion"/>
  </si>
  <si>
    <t>경비</t>
    <phoneticPr fontId="12" type="noConversion"/>
  </si>
  <si>
    <t>가. 기계경비</t>
    <phoneticPr fontId="12" type="noConversion"/>
  </si>
  <si>
    <t>실적정산</t>
    <phoneticPr fontId="12" type="noConversion"/>
  </si>
  <si>
    <t xml:space="preserve">    1) 산재보험료</t>
    <phoneticPr fontId="12" type="noConversion"/>
  </si>
  <si>
    <t xml:space="preserve"> [(직접노무비 + 간접노무비) x 요율]</t>
    <phoneticPr fontId="12" type="noConversion"/>
  </si>
  <si>
    <t xml:space="preserve">    2) 고용보험료</t>
    <phoneticPr fontId="12" type="noConversion"/>
  </si>
  <si>
    <t xml:space="preserve">    3) 연금보험료</t>
    <phoneticPr fontId="12" type="noConversion"/>
  </si>
  <si>
    <t xml:space="preserve"> (직접노무비 x 요율)</t>
    <phoneticPr fontId="12" type="noConversion"/>
  </si>
  <si>
    <t xml:space="preserve">    4) 건강보험료</t>
    <phoneticPr fontId="12" type="noConversion"/>
  </si>
  <si>
    <t xml:space="preserve">    5) 노인장기요양보험료</t>
    <phoneticPr fontId="12" type="noConversion"/>
  </si>
  <si>
    <t xml:space="preserve"> (건강보험료 x 요율)</t>
    <phoneticPr fontId="12" type="noConversion"/>
  </si>
  <si>
    <t xml:space="preserve"> [(재료비 + 직접노무비 + 간접노무비) x 요율]</t>
    <phoneticPr fontId="12" type="noConversion"/>
  </si>
  <si>
    <t xml:space="preserve"> [(재료비 + 직접노무비 + 산출경비) x 요율]</t>
    <phoneticPr fontId="12" type="noConversion"/>
  </si>
  <si>
    <t xml:space="preserve">    1) 하도급대금</t>
    <phoneticPr fontId="12" type="noConversion"/>
  </si>
  <si>
    <t xml:space="preserve">    2) 건설기계대여대금</t>
    <phoneticPr fontId="12" type="noConversion"/>
  </si>
  <si>
    <t>순 공 사 원 가</t>
    <phoneticPr fontId="12" type="noConversion"/>
  </si>
  <si>
    <t>4.</t>
    <phoneticPr fontId="12" type="noConversion"/>
  </si>
  <si>
    <t>일반관리비</t>
    <phoneticPr fontId="12" type="noConversion"/>
  </si>
  <si>
    <t xml:space="preserve"> [(재료비 + 노무비 + 경비) x 요율]</t>
    <phoneticPr fontId="12" type="noConversion"/>
  </si>
  <si>
    <t>5.</t>
    <phoneticPr fontId="12" type="noConversion"/>
  </si>
  <si>
    <t>이윤</t>
    <phoneticPr fontId="12" type="noConversion"/>
  </si>
  <si>
    <t xml:space="preserve"> [(노무비 + 경비 + 일반관리비) x 요율]</t>
    <phoneticPr fontId="12" type="noConversion"/>
  </si>
  <si>
    <t>산출금액 :</t>
    <phoneticPr fontId="12" type="noConversion"/>
  </si>
  <si>
    <t>공 사 원 가</t>
    <phoneticPr fontId="12" type="noConversion"/>
  </si>
  <si>
    <t>총 원 가</t>
    <phoneticPr fontId="12" type="noConversion"/>
  </si>
  <si>
    <t>나. 보험료</t>
    <phoneticPr fontId="12" type="noConversion"/>
  </si>
  <si>
    <t>다. 건설근로자퇴직공제부금비</t>
    <phoneticPr fontId="12" type="noConversion"/>
  </si>
  <si>
    <t>라. 산업안전보건관리비</t>
    <phoneticPr fontId="12" type="noConversion"/>
  </si>
  <si>
    <t>마. 기타경비</t>
    <phoneticPr fontId="12" type="noConversion"/>
  </si>
  <si>
    <t>바. 환경보전비</t>
    <phoneticPr fontId="12" type="noConversion"/>
  </si>
  <si>
    <t>사. 지급보증서발급수수료</t>
    <phoneticPr fontId="12" type="noConversion"/>
  </si>
  <si>
    <t>천공 및 차단</t>
    <phoneticPr fontId="13" type="noConversion"/>
  </si>
  <si>
    <r>
      <t>2)</t>
    </r>
    <r>
      <rPr>
        <b/>
        <sz val="9"/>
        <rFont val="돋움체"/>
        <family val="3"/>
        <charset val="129"/>
      </rPr>
      <t/>
    </r>
  </si>
  <si>
    <r>
      <t>3)</t>
    </r>
    <r>
      <rPr>
        <b/>
        <sz val="9"/>
        <rFont val="돋움체"/>
        <family val="3"/>
        <charset val="129"/>
      </rPr>
      <t/>
    </r>
  </si>
  <si>
    <r>
      <t>4)</t>
    </r>
    <r>
      <rPr>
        <b/>
        <sz val="9"/>
        <rFont val="돋움체"/>
        <family val="3"/>
        <charset val="129"/>
      </rPr>
      <t/>
    </r>
  </si>
  <si>
    <r>
      <t>5)</t>
    </r>
    <r>
      <rPr>
        <b/>
        <sz val="9"/>
        <rFont val="돋움체"/>
        <family val="3"/>
        <charset val="129"/>
      </rPr>
      <t/>
    </r>
  </si>
  <si>
    <r>
      <t>6)</t>
    </r>
    <r>
      <rPr>
        <b/>
        <sz val="9"/>
        <rFont val="돋움체"/>
        <family val="3"/>
        <charset val="129"/>
      </rPr>
      <t/>
    </r>
  </si>
  <si>
    <r>
      <t>7)</t>
    </r>
    <r>
      <rPr>
        <b/>
        <sz val="9"/>
        <rFont val="돋움체"/>
        <family val="3"/>
        <charset val="129"/>
      </rPr>
      <t/>
    </r>
  </si>
  <si>
    <r>
      <t>8)</t>
    </r>
    <r>
      <rPr>
        <b/>
        <sz val="9"/>
        <rFont val="돋움체"/>
        <family val="3"/>
        <charset val="129"/>
      </rPr>
      <t/>
    </r>
  </si>
  <si>
    <r>
      <t>9)</t>
    </r>
    <r>
      <rPr>
        <b/>
        <sz val="9"/>
        <rFont val="돋움체"/>
        <family val="3"/>
        <charset val="129"/>
      </rPr>
      <t/>
    </r>
  </si>
  <si>
    <r>
      <t>10)</t>
    </r>
    <r>
      <rPr>
        <b/>
        <sz val="9"/>
        <rFont val="돋움체"/>
        <family val="3"/>
        <charset val="129"/>
      </rPr>
      <t/>
    </r>
  </si>
  <si>
    <r>
      <t>11)</t>
    </r>
    <r>
      <rPr>
        <b/>
        <sz val="9"/>
        <rFont val="돋움체"/>
        <family val="3"/>
        <charset val="129"/>
      </rPr>
      <t/>
    </r>
  </si>
  <si>
    <r>
      <t>12)</t>
    </r>
    <r>
      <rPr>
        <b/>
        <sz val="9"/>
        <rFont val="돋움체"/>
        <family val="3"/>
        <charset val="129"/>
      </rPr>
      <t/>
    </r>
  </si>
  <si>
    <r>
      <t>13)</t>
    </r>
    <r>
      <rPr>
        <b/>
        <sz val="9"/>
        <rFont val="돋움체"/>
        <family val="3"/>
        <charset val="129"/>
      </rPr>
      <t/>
    </r>
  </si>
  <si>
    <r>
      <t>14)</t>
    </r>
    <r>
      <rPr>
        <b/>
        <sz val="9"/>
        <rFont val="돋움체"/>
        <family val="3"/>
        <charset val="129"/>
      </rPr>
      <t/>
    </r>
  </si>
  <si>
    <r>
      <t>15)</t>
    </r>
    <r>
      <rPr>
        <b/>
        <sz val="9"/>
        <rFont val="돋움체"/>
        <family val="3"/>
        <charset val="129"/>
      </rPr>
      <t/>
    </r>
  </si>
  <si>
    <r>
      <t>16)</t>
    </r>
    <r>
      <rPr>
        <b/>
        <sz val="9"/>
        <rFont val="돋움체"/>
        <family val="3"/>
        <charset val="129"/>
      </rPr>
      <t/>
    </r>
  </si>
  <si>
    <r>
      <t>17)</t>
    </r>
    <r>
      <rPr>
        <b/>
        <sz val="9"/>
        <rFont val="돋움체"/>
        <family val="3"/>
        <charset val="129"/>
      </rPr>
      <t/>
    </r>
  </si>
  <si>
    <r>
      <t>18)</t>
    </r>
    <r>
      <rPr>
        <b/>
        <sz val="9"/>
        <rFont val="돋움체"/>
        <family val="3"/>
        <charset val="129"/>
      </rPr>
      <t/>
    </r>
  </si>
  <si>
    <r>
      <t>19)</t>
    </r>
    <r>
      <rPr>
        <b/>
        <sz val="9"/>
        <rFont val="돋움체"/>
        <family val="3"/>
        <charset val="129"/>
      </rPr>
      <t/>
    </r>
  </si>
  <si>
    <r>
      <t>20)</t>
    </r>
    <r>
      <rPr>
        <b/>
        <sz val="9"/>
        <rFont val="돋움체"/>
        <family val="3"/>
        <charset val="129"/>
      </rPr>
      <t/>
    </r>
  </si>
  <si>
    <t>65A</t>
    <phoneticPr fontId="13" type="noConversion"/>
  </si>
  <si>
    <t>T.O.R(50A)</t>
    <phoneticPr fontId="13" type="noConversion"/>
  </si>
  <si>
    <t>1)</t>
    <phoneticPr fontId="13" type="noConversion"/>
  </si>
  <si>
    <t>소계</t>
    <phoneticPr fontId="13" type="noConversion"/>
  </si>
  <si>
    <r>
      <t xml:space="preserve">  </t>
    </r>
    <r>
      <rPr>
        <b/>
        <sz val="9"/>
        <rFont val="돋움체"/>
        <family val="3"/>
        <charset val="129"/>
      </rPr>
      <t>2</t>
    </r>
    <r>
      <rPr>
        <b/>
        <sz val="9"/>
        <rFont val="돋움체"/>
        <family val="3"/>
        <charset val="129"/>
      </rPr>
      <t>.</t>
    </r>
    <phoneticPr fontId="13" type="noConversion"/>
  </si>
  <si>
    <t>천공 및 차단(야간)</t>
    <phoneticPr fontId="13" type="noConversion"/>
  </si>
  <si>
    <t>700A</t>
    <phoneticPr fontId="13" type="noConversion"/>
  </si>
  <si>
    <t>긴급상황대응 및 긴급복구훈련</t>
    <phoneticPr fontId="13" type="noConversion"/>
  </si>
  <si>
    <t>긴급상황대응, 복구훈련</t>
    <phoneticPr fontId="13" type="noConversion"/>
  </si>
  <si>
    <t>크레인(25ton)</t>
    <phoneticPr fontId="13" type="noConversion"/>
  </si>
  <si>
    <t>발전기(50kw)</t>
    <phoneticPr fontId="13" type="noConversion"/>
  </si>
  <si>
    <t>용접기(교류300AMP)</t>
    <phoneticPr fontId="13" type="noConversion"/>
  </si>
  <si>
    <t>HR</t>
    <phoneticPr fontId="13" type="noConversion"/>
  </si>
  <si>
    <t>HR</t>
    <phoneticPr fontId="13" type="noConversion"/>
  </si>
  <si>
    <t>HR</t>
    <phoneticPr fontId="13" type="noConversion"/>
  </si>
  <si>
    <r>
      <t>21)</t>
    </r>
    <r>
      <rPr>
        <b/>
        <sz val="9"/>
        <rFont val="돋움체"/>
        <family val="3"/>
        <charset val="129"/>
      </rPr>
      <t/>
    </r>
    <phoneticPr fontId="13" type="noConversion"/>
  </si>
  <si>
    <t>900A</t>
    <phoneticPr fontId="13" type="noConversion"/>
  </si>
  <si>
    <t>공</t>
  </si>
  <si>
    <t xml:space="preserve">  3.</t>
    <phoneticPr fontId="13" type="noConversion"/>
  </si>
  <si>
    <t>천공 및 차단(25bar)</t>
  </si>
  <si>
    <t>천공 및 차단(25bar)</t>
    <phoneticPr fontId="13" type="noConversion"/>
  </si>
  <si>
    <t>600A</t>
    <phoneticPr fontId="13" type="noConversion"/>
  </si>
  <si>
    <t>800A</t>
    <phoneticPr fontId="13" type="noConversion"/>
  </si>
  <si>
    <t>850A</t>
    <phoneticPr fontId="13" type="noConversion"/>
  </si>
  <si>
    <t xml:space="preserve">  4.</t>
    <phoneticPr fontId="13" type="noConversion"/>
  </si>
  <si>
    <t>300A</t>
    <phoneticPr fontId="13" type="noConversion"/>
  </si>
  <si>
    <t xml:space="preserve">  5.</t>
    <phoneticPr fontId="13" type="noConversion"/>
  </si>
  <si>
    <t>천공 및 차단(25bar, 야간)</t>
    <phoneticPr fontId="13" type="noConversion"/>
  </si>
  <si>
    <t>250A</t>
    <phoneticPr fontId="13" type="noConversion"/>
  </si>
  <si>
    <t>350A</t>
    <phoneticPr fontId="13" type="noConversion"/>
  </si>
  <si>
    <t>550A</t>
    <phoneticPr fontId="13" type="noConversion"/>
  </si>
  <si>
    <t>공사명 : 2025년 열수송관 천공 및 차단공사(1권역)</t>
    <phoneticPr fontId="13" type="noConversion"/>
  </si>
  <si>
    <t xml:space="preserve">  (재료비 + 직접노무비) x 요율</t>
    <phoneticPr fontId="12" type="noConversion"/>
  </si>
  <si>
    <t>부 가 세</t>
    <phoneticPr fontId="12" type="noConversion"/>
  </si>
  <si>
    <t>구       분</t>
    <phoneticPr fontId="12" type="noConversion"/>
  </si>
  <si>
    <t>총 원 가</t>
    <phoneticPr fontId="14" type="noConversion"/>
  </si>
  <si>
    <t>부 가 세</t>
    <phoneticPr fontId="12" type="noConversion"/>
  </si>
  <si>
    <t>합    계</t>
    <phoneticPr fontId="12" type="noConversion"/>
  </si>
  <si>
    <t>부 가 세</t>
    <phoneticPr fontId="12" type="noConversion"/>
  </si>
  <si>
    <t>총 공 사 금 액</t>
    <phoneticPr fontId="12" type="noConversion"/>
  </si>
  <si>
    <t>계약명</t>
    <phoneticPr fontId="78" type="noConversion"/>
  </si>
  <si>
    <t>계약번호</t>
    <phoneticPr fontId="78" type="noConversion"/>
  </si>
  <si>
    <t>계약상대자</t>
    <phoneticPr fontId="78" type="noConversion"/>
  </si>
  <si>
    <t>㈜대호스토퍼</t>
    <phoneticPr fontId="78" type="noConversion"/>
  </si>
  <si>
    <t>계약기간</t>
    <phoneticPr fontId="78" type="noConversion"/>
  </si>
  <si>
    <t>기성기간</t>
    <phoneticPr fontId="78" type="noConversion"/>
  </si>
  <si>
    <t>계정과목</t>
    <phoneticPr fontId="78" type="noConversion"/>
  </si>
  <si>
    <t>건가</t>
    <phoneticPr fontId="78" type="noConversion"/>
  </si>
  <si>
    <t>제조</t>
    <phoneticPr fontId="14" type="noConversion"/>
  </si>
  <si>
    <t>계약금액</t>
    <phoneticPr fontId="78" type="noConversion"/>
  </si>
  <si>
    <t>(부가가치세 포함)</t>
    <phoneticPr fontId="78" type="noConversion"/>
  </si>
  <si>
    <t>기성금액</t>
    <phoneticPr fontId="78" type="noConversion"/>
  </si>
  <si>
    <t>금회</t>
    <phoneticPr fontId="78" type="noConversion"/>
  </si>
  <si>
    <t xml:space="preserve"> (10 %, 부가가치세 포함)</t>
    <phoneticPr fontId="78" type="noConversion"/>
  </si>
  <si>
    <t>누계</t>
    <phoneticPr fontId="78" type="noConversion"/>
  </si>
  <si>
    <t>공  사  명
(예산과목)</t>
    <phoneticPr fontId="14" type="noConversion"/>
  </si>
  <si>
    <t>전   회</t>
    <phoneticPr fontId="14" type="noConversion"/>
  </si>
  <si>
    <t>금   회</t>
    <phoneticPr fontId="14" type="noConversion"/>
  </si>
  <si>
    <t>누   계</t>
    <phoneticPr fontId="14" type="noConversion"/>
  </si>
  <si>
    <t>합   계</t>
    <phoneticPr fontId="14" type="noConversion"/>
  </si>
  <si>
    <t>공       종</t>
    <phoneticPr fontId="12" type="noConversion"/>
  </si>
  <si>
    <t>규 격</t>
    <phoneticPr fontId="12" type="noConversion"/>
  </si>
  <si>
    <t>수 량</t>
    <phoneticPr fontId="12" type="noConversion"/>
  </si>
  <si>
    <t>단 위</t>
    <phoneticPr fontId="12" type="noConversion"/>
  </si>
  <si>
    <t>산출내역</t>
    <phoneticPr fontId="14" type="noConversion"/>
  </si>
  <si>
    <t>계약금액</t>
    <phoneticPr fontId="14" type="noConversion"/>
  </si>
  <si>
    <t>전회까지 
 기 성 액</t>
    <phoneticPr fontId="14" type="noConversion"/>
  </si>
  <si>
    <t>금  회
 기성액</t>
    <phoneticPr fontId="14" type="noConversion"/>
  </si>
  <si>
    <t>누계기성
 금    액</t>
    <phoneticPr fontId="14" type="noConversion"/>
  </si>
  <si>
    <t xml:space="preserve">  1. 천공 및 차단</t>
    <phoneticPr fontId="12" type="noConversion"/>
  </si>
  <si>
    <t>순공사비 계</t>
    <phoneticPr fontId="12" type="noConversion"/>
  </si>
  <si>
    <t>[공사비총괄표]</t>
    <phoneticPr fontId="12" type="noConversion"/>
  </si>
  <si>
    <t>1.</t>
    <phoneticPr fontId="12" type="noConversion"/>
  </si>
  <si>
    <t>재료비</t>
    <phoneticPr fontId="12" type="noConversion"/>
  </si>
  <si>
    <t>2.</t>
    <phoneticPr fontId="12" type="noConversion"/>
  </si>
  <si>
    <t>노무비</t>
    <phoneticPr fontId="12" type="noConversion"/>
  </si>
  <si>
    <t>가. 직접노무비</t>
    <phoneticPr fontId="12" type="noConversion"/>
  </si>
  <si>
    <t>나. 간접노무비</t>
    <phoneticPr fontId="12" type="noConversion"/>
  </si>
  <si>
    <t xml:space="preserve"> (직접노무비 x 요율)</t>
    <phoneticPr fontId="12" type="noConversion"/>
  </si>
  <si>
    <t>경비</t>
    <phoneticPr fontId="12" type="noConversion"/>
  </si>
  <si>
    <t>가. 기계경비</t>
    <phoneticPr fontId="12" type="noConversion"/>
  </si>
  <si>
    <t>나. 보험료</t>
    <phoneticPr fontId="12" type="noConversion"/>
  </si>
  <si>
    <t xml:space="preserve">    1) 산재보험료</t>
    <phoneticPr fontId="12" type="noConversion"/>
  </si>
  <si>
    <t xml:space="preserve"> [(직접노무비 + 간접노무비) x 요율]</t>
    <phoneticPr fontId="12" type="noConversion"/>
  </si>
  <si>
    <t xml:space="preserve">    2) 고용보험료</t>
    <phoneticPr fontId="12" type="noConversion"/>
  </si>
  <si>
    <t xml:space="preserve">    3) 연금보험료</t>
    <phoneticPr fontId="12" type="noConversion"/>
  </si>
  <si>
    <t>실적정산</t>
    <phoneticPr fontId="12" type="noConversion"/>
  </si>
  <si>
    <t xml:space="preserve">    4) 건강보험료</t>
    <phoneticPr fontId="12" type="noConversion"/>
  </si>
  <si>
    <t xml:space="preserve">    5) 노인장기요양보험료</t>
    <phoneticPr fontId="12" type="noConversion"/>
  </si>
  <si>
    <t xml:space="preserve"> (건강보험료 x 요율)</t>
    <phoneticPr fontId="12" type="noConversion"/>
  </si>
  <si>
    <t>다. 건설근로자퇴직공제부금비</t>
    <phoneticPr fontId="12" type="noConversion"/>
  </si>
  <si>
    <t xml:space="preserve"> (직접노무비) x 요율</t>
    <phoneticPr fontId="12" type="noConversion"/>
  </si>
  <si>
    <t>라. 산업안전보건관리비</t>
    <phoneticPr fontId="12" type="noConversion"/>
  </si>
  <si>
    <t xml:space="preserve">  (재료비 + 직접노무비) x 요율 + 5,499,000</t>
    <phoneticPr fontId="12" type="noConversion"/>
  </si>
  <si>
    <t>마. 기타경비</t>
    <phoneticPr fontId="12" type="noConversion"/>
  </si>
  <si>
    <t xml:space="preserve"> [(재료비 + 직접노무비 + 간접노무비) x 요율]</t>
    <phoneticPr fontId="12" type="noConversion"/>
  </si>
  <si>
    <t>바. 환경보전비</t>
    <phoneticPr fontId="12" type="noConversion"/>
  </si>
  <si>
    <t xml:space="preserve"> [(재료비 + 직접노무비 + 산출경비) x 요율]</t>
    <phoneticPr fontId="12" type="noConversion"/>
  </si>
  <si>
    <t>사. 지급보증서발급수수료</t>
    <phoneticPr fontId="12" type="noConversion"/>
  </si>
  <si>
    <t xml:space="preserve">    1) 하도급대금</t>
    <phoneticPr fontId="12" type="noConversion"/>
  </si>
  <si>
    <t>실적정산</t>
    <phoneticPr fontId="12" type="noConversion"/>
  </si>
  <si>
    <t xml:space="preserve">    2) 건설기계대여대금</t>
    <phoneticPr fontId="12" type="noConversion"/>
  </si>
  <si>
    <t>순 공 사 원 가</t>
    <phoneticPr fontId="12" type="noConversion"/>
  </si>
  <si>
    <t>4.</t>
    <phoneticPr fontId="12" type="noConversion"/>
  </si>
  <si>
    <t>일반관리비</t>
    <phoneticPr fontId="12" type="noConversion"/>
  </si>
  <si>
    <t xml:space="preserve"> [(재료비 + 노무비 + 경비) x 요율]</t>
    <phoneticPr fontId="12" type="noConversion"/>
  </si>
  <si>
    <t>5.</t>
    <phoneticPr fontId="12" type="noConversion"/>
  </si>
  <si>
    <t>이윤</t>
    <phoneticPr fontId="12" type="noConversion"/>
  </si>
  <si>
    <t xml:space="preserve"> [(노무비 + 경비 + 일반관리비) x 요율]</t>
    <phoneticPr fontId="12" type="noConversion"/>
  </si>
  <si>
    <t>공 사 원 가</t>
    <phoneticPr fontId="12" type="noConversion"/>
  </si>
  <si>
    <t>총 원 가</t>
    <phoneticPr fontId="12" type="noConversion"/>
  </si>
  <si>
    <t>부 가 세</t>
    <phoneticPr fontId="12" type="noConversion"/>
  </si>
  <si>
    <t>총 공 사 금 액</t>
    <phoneticPr fontId="12" type="noConversion"/>
  </si>
  <si>
    <t>단   가</t>
    <phoneticPr fontId="13" type="noConversion"/>
  </si>
  <si>
    <t>계약 수량</t>
    <phoneticPr fontId="13" type="noConversion"/>
  </si>
  <si>
    <t>전 회</t>
    <phoneticPr fontId="13" type="noConversion"/>
  </si>
  <si>
    <t>금 회</t>
    <phoneticPr fontId="13" type="noConversion"/>
  </si>
  <si>
    <t>누 계</t>
    <phoneticPr fontId="13" type="noConversion"/>
  </si>
  <si>
    <t>수   량</t>
    <phoneticPr fontId="13" type="noConversion"/>
  </si>
  <si>
    <t>수   량</t>
    <phoneticPr fontId="13" type="noConversion"/>
  </si>
  <si>
    <t>천공 및 차단</t>
    <phoneticPr fontId="13" type="noConversion"/>
  </si>
  <si>
    <t xml:space="preserve">    1)</t>
  </si>
  <si>
    <t xml:space="preserve">천공 및 차단 </t>
    <phoneticPr fontId="13" type="noConversion"/>
  </si>
  <si>
    <t>T.O.R(50A)</t>
    <phoneticPr fontId="13" type="noConversion"/>
  </si>
  <si>
    <t>공</t>
    <phoneticPr fontId="13" type="noConversion"/>
  </si>
  <si>
    <t xml:space="preserve">천공 및 차단 </t>
    <phoneticPr fontId="13" type="noConversion"/>
  </si>
  <si>
    <t>65A</t>
    <phoneticPr fontId="13" type="noConversion"/>
  </si>
  <si>
    <t xml:space="preserve">    3)</t>
  </si>
  <si>
    <t>80A</t>
    <phoneticPr fontId="13" type="noConversion"/>
  </si>
  <si>
    <t>공</t>
    <phoneticPr fontId="13" type="noConversion"/>
  </si>
  <si>
    <t xml:space="preserve">천공 및 차단 </t>
    <phoneticPr fontId="13" type="noConversion"/>
  </si>
  <si>
    <t>100A</t>
    <phoneticPr fontId="13" type="noConversion"/>
  </si>
  <si>
    <t xml:space="preserve">    5)</t>
  </si>
  <si>
    <t>125A</t>
    <phoneticPr fontId="13" type="noConversion"/>
  </si>
  <si>
    <t>150A</t>
    <phoneticPr fontId="13" type="noConversion"/>
  </si>
  <si>
    <t xml:space="preserve">    7)</t>
  </si>
  <si>
    <t>200A</t>
    <phoneticPr fontId="13" type="noConversion"/>
  </si>
  <si>
    <t xml:space="preserve">    9)</t>
  </si>
  <si>
    <t>공</t>
    <phoneticPr fontId="13" type="noConversion"/>
  </si>
  <si>
    <t xml:space="preserve">    11)</t>
  </si>
  <si>
    <t>공</t>
    <phoneticPr fontId="13" type="noConversion"/>
  </si>
  <si>
    <t xml:space="preserve">    13)</t>
  </si>
  <si>
    <t xml:space="preserve">    15)</t>
  </si>
  <si>
    <t xml:space="preserve">천공 및 차단 </t>
    <phoneticPr fontId="13" type="noConversion"/>
  </si>
  <si>
    <t xml:space="preserve">    17)</t>
  </si>
  <si>
    <t>700A</t>
  </si>
  <si>
    <t xml:space="preserve">    19)</t>
  </si>
  <si>
    <t>900A</t>
    <phoneticPr fontId="14" type="noConversion"/>
  </si>
  <si>
    <t xml:space="preserve">   2.</t>
    <phoneticPr fontId="14" type="noConversion"/>
  </si>
  <si>
    <t>천공 및 차단(야간)</t>
    <phoneticPr fontId="13" type="noConversion"/>
  </si>
  <si>
    <t>22)</t>
    <phoneticPr fontId="13" type="noConversion"/>
  </si>
  <si>
    <t>150A</t>
  </si>
  <si>
    <t>24)</t>
  </si>
  <si>
    <t>25)</t>
  </si>
  <si>
    <t xml:space="preserve">  3.</t>
    <phoneticPr fontId="13" type="noConversion"/>
  </si>
  <si>
    <t>천공 및 차단(25bar)</t>
    <phoneticPr fontId="13" type="noConversion"/>
  </si>
  <si>
    <t>300A</t>
    <phoneticPr fontId="14" type="noConversion"/>
  </si>
  <si>
    <t>600A</t>
    <phoneticPr fontId="14" type="noConversion"/>
  </si>
  <si>
    <t>31)</t>
  </si>
  <si>
    <t>천공 및 차단(25bar)</t>
    <phoneticPr fontId="13" type="noConversion"/>
  </si>
  <si>
    <t>700A</t>
    <phoneticPr fontId="14" type="noConversion"/>
  </si>
  <si>
    <t>공</t>
    <phoneticPr fontId="13" type="noConversion"/>
  </si>
  <si>
    <t>32)</t>
  </si>
  <si>
    <t>천공 및 차단(25bar)</t>
    <phoneticPr fontId="13" type="noConversion"/>
  </si>
  <si>
    <t>800A</t>
    <phoneticPr fontId="14" type="noConversion"/>
  </si>
  <si>
    <t>33)</t>
  </si>
  <si>
    <t>850A</t>
    <phoneticPr fontId="14" type="noConversion"/>
  </si>
  <si>
    <t>긴급상황대응 및 긴급복구훈련</t>
    <phoneticPr fontId="13" type="noConversion"/>
  </si>
  <si>
    <t>긴급상황대응, 복구훈련</t>
    <phoneticPr fontId="13" type="noConversion"/>
  </si>
  <si>
    <t>HR</t>
    <phoneticPr fontId="13" type="noConversion"/>
  </si>
  <si>
    <t>발전기(50kw)</t>
    <phoneticPr fontId="13" type="noConversion"/>
  </si>
  <si>
    <t>용접기(교류300AMP)</t>
    <phoneticPr fontId="13" type="noConversion"/>
  </si>
  <si>
    <t>37)</t>
  </si>
  <si>
    <t>크레인(25ton)</t>
    <phoneticPr fontId="13" type="noConversion"/>
  </si>
  <si>
    <t>HR</t>
    <phoneticPr fontId="13" type="noConversion"/>
  </si>
  <si>
    <t>공사명 : 2025년 열수송관 천공 및 차단공사(1권역)</t>
    <phoneticPr fontId="13" type="noConversion"/>
  </si>
  <si>
    <t>공사명 : 2025년 열수송관 천공 및 차단공사(1권역)</t>
    <phoneticPr fontId="14" type="noConversion"/>
  </si>
  <si>
    <t>공       종</t>
    <phoneticPr fontId="12" type="noConversion"/>
  </si>
  <si>
    <t>규 격</t>
    <phoneticPr fontId="12" type="noConversion"/>
  </si>
  <si>
    <t>수 량</t>
    <phoneticPr fontId="12" type="noConversion"/>
  </si>
  <si>
    <t>단 위</t>
    <phoneticPr fontId="12" type="noConversion"/>
  </si>
  <si>
    <t>산출내역</t>
    <phoneticPr fontId="14" type="noConversion"/>
  </si>
  <si>
    <t>전회까지 
 기 성 액</t>
    <phoneticPr fontId="14" type="noConversion"/>
  </si>
  <si>
    <t>금  회
 기성액</t>
    <phoneticPr fontId="14" type="noConversion"/>
  </si>
  <si>
    <t>누계기성
 금    액</t>
    <phoneticPr fontId="14" type="noConversion"/>
  </si>
  <si>
    <t xml:space="preserve">  1. 천공 및 차단</t>
    <phoneticPr fontId="12" type="noConversion"/>
  </si>
  <si>
    <t>순공사비 계</t>
    <phoneticPr fontId="12" type="noConversion"/>
  </si>
  <si>
    <t>[공사비총괄표]</t>
    <phoneticPr fontId="12" type="noConversion"/>
  </si>
  <si>
    <t>재료비</t>
    <phoneticPr fontId="12" type="noConversion"/>
  </si>
  <si>
    <t>노무비</t>
    <phoneticPr fontId="12" type="noConversion"/>
  </si>
  <si>
    <t>나. 간접노무비</t>
    <phoneticPr fontId="12" type="noConversion"/>
  </si>
  <si>
    <t>가. 기계경비</t>
    <phoneticPr fontId="12" type="noConversion"/>
  </si>
  <si>
    <t>나. 보험료</t>
    <phoneticPr fontId="12" type="noConversion"/>
  </si>
  <si>
    <t xml:space="preserve"> [(직접노무비 + 간접노무비) x 요율]</t>
    <phoneticPr fontId="12" type="noConversion"/>
  </si>
  <si>
    <t xml:space="preserve">    2) 고용보험료</t>
    <phoneticPr fontId="12" type="noConversion"/>
  </si>
  <si>
    <t xml:space="preserve"> [(직접노무비 + 간접노무비) x 요율]</t>
    <phoneticPr fontId="12" type="noConversion"/>
  </si>
  <si>
    <t>실적정산</t>
    <phoneticPr fontId="12" type="noConversion"/>
  </si>
  <si>
    <t xml:space="preserve"> (직접노무비 x 요율)</t>
    <phoneticPr fontId="12" type="noConversion"/>
  </si>
  <si>
    <t xml:space="preserve"> (직접노무비) x 요율</t>
    <phoneticPr fontId="12" type="noConversion"/>
  </si>
  <si>
    <t>라. 산업안전보건관리비</t>
    <phoneticPr fontId="12" type="noConversion"/>
  </si>
  <si>
    <t xml:space="preserve">  (재료비 + 직접노무비) x 요율 + 5,499,000</t>
    <phoneticPr fontId="12" type="noConversion"/>
  </si>
  <si>
    <t>마. 기타경비</t>
    <phoneticPr fontId="12" type="noConversion"/>
  </si>
  <si>
    <t>바. 환경보전비</t>
    <phoneticPr fontId="12" type="noConversion"/>
  </si>
  <si>
    <t>사. 지급보증서발급수수료</t>
    <phoneticPr fontId="12" type="noConversion"/>
  </si>
  <si>
    <t xml:space="preserve">    1) 하도급대금</t>
    <phoneticPr fontId="12" type="noConversion"/>
  </si>
  <si>
    <t xml:space="preserve"> [(재료비 + 직접노무비 + 산출경비) x 요율]</t>
    <phoneticPr fontId="12" type="noConversion"/>
  </si>
  <si>
    <t>순 공 사 원 가</t>
    <phoneticPr fontId="12" type="noConversion"/>
  </si>
  <si>
    <t>4.</t>
    <phoneticPr fontId="12" type="noConversion"/>
  </si>
  <si>
    <t>일반관리비</t>
    <phoneticPr fontId="12" type="noConversion"/>
  </si>
  <si>
    <t xml:space="preserve"> [(재료비 + 노무비 + 경비) x 요율]</t>
    <phoneticPr fontId="12" type="noConversion"/>
  </si>
  <si>
    <t>5.</t>
    <phoneticPr fontId="12" type="noConversion"/>
  </si>
  <si>
    <t>이윤</t>
    <phoneticPr fontId="12" type="noConversion"/>
  </si>
  <si>
    <t xml:space="preserve"> [(노무비 + 경비 + 일반관리비) x 요율]</t>
    <phoneticPr fontId="12" type="noConversion"/>
  </si>
  <si>
    <t>공 사 원 가</t>
    <phoneticPr fontId="12" type="noConversion"/>
  </si>
  <si>
    <t>총 원 가</t>
    <phoneticPr fontId="12" type="noConversion"/>
  </si>
  <si>
    <t>부 가 세</t>
    <phoneticPr fontId="12" type="noConversion"/>
  </si>
  <si>
    <t>총 공 사 금 액</t>
    <phoneticPr fontId="12" type="noConversion"/>
  </si>
  <si>
    <t>구분</t>
    <phoneticPr fontId="93" type="noConversion"/>
  </si>
  <si>
    <t>공사종류</t>
    <phoneticPr fontId="93" type="noConversion"/>
  </si>
  <si>
    <t>연도</t>
    <phoneticPr fontId="93" type="noConversion"/>
  </si>
  <si>
    <t>공사기간</t>
    <phoneticPr fontId="93" type="noConversion"/>
  </si>
  <si>
    <t>관경</t>
    <phoneticPr fontId="93" type="noConversion"/>
  </si>
  <si>
    <t>수량</t>
    <phoneticPr fontId="93" type="noConversion"/>
  </si>
  <si>
    <t>단위</t>
    <phoneticPr fontId="93" type="noConversion"/>
  </si>
  <si>
    <t>위치</t>
    <phoneticPr fontId="93" type="noConversion"/>
  </si>
  <si>
    <t>비고</t>
    <phoneticPr fontId="93" type="noConversion"/>
  </si>
  <si>
    <t>천공및차단</t>
    <phoneticPr fontId="14" type="noConversion"/>
  </si>
  <si>
    <t>공</t>
    <phoneticPr fontId="14" type="noConversion"/>
  </si>
  <si>
    <t>공사명 : 2025년 열수송관 천공 및 차단공사(1권역)</t>
    <phoneticPr fontId="14" type="noConversion"/>
  </si>
  <si>
    <t>유지보수</t>
    <phoneticPr fontId="14" type="noConversion"/>
  </si>
  <si>
    <t>개선</t>
    <phoneticPr fontId="14" type="noConversion"/>
  </si>
  <si>
    <t>65A</t>
  </si>
  <si>
    <t>T.O.R(50A)</t>
  </si>
  <si>
    <t>200A</t>
  </si>
  <si>
    <t xml:space="preserve">  4.</t>
    <phoneticPr fontId="13" type="noConversion"/>
  </si>
  <si>
    <t>천공 및 차단(25bar, 야간)</t>
    <phoneticPr fontId="13" type="noConversion"/>
  </si>
  <si>
    <t>소계</t>
    <phoneticPr fontId="14" type="noConversion"/>
  </si>
  <si>
    <t>2025년 열수송관 천공 및 차단공사(1권역)</t>
    <phoneticPr fontId="78" type="noConversion"/>
  </si>
  <si>
    <t>제100354-2025-C-024호</t>
    <phoneticPr fontId="78" type="noConversion"/>
  </si>
  <si>
    <t>2025. 12. 15 ~ 2027. 03. 10</t>
    <phoneticPr fontId="78" type="noConversion"/>
  </si>
  <si>
    <t xml:space="preserve">           [용인 지사]</t>
  </si>
  <si>
    <t>제 1회 기성내역서(용인)</t>
  </si>
  <si>
    <t>용인분</t>
  </si>
  <si>
    <t>수선유지비</t>
    <phoneticPr fontId="14" type="noConversion"/>
  </si>
  <si>
    <t>용인시 기흥구 보정동 1019-618 (GTX-A 용인정거장 앞)</t>
    <phoneticPr fontId="14" type="noConversion"/>
  </si>
  <si>
    <t>야간</t>
    <phoneticPr fontId="14" type="noConversion"/>
  </si>
  <si>
    <t xml:space="preserve"> </t>
    <phoneticPr fontId="14" type="noConversion"/>
  </si>
  <si>
    <t>2025.12.26~2025.12.29</t>
    <phoneticPr fontId="14" type="noConversion"/>
  </si>
  <si>
    <t>선우아파트</t>
  </si>
  <si>
    <t>23)</t>
  </si>
  <si>
    <t>26)</t>
  </si>
  <si>
    <t>27)</t>
  </si>
  <si>
    <t>28)</t>
  </si>
  <si>
    <t>29)</t>
  </si>
  <si>
    <t>30)</t>
  </si>
  <si>
    <t>34)</t>
  </si>
  <si>
    <t>35)</t>
  </si>
  <si>
    <t>36)</t>
    <phoneticPr fontId="14" type="noConversion"/>
  </si>
  <si>
    <t>38)</t>
  </si>
  <si>
    <t>39)</t>
  </si>
  <si>
    <t>40)</t>
  </si>
  <si>
    <t>41)</t>
    <phoneticPr fontId="14" type="noConversion"/>
  </si>
  <si>
    <t>42)</t>
    <phoneticPr fontId="14" type="noConversion"/>
  </si>
  <si>
    <t>43)</t>
  </si>
  <si>
    <t>44)</t>
  </si>
  <si>
    <t>45)</t>
  </si>
  <si>
    <t>22)</t>
    <phoneticPr fontId="13" type="noConversion"/>
  </si>
  <si>
    <t>36)</t>
    <phoneticPr fontId="13" type="noConversion"/>
  </si>
  <si>
    <t>41)</t>
    <phoneticPr fontId="13" type="noConversion"/>
  </si>
  <si>
    <t xml:space="preserve">    2)</t>
  </si>
  <si>
    <t xml:space="preserve">    4)</t>
  </si>
  <si>
    <t xml:space="preserve">    6)</t>
  </si>
  <si>
    <t xml:space="preserve">    8)</t>
  </si>
  <si>
    <t xml:space="preserve">    10)</t>
  </si>
  <si>
    <t xml:space="preserve">    12)</t>
  </si>
  <si>
    <t xml:space="preserve">    14)</t>
  </si>
  <si>
    <t xml:space="preserve">    16)</t>
  </si>
  <si>
    <t xml:space="preserve">    18)</t>
  </si>
  <si>
    <t xml:space="preserve">    20)</t>
  </si>
  <si>
    <t xml:space="preserve">    21)</t>
  </si>
  <si>
    <t>42)</t>
    <phoneticPr fontId="13" type="noConversion"/>
  </si>
  <si>
    <t>22)</t>
    <phoneticPr fontId="14" type="noConversion"/>
  </si>
  <si>
    <t>36)</t>
    <phoneticPr fontId="14" type="noConversion"/>
  </si>
  <si>
    <t>41)</t>
    <phoneticPr fontId="14" type="noConversion"/>
  </si>
  <si>
    <t>시티에너지</t>
    <phoneticPr fontId="14" type="noConversion"/>
  </si>
  <si>
    <t>시티에너지</t>
  </si>
  <si>
    <t>기 성 정 산 내 역 (수지-수원연계 지역난방 열배관공사)</t>
    <phoneticPr fontId="14" type="noConversion"/>
  </si>
  <si>
    <t>기 성 정 산 내 역 (2025년 열수송관 천공 및 차단공사)</t>
    <phoneticPr fontId="14" type="noConversion"/>
  </si>
  <si>
    <t>기 성 정 산 내 역 (2024년 용인지사 열수송시설 유지보수공사)</t>
    <phoneticPr fontId="14" type="noConversion"/>
  </si>
  <si>
    <t>기  성  총  괄  표 (2024년 용인지사 열수송시설 유지보수공사)</t>
    <phoneticPr fontId="14" type="noConversion"/>
  </si>
  <si>
    <t>기  성  총  괄  표 (2025년 열수송관 천공 및 차단공사)</t>
    <phoneticPr fontId="14" type="noConversion"/>
  </si>
  <si>
    <t>기  성  총  괄  표 (수지-수원연계 지역난방 열배관공사)</t>
    <phoneticPr fontId="14" type="noConversion"/>
  </si>
  <si>
    <t>기  성  총  괄  표 (2권역 대행)</t>
    <phoneticPr fontId="14" type="noConversion"/>
  </si>
  <si>
    <t>기 성 내 역 서 (수지-수원연계 지역난방 열배관공사)</t>
    <phoneticPr fontId="14" type="noConversion"/>
  </si>
  <si>
    <t>기 성 내 역 서 (2025년 열수송관 천공 및 차단공사)</t>
    <phoneticPr fontId="14" type="noConversion"/>
  </si>
  <si>
    <t>기 성 내 역 서 (2024년 용인지사 열수송시설 유지보수공사)</t>
    <phoneticPr fontId="14" type="noConversion"/>
  </si>
  <si>
    <t>수 량 산 출 서 (2024년 용인지사 열수송시설 유지보수공사)</t>
    <phoneticPr fontId="14" type="noConversion"/>
  </si>
  <si>
    <t>수 량 산 출 서 (2025년 열수송관 천공 및 차단공사)</t>
    <phoneticPr fontId="14" type="noConversion"/>
  </si>
  <si>
    <t>수 량 산 출 서 (수지-수원연계 지역난방 열배관공사)</t>
    <phoneticPr fontId="14" type="noConversion"/>
  </si>
  <si>
    <t>기 성 내 역 서 (2권역 대행)</t>
    <phoneticPr fontId="14" type="noConversion"/>
  </si>
  <si>
    <t>수 량 산 출 서 (2권역 대행)</t>
    <phoneticPr fontId="14" type="noConversion"/>
  </si>
  <si>
    <t>기 성 정 산 내 역 (2권역 대행)</t>
    <phoneticPr fontId="14" type="noConversion"/>
  </si>
  <si>
    <t>시공사별 금액</t>
    <phoneticPr fontId="14" type="noConversion"/>
  </si>
  <si>
    <t>기    성    정    산    내    역 (용인)</t>
    <phoneticPr fontId="14" type="noConversion"/>
  </si>
  <si>
    <t>기    성    집    계    표 (용인)</t>
    <phoneticPr fontId="14" type="noConversion"/>
  </si>
  <si>
    <t>기    성    총    괄    표 (용인)</t>
    <phoneticPr fontId="14" type="noConversion"/>
  </si>
  <si>
    <t>기    성    내    역    서 (용인)</t>
    <phoneticPr fontId="14" type="noConversion"/>
  </si>
  <si>
    <t>중앙지사(2권역 대행)</t>
    <phoneticPr fontId="14" type="noConversion"/>
  </si>
  <si>
    <t>예수금</t>
    <phoneticPr fontId="14" type="noConversion"/>
  </si>
  <si>
    <t>경기도 기흥구 보정동</t>
  </si>
  <si>
    <t>기흥구 보정동</t>
  </si>
  <si>
    <t>경기도 수지구 풍덕천동</t>
  </si>
  <si>
    <t>신창미션힐 아파트 단지 내</t>
  </si>
  <si>
    <t>용인시 기흥구 보라동559번지, 신창미션힐 아파트209동 앞</t>
  </si>
  <si>
    <t>지성엔지니어링(제조)</t>
    <phoneticPr fontId="14" type="noConversion"/>
  </si>
  <si>
    <t>용인시 수지구 죽전동 876-18번지</t>
  </si>
  <si>
    <t>지성엔지니어링(건가)</t>
  </si>
  <si>
    <t>지성엔지니어링(건가)</t>
    <phoneticPr fontId="14" type="noConversion"/>
  </si>
  <si>
    <t>용인시 수지구 죽전동 811-6번지</t>
    <phoneticPr fontId="14" type="noConversion"/>
  </si>
  <si>
    <t>용인시 수지구 죽전동 887-1 서울에스병원 앞</t>
    <phoneticPr fontId="14" type="noConversion"/>
  </si>
  <si>
    <t>지성엔지니어링(예수금)</t>
  </si>
  <si>
    <t>지성엔지니어링(예수금)</t>
    <phoneticPr fontId="14" type="noConversion"/>
  </si>
  <si>
    <t>예수금</t>
  </si>
  <si>
    <t>수지-수원연계 지역난방 열배관공사
(건가)</t>
    <phoneticPr fontId="14" type="noConversion"/>
  </si>
  <si>
    <t>2025년 열수송관 천공 및 차단공사
(건가)</t>
    <phoneticPr fontId="14" type="noConversion"/>
  </si>
  <si>
    <t>2024년 용인지사 열수송시설 유지보수공사(제조)</t>
    <phoneticPr fontId="14" type="noConversion"/>
  </si>
  <si>
    <t>2024년 용인지사 열수송시설 유지보수공사(예수금)</t>
    <phoneticPr fontId="14" type="noConversion"/>
  </si>
  <si>
    <t>2024년 용인지사 열수송시설 유지보수공사
(건가)</t>
    <phoneticPr fontId="14" type="noConversion"/>
  </si>
  <si>
    <t>중앙지사</t>
    <phoneticPr fontId="14" type="noConversion"/>
  </si>
  <si>
    <t>시티에너지 (건가)</t>
    <phoneticPr fontId="14" type="noConversion"/>
  </si>
  <si>
    <t>2026.01.26~2026.02.14</t>
    <phoneticPr fontId="14" type="noConversion"/>
  </si>
  <si>
    <t>2026.01.28~2026.02.10</t>
    <phoneticPr fontId="14" type="noConversion"/>
  </si>
  <si>
    <t>2026.04.27~2026.05.15</t>
    <phoneticPr fontId="14" type="noConversion"/>
  </si>
  <si>
    <t>2026.03.05~2026.03.13</t>
    <phoneticPr fontId="14" type="noConversion"/>
  </si>
  <si>
    <t>2026.03.24~2026.04.01</t>
    <phoneticPr fontId="14" type="noConversion"/>
  </si>
  <si>
    <t>2026.03.06~2026.03.10</t>
  </si>
  <si>
    <t>2026.03.06~2026.03.10</t>
    <phoneticPr fontId="14" type="noConversion"/>
  </si>
  <si>
    <t>2026.03.13~2026.03.13</t>
    <phoneticPr fontId="14" type="noConversion"/>
  </si>
  <si>
    <t>2026.05.16~2026.05.17</t>
    <phoneticPr fontId="14" type="noConversion"/>
  </si>
  <si>
    <t>2026.04.25~2026.04.26</t>
    <phoneticPr fontId="14" type="noConversion"/>
  </si>
  <si>
    <t>2026.05.09~2026.05.10</t>
  </si>
  <si>
    <t>2026.05.09~2026.05.10</t>
    <phoneticPr fontId="14" type="noConversion"/>
  </si>
  <si>
    <t>2026.05.11~2026.05.23</t>
    <phoneticPr fontId="14" type="noConversion"/>
  </si>
  <si>
    <t>(부가세 포함)</t>
    <phoneticPr fontId="14" type="noConversion"/>
  </si>
  <si>
    <t>2025. 12. 15 ~ 2026. 05. 29</t>
    <phoneticPr fontId="7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</si>
</sst>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* #\!\,##0_ ;_ * &quot;₩&quot;\!\-#\!\,##0_ ;_ * &quot;-&quot;_ ;_ @_ "/>
    <numFmt numFmtId="177" formatCode="_ * #\!\,##0\!.00_ ;_ * &quot;₩&quot;\!\-#\!\,##0\!.00_ ;_ * &quot;-&quot;??_ ;_ @_ "/>
    <numFmt numFmtId="178" formatCode="&quot;₩&quot;#\!\,##0;&quot;₩&quot;&quot;₩&quot;&quot;₩&quot;&quot;₩&quot;&quot;₩&quot;&quot;₩&quot;&quot;₩&quot;&quot;₩&quot;&quot;₩&quot;&quot;₩&quot;&quot;₩&quot;&quot;₩&quot;&quot;₩&quot;&quot;₩&quot;\!\-#\!\,##0"/>
    <numFmt numFmtId="179" formatCode="#,##0_);[Red]\(#,##0\)"/>
    <numFmt numFmtId="180" formatCode="0.0%"/>
    <numFmt numFmtId="181" formatCode="0.000%"/>
    <numFmt numFmtId="182" formatCode="#,##0.0000_);[Red]\(#,##0.0000\)"/>
    <numFmt numFmtId="183" formatCode="&quot;₩&quot;#,##0_);[Red]\(#,##0\)"/>
    <numFmt numFmtId="184" formatCode="#,###"/>
    <numFmt numFmtId="185" formatCode="0&quot; A&quot;"/>
    <numFmt numFmtId="186" formatCode="0&quot; 개소&quot;"/>
    <numFmt numFmtId="187" formatCode="_ * #,##0_ ;_ * \-#,##0_ ;_ * &quot;-&quot;_ ;_ @_ "/>
    <numFmt numFmtId="188" formatCode="_ &quot;₩&quot;* #,##0_ ;_ &quot;₩&quot;* \-#,##0_ ;_ &quot;₩&quot;* &quot;-&quot;_ ;_ @_ "/>
    <numFmt numFmtId="189" formatCode="&quot;₩&quot;#,##0;[Red]&quot;₩&quot;\-#,##0"/>
    <numFmt numFmtId="190" formatCode="_ &quot;₩&quot;* #,##0.00_ ;_ &quot;₩&quot;* \-#,##0.00_ ;_ &quot;₩&quot;* &quot;-&quot;??_ ;_ @_ "/>
    <numFmt numFmtId="191" formatCode="#,##0;[Red]&quot;-&quot;#,##0"/>
    <numFmt numFmtId="192" formatCode="_ * #,##0.00_ ;_ * \-#,##0.00_ ;_ * &quot;-&quot;??_ ;_ @_ "/>
    <numFmt numFmtId="193" formatCode="#,##0.00;[Red]&quot;-&quot;#,##0.00"/>
    <numFmt numFmtId="194" formatCode="&quot;US$&quot;#,##0_);[Red]\(&quot;US$&quot;#,##0\)"/>
    <numFmt numFmtId="195" formatCode="0.0000%"/>
    <numFmt numFmtId="196" formatCode="d/m/yy\ h:mm"/>
    <numFmt numFmtId="197" formatCode="\$#,##0\ ;\(\$#,##0\)"/>
    <numFmt numFmtId="198" formatCode="yyyy&quot;년&quot;m&quot;월&quot;d&quot;일&quot;"/>
    <numFmt numFmtId="199" formatCode="h\:mm\ AM/PM"/>
    <numFmt numFmtId="200" formatCode="0.0000&quot;  &quot;"/>
    <numFmt numFmtId="201" formatCode="_-[$€-2]* #,##0.00_-;\-[$€-2]* #,##0.00_-;_-[$€-2]* &quot;-&quot;??_-"/>
    <numFmt numFmtId="202" formatCode="d\.m\.yy"/>
    <numFmt numFmtId="203" formatCode="&quot;₩&quot;#,##0.00;&quot;₩&quot;\-#,##0.00"/>
    <numFmt numFmtId="204" formatCode="#,##0.00&quot; $&quot;;[Red]\-#,##0.00&quot; $&quot;"/>
    <numFmt numFmtId="205" formatCode="yyyy\/m\/d"/>
    <numFmt numFmtId="206" formatCode="h\:mm"/>
    <numFmt numFmtId="207" formatCode="#.00"/>
    <numFmt numFmtId="208" formatCode="&quot;$&quot;#\!\,##0\!.00;[Red]&quot;$&quot;#\!\,##0\!.00"/>
    <numFmt numFmtId="209" formatCode="#,##0."/>
    <numFmt numFmtId="210" formatCode="&quot;?#,##0;[Red]\-&quot;&quot;?&quot;#,##0"/>
    <numFmt numFmtId="211" formatCode="_ * #,##0_ \ \ \ \ ;_ * \-#,##0_ \ \ \ \ ;_ * &quot;0&quot;_ \ \ \ \ ;_ @_ "/>
    <numFmt numFmtId="212" formatCode="%#.00"/>
    <numFmt numFmtId="213" formatCode="\$#.00"/>
    <numFmt numFmtId="214" formatCode="\$#."/>
    <numFmt numFmtId="215" formatCode="&quot;적용금액&quot;\-0"/>
    <numFmt numFmtId="216" formatCode="#,##0.000_);[Red]\(#,##0.000\)"/>
    <numFmt numFmtId="217" formatCode="#,##0.000000000_);[Red]\(#,##0.000000000\)"/>
    <numFmt numFmtId="218" formatCode="#,##0_ "/>
    <numFmt numFmtId="219" formatCode="0_);[Red]\(0\)"/>
    <numFmt numFmtId="220" formatCode="#,##0\A"/>
  </numFmts>
  <fonts count="99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sz val="8"/>
      <name val="바탕"/>
      <family val="1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20"/>
      <name val="돋움체"/>
      <family val="3"/>
      <charset val="129"/>
    </font>
    <font>
      <b/>
      <sz val="12"/>
      <name val="돋움체"/>
      <family val="3"/>
      <charset val="129"/>
    </font>
    <font>
      <sz val="10"/>
      <name val="돋움체"/>
      <family val="3"/>
      <charset val="129"/>
    </font>
    <font>
      <sz val="9"/>
      <name val="돋움체"/>
      <family val="3"/>
      <charset val="129"/>
    </font>
    <font>
      <b/>
      <u/>
      <sz val="20"/>
      <name val="돋움체"/>
      <family val="3"/>
      <charset val="129"/>
    </font>
    <font>
      <b/>
      <sz val="10"/>
      <name val="돋움체"/>
      <family val="3"/>
      <charset val="129"/>
    </font>
    <font>
      <b/>
      <sz val="28"/>
      <name val="돋움체"/>
      <family val="3"/>
      <charset val="129"/>
    </font>
    <font>
      <b/>
      <sz val="11"/>
      <name val="돋움체"/>
      <family val="3"/>
      <charset val="129"/>
    </font>
    <font>
      <b/>
      <u/>
      <sz val="12"/>
      <name val="돋움체"/>
      <family val="3"/>
      <charset val="129"/>
    </font>
    <font>
      <sz val="9"/>
      <color indexed="81"/>
      <name val="돋움"/>
      <family val="3"/>
      <charset val="129"/>
    </font>
    <font>
      <b/>
      <sz val="9"/>
      <name val="돋움체"/>
      <family val="3"/>
      <charset val="129"/>
    </font>
    <font>
      <sz val="9"/>
      <name val="돋움체"/>
      <family val="3"/>
      <charset val="129"/>
    </font>
    <font>
      <b/>
      <sz val="9"/>
      <name val="돋움체"/>
      <family val="3"/>
      <charset val="129"/>
    </font>
    <font>
      <sz val="10"/>
      <color rgb="FFFF0000"/>
      <name val="돋움체"/>
      <family val="3"/>
      <charset val="129"/>
    </font>
    <font>
      <sz val="12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  <font>
      <sz val="9"/>
      <color rgb="FFFF0000"/>
      <name val="돋움체"/>
      <family val="3"/>
      <charset val="129"/>
    </font>
    <font>
      <sz val="10"/>
      <name val="굴림체"/>
      <family val="3"/>
      <charset val="129"/>
    </font>
    <font>
      <sz val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μ¸¿oA¼"/>
      <family val="3"/>
      <charset val="129"/>
    </font>
    <font>
      <b/>
      <i/>
      <sz val="12"/>
      <name val="System"/>
      <family val="2"/>
      <charset val="129"/>
    </font>
    <font>
      <sz val="12"/>
      <name val="COUR"/>
      <family val="1"/>
    </font>
    <font>
      <sz val="10"/>
      <name val="Helv"/>
      <family val="2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0"/>
      <name val="MS Sans Serif"/>
      <family val="2"/>
    </font>
    <font>
      <sz val="12"/>
      <name val="ⓒoUAAA¨u"/>
      <family val="1"/>
      <charset val="129"/>
    </font>
    <font>
      <sz val="12"/>
      <name val="System"/>
      <family val="2"/>
      <charset val="129"/>
    </font>
    <font>
      <sz val="8"/>
      <name val="¹UAAA¼"/>
      <family val="1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1"/>
      <name val="Times New Roman"/>
      <family val="1"/>
    </font>
    <font>
      <sz val="10"/>
      <color indexed="24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Univers (WN)"/>
      <family val="2"/>
    </font>
    <font>
      <b/>
      <sz val="11"/>
      <name val="Helv"/>
      <family val="2"/>
    </font>
    <font>
      <sz val="7"/>
      <name val="Small Fonts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u/>
      <sz val="10"/>
      <color indexed="36"/>
      <name val="Arial"/>
      <family val="2"/>
    </font>
    <font>
      <b/>
      <sz val="1"/>
      <color indexed="8"/>
      <name val="Courier"/>
      <family val="3"/>
    </font>
    <font>
      <u/>
      <sz val="12"/>
      <color indexed="36"/>
      <name val="바탕체"/>
      <family val="1"/>
      <charset val="129"/>
    </font>
    <font>
      <sz val="11"/>
      <name val="굴림체"/>
      <family val="3"/>
      <charset val="129"/>
    </font>
    <font>
      <sz val="11"/>
      <name val="뼻뮝"/>
      <family val="3"/>
      <charset val="129"/>
    </font>
    <font>
      <sz val="10"/>
      <name val="명조"/>
      <family val="3"/>
      <charset val="129"/>
    </font>
    <font>
      <sz val="12"/>
      <name val="견고딕"/>
      <family val="1"/>
      <charset val="129"/>
    </font>
    <font>
      <sz val="18"/>
      <name val="신그래픽"/>
      <family val="1"/>
      <charset val="129"/>
    </font>
    <font>
      <sz val="10"/>
      <color indexed="8"/>
      <name val="Arial"/>
      <family val="2"/>
    </font>
    <font>
      <b/>
      <sz val="12"/>
      <color rgb="FF0000FF"/>
      <name val="돋움체"/>
      <family val="3"/>
      <charset val="129"/>
    </font>
    <font>
      <b/>
      <sz val="10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b/>
      <u/>
      <sz val="10"/>
      <name val="돋움체"/>
      <family val="3"/>
      <charset val="129"/>
    </font>
    <font>
      <sz val="12"/>
      <name val="굴림체"/>
      <family val="3"/>
      <charset val="129"/>
    </font>
    <font>
      <sz val="8"/>
      <name val="굴림체"/>
      <family val="3"/>
      <charset val="129"/>
    </font>
    <font>
      <b/>
      <sz val="20"/>
      <name val="HY헤드라인M"/>
      <family val="1"/>
      <charset val="129"/>
    </font>
    <font>
      <b/>
      <sz val="26"/>
      <name val="굴림체"/>
      <family val="3"/>
      <charset val="129"/>
    </font>
    <font>
      <b/>
      <sz val="12"/>
      <name val="굴림체"/>
      <family val="3"/>
      <charset val="129"/>
    </font>
    <font>
      <b/>
      <sz val="16"/>
      <name val="굴림체"/>
      <family val="3"/>
      <charset val="129"/>
    </font>
    <font>
      <b/>
      <u/>
      <sz val="20"/>
      <name val="HY헤드라인M"/>
      <family val="1"/>
      <charset val="129"/>
    </font>
    <font>
      <sz val="20"/>
      <name val="HY헤드라인M"/>
      <family val="1"/>
      <charset val="129"/>
    </font>
    <font>
      <sz val="10"/>
      <name val="바탕체"/>
      <family val="1"/>
      <charset val="129"/>
    </font>
    <font>
      <b/>
      <sz val="12"/>
      <name val="바탕체"/>
      <family val="1"/>
      <charset val="129"/>
    </font>
    <font>
      <b/>
      <u/>
      <sz val="20"/>
      <color theme="1"/>
      <name val="HY헤드라인M"/>
      <family val="1"/>
      <charset val="129"/>
    </font>
    <font>
      <sz val="11"/>
      <color theme="1"/>
      <name val="맑은 고딕"/>
      <family val="2"/>
      <scheme val="minor"/>
    </font>
    <font>
      <sz val="20"/>
      <color theme="1"/>
      <name val="HY헤드라인M"/>
      <family val="1"/>
      <charset val="129"/>
    </font>
    <font>
      <sz val="11"/>
      <color theme="1"/>
      <name val="HY헤드라인M"/>
      <family val="1"/>
      <charset val="129"/>
    </font>
    <font>
      <sz val="10"/>
      <color theme="1"/>
      <name val="돋움체"/>
      <family val="3"/>
      <charset val="129"/>
    </font>
    <font>
      <sz val="11"/>
      <name val="돋움체"/>
      <family val="3"/>
      <charset val="129"/>
    </font>
    <font>
      <sz val="8"/>
      <name val="맑은 고딕"/>
      <family val="2"/>
    </font>
    <font>
      <sz val="11"/>
      <color indexed="8"/>
      <name val="돋움"/>
      <family val="3"/>
      <charset val="129"/>
    </font>
    <font>
      <sz val="11"/>
      <color rgb="FFFF0000"/>
      <name val="돋움"/>
      <family val="3"/>
      <charset val="129"/>
    </font>
    <font>
      <sz val="11"/>
      <color rgb="FFFF000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color rgb="FFFF0000"/>
      <name val="돋움체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</borders>
  <cellStyleXfs count="190">
    <xf numFmtId="0" fontId="0" fillId="0" borderId="0"/>
    <xf numFmtId="9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0" fillId="0" borderId="0"/>
    <xf numFmtId="177" fontId="10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0" fontId="10" fillId="0" borderId="0"/>
    <xf numFmtId="187" fontId="8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187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" fontId="36" fillId="0" borderId="3"/>
    <xf numFmtId="0" fontId="7" fillId="0" borderId="0"/>
    <xf numFmtId="0" fontId="7" fillId="0" borderId="0"/>
    <xf numFmtId="0" fontId="37" fillId="0" borderId="0"/>
    <xf numFmtId="0" fontId="38" fillId="8" borderId="0"/>
    <xf numFmtId="0" fontId="39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9" fillId="0" borderId="0"/>
    <xf numFmtId="0" fontId="33" fillId="0" borderId="0"/>
    <xf numFmtId="3" fontId="36" fillId="0" borderId="3"/>
    <xf numFmtId="3" fontId="36" fillId="0" borderId="3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8" fontId="40" fillId="0" borderId="0" applyFont="0" applyFill="0" applyBorder="0" applyAlignment="0" applyProtection="0"/>
    <xf numFmtId="42" fontId="41" fillId="0" borderId="0" applyFont="0" applyFill="0" applyBorder="0" applyAlignment="0" applyProtection="0"/>
    <xf numFmtId="188" fontId="40" fillId="0" borderId="0" applyFont="0" applyFill="0" applyBorder="0" applyAlignment="0" applyProtection="0"/>
    <xf numFmtId="18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190" fontId="40" fillId="0" borderId="0" applyFont="0" applyFill="0" applyBorder="0" applyAlignment="0" applyProtection="0"/>
    <xf numFmtId="44" fontId="41" fillId="0" borderId="0" applyFont="0" applyFill="0" applyBorder="0" applyAlignment="0" applyProtection="0"/>
    <xf numFmtId="190" fontId="40" fillId="0" borderId="0" applyFont="0" applyFill="0" applyBorder="0" applyAlignment="0" applyProtection="0"/>
    <xf numFmtId="18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87" fontId="40" fillId="0" borderId="0" applyFont="0" applyFill="0" applyBorder="0" applyAlignment="0" applyProtection="0"/>
    <xf numFmtId="41" fontId="41" fillId="0" borderId="0" applyFont="0" applyFill="0" applyBorder="0" applyAlignment="0" applyProtection="0"/>
    <xf numFmtId="187" fontId="40" fillId="0" borderId="0" applyFont="0" applyFill="0" applyBorder="0" applyAlignment="0" applyProtection="0"/>
    <xf numFmtId="191" fontId="42" fillId="0" borderId="0" applyFont="0" applyFill="0" applyBorder="0" applyAlignment="0" applyProtection="0"/>
    <xf numFmtId="187" fontId="40" fillId="0" borderId="0" applyFont="0" applyFill="0" applyBorder="0" applyAlignment="0" applyProtection="0"/>
    <xf numFmtId="192" fontId="40" fillId="0" borderId="0" applyFont="0" applyFill="0" applyBorder="0" applyAlignment="0" applyProtection="0"/>
    <xf numFmtId="43" fontId="41" fillId="0" borderId="0" applyFont="0" applyFill="0" applyBorder="0" applyAlignment="0" applyProtection="0"/>
    <xf numFmtId="192" fontId="40" fillId="0" borderId="0" applyFont="0" applyFill="0" applyBorder="0" applyAlignment="0" applyProtection="0"/>
    <xf numFmtId="19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4" fillId="0" borderId="0"/>
    <xf numFmtId="0" fontId="45" fillId="0" borderId="0"/>
    <xf numFmtId="0" fontId="41" fillId="0" borderId="0"/>
    <xf numFmtId="0" fontId="40" fillId="0" borderId="0"/>
    <xf numFmtId="0" fontId="42" fillId="0" borderId="0"/>
    <xf numFmtId="0" fontId="44" fillId="0" borderId="0"/>
    <xf numFmtId="194" fontId="9" fillId="0" borderId="0" applyFill="0" applyBorder="0" applyAlignment="0"/>
    <xf numFmtId="0" fontId="46" fillId="0" borderId="0"/>
    <xf numFmtId="0" fontId="47" fillId="0" borderId="0" applyNumberFormat="0" applyFill="0" applyBorder="0" applyAlignment="0" applyProtection="0">
      <alignment vertical="top"/>
      <protection locked="0"/>
    </xf>
    <xf numFmtId="195" fontId="48" fillId="0" borderId="0" applyFont="0" applyFill="0" applyBorder="0" applyAlignment="0" applyProtection="0"/>
    <xf numFmtId="0" fontId="42" fillId="0" borderId="0" applyFont="0" applyFill="0" applyBorder="0" applyAlignment="0" applyProtection="0"/>
    <xf numFmtId="196" fontId="7" fillId="0" borderId="0"/>
    <xf numFmtId="3" fontId="49" fillId="0" borderId="0" applyFont="0" applyFill="0" applyBorder="0" applyAlignment="0" applyProtection="0"/>
    <xf numFmtId="0" fontId="50" fillId="0" borderId="0" applyNumberFormat="0" applyAlignment="0">
      <alignment horizontal="left"/>
    </xf>
    <xf numFmtId="0" fontId="32" fillId="0" borderId="0" applyFont="0" applyFill="0" applyBorder="0" applyAlignment="0" applyProtection="0"/>
    <xf numFmtId="40" fontId="7" fillId="0" borderId="0"/>
    <xf numFmtId="0" fontId="42" fillId="0" borderId="0" applyFont="0" applyFill="0" applyBorder="0" applyAlignment="0" applyProtection="0"/>
    <xf numFmtId="197" fontId="49" fillId="0" borderId="0" applyFont="0" applyFill="0" applyBorder="0" applyAlignment="0" applyProtection="0"/>
    <xf numFmtId="0" fontId="7" fillId="0" borderId="0"/>
    <xf numFmtId="0" fontId="49" fillId="0" borderId="0" applyFont="0" applyFill="0" applyBorder="0" applyAlignment="0" applyProtection="0"/>
    <xf numFmtId="198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00" fontId="7" fillId="0" borderId="0"/>
    <xf numFmtId="0" fontId="51" fillId="0" borderId="0" applyNumberFormat="0" applyAlignment="0">
      <alignment horizontal="left"/>
    </xf>
    <xf numFmtId="201" fontId="9" fillId="0" borderId="0" applyFont="0" applyFill="0" applyBorder="0" applyAlignment="0" applyProtection="0"/>
    <xf numFmtId="0" fontId="52" fillId="0" borderId="0">
      <protection locked="0"/>
    </xf>
    <xf numFmtId="0" fontId="52" fillId="0" borderId="0">
      <protection locked="0"/>
    </xf>
    <xf numFmtId="0" fontId="53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53" fillId="0" borderId="0">
      <protection locked="0"/>
    </xf>
    <xf numFmtId="2" fontId="49" fillId="0" borderId="0" applyFont="0" applyFill="0" applyBorder="0" applyAlignment="0" applyProtection="0"/>
    <xf numFmtId="38" fontId="54" fillId="9" borderId="0" applyNumberFormat="0" applyBorder="0" applyAlignment="0" applyProtection="0"/>
    <xf numFmtId="0" fontId="55" fillId="0" borderId="0">
      <alignment horizontal="left"/>
    </xf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202" fontId="7" fillId="0" borderId="0">
      <protection locked="0"/>
    </xf>
    <xf numFmtId="202" fontId="7" fillId="0" borderId="0">
      <protection locked="0"/>
    </xf>
    <xf numFmtId="0" fontId="58" fillId="0" borderId="0" applyNumberFormat="0" applyFill="0" applyBorder="0" applyAlignment="0" applyProtection="0"/>
    <xf numFmtId="10" fontId="54" fillId="6" borderId="3" applyNumberFormat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59" fillId="0" borderId="27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37" fontId="60" fillId="0" borderId="0"/>
    <xf numFmtId="203" fontId="10" fillId="0" borderId="0"/>
    <xf numFmtId="9" fontId="7" fillId="0" borderId="0"/>
    <xf numFmtId="10" fontId="10" fillId="0" borderId="0" applyFont="0" applyFill="0" applyBorder="0" applyAlignment="0" applyProtection="0"/>
    <xf numFmtId="204" fontId="7" fillId="0" borderId="0">
      <protection locked="0"/>
    </xf>
    <xf numFmtId="30" fontId="61" fillId="0" borderId="0" applyNumberFormat="0" applyFill="0" applyBorder="0" applyAlignment="0" applyProtection="0">
      <alignment horizontal="left"/>
    </xf>
    <xf numFmtId="0" fontId="10" fillId="0" borderId="0"/>
    <xf numFmtId="0" fontId="59" fillId="0" borderId="0"/>
    <xf numFmtId="40" fontId="62" fillId="0" borderId="0" applyBorder="0">
      <alignment horizontal="right"/>
    </xf>
    <xf numFmtId="0" fontId="63" fillId="9" borderId="0">
      <alignment horizontal="centerContinuous"/>
    </xf>
    <xf numFmtId="0" fontId="49" fillId="0" borderId="56" applyNumberFormat="0" applyFont="0" applyFill="0" applyAlignment="0" applyProtection="0"/>
    <xf numFmtId="205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207" fontId="52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9" fontId="67" fillId="7" borderId="0" applyFill="0" applyBorder="0" applyProtection="0">
      <alignment horizontal="right"/>
    </xf>
    <xf numFmtId="10" fontId="67" fillId="0" borderId="0" applyFill="0" applyBorder="0" applyProtection="0">
      <alignment horizontal="right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8" fillId="0" borderId="0"/>
    <xf numFmtId="208" fontId="17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0" fillId="0" borderId="0"/>
    <xf numFmtId="0" fontId="69" fillId="0" borderId="57"/>
    <xf numFmtId="0" fontId="70" fillId="0" borderId="0">
      <alignment horizontal="center" vertical="center"/>
    </xf>
    <xf numFmtId="4" fontId="52" fillId="0" borderId="0">
      <protection locked="0"/>
    </xf>
    <xf numFmtId="209" fontId="52" fillId="0" borderId="0">
      <protection locked="0"/>
    </xf>
    <xf numFmtId="0" fontId="7" fillId="0" borderId="0"/>
    <xf numFmtId="210" fontId="9" fillId="0" borderId="0" applyFont="0" applyFill="0" applyBorder="0" applyAlignment="0" applyProtection="0"/>
    <xf numFmtId="211" fontId="71" fillId="0" borderId="18" applyFont="0" applyFill="0" applyBorder="0" applyAlignment="0">
      <alignment horizontal="left" vertical="center"/>
    </xf>
    <xf numFmtId="187" fontId="7" fillId="0" borderId="58"/>
    <xf numFmtId="0" fontId="7" fillId="0" borderId="0" applyFont="0" applyFill="0" applyBorder="0" applyAlignment="0" applyProtection="0"/>
    <xf numFmtId="42" fontId="9" fillId="0" borderId="0" applyFont="0" applyFill="0" applyBorder="0" applyAlignment="0" applyProtection="0"/>
    <xf numFmtId="212" fontId="52" fillId="0" borderId="0">
      <protection locked="0"/>
    </xf>
    <xf numFmtId="0" fontId="72" fillId="0" borderId="0"/>
    <xf numFmtId="0" fontId="9" fillId="0" borderId="0"/>
    <xf numFmtId="0" fontId="9" fillId="0" borderId="0"/>
    <xf numFmtId="0" fontId="52" fillId="0" borderId="56">
      <protection locked="0"/>
    </xf>
    <xf numFmtId="213" fontId="52" fillId="0" borderId="0">
      <protection locked="0"/>
    </xf>
    <xf numFmtId="214" fontId="52" fillId="0" borderId="0">
      <protection locked="0"/>
    </xf>
    <xf numFmtId="0" fontId="9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0" fontId="9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0" fontId="9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42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9" fillId="0" borderId="0"/>
    <xf numFmtId="0" fontId="88" fillId="0" borderId="0">
      <alignment vertical="center"/>
    </xf>
  </cellStyleXfs>
  <cellXfs count="371">
    <xf numFmtId="0" fontId="0" fillId="0" borderId="0" xfId="0"/>
    <xf numFmtId="179" fontId="8" fillId="0" borderId="0" xfId="0" applyNumberFormat="1" applyFont="1" applyAlignment="1">
      <alignment vertical="center"/>
    </xf>
    <xf numFmtId="179" fontId="17" fillId="0" borderId="0" xfId="0" applyNumberFormat="1" applyFont="1" applyAlignment="1">
      <alignment horizontal="center" vertical="center"/>
    </xf>
    <xf numFmtId="179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horizontal="center" vertical="center"/>
    </xf>
    <xf numFmtId="179" fontId="17" fillId="0" borderId="3" xfId="0" applyNumberFormat="1" applyFont="1" applyBorder="1" applyAlignment="1">
      <alignment horizontal="center" vertical="center"/>
    </xf>
    <xf numFmtId="179" fontId="17" fillId="0" borderId="3" xfId="2" applyNumberFormat="1" applyFont="1" applyFill="1" applyBorder="1" applyAlignment="1">
      <alignment horizontal="right" vertical="center"/>
    </xf>
    <xf numFmtId="179" fontId="17" fillId="0" borderId="4" xfId="0" applyNumberFormat="1" applyFont="1" applyBorder="1" applyAlignment="1">
      <alignment horizontal="center" vertical="center"/>
    </xf>
    <xf numFmtId="179" fontId="17" fillId="0" borderId="25" xfId="0" applyNumberFormat="1" applyFont="1" applyBorder="1" applyAlignment="1">
      <alignment horizontal="right" vertical="center"/>
    </xf>
    <xf numFmtId="179" fontId="8" fillId="0" borderId="0" xfId="0" applyNumberFormat="1" applyFont="1" applyAlignment="1">
      <alignment horizontal="right" vertical="center"/>
    </xf>
    <xf numFmtId="179" fontId="17" fillId="0" borderId="26" xfId="0" applyNumberFormat="1" applyFont="1" applyBorder="1" applyAlignment="1">
      <alignment horizontal="right" vertical="center"/>
    </xf>
    <xf numFmtId="179" fontId="17" fillId="0" borderId="29" xfId="0" applyNumberFormat="1" applyFont="1" applyBorder="1" applyAlignment="1">
      <alignment horizontal="right" vertical="center"/>
    </xf>
    <xf numFmtId="179" fontId="17" fillId="0" borderId="30" xfId="0" applyNumberFormat="1" applyFont="1" applyBorder="1" applyAlignment="1">
      <alignment horizontal="right" vertical="center"/>
    </xf>
    <xf numFmtId="179" fontId="17" fillId="0" borderId="8" xfId="0" applyNumberFormat="1" applyFont="1" applyBorder="1" applyAlignment="1">
      <alignment horizontal="right" vertical="center"/>
    </xf>
    <xf numFmtId="179" fontId="17" fillId="0" borderId="31" xfId="0" applyNumberFormat="1" applyFont="1" applyBorder="1" applyAlignment="1">
      <alignment horizontal="right" vertical="center"/>
    </xf>
    <xf numFmtId="179" fontId="15" fillId="0" borderId="0" xfId="0" applyNumberFormat="1" applyFont="1" applyAlignment="1">
      <alignment horizontal="right" vertical="center"/>
    </xf>
    <xf numFmtId="179" fontId="20" fillId="0" borderId="0" xfId="0" applyNumberFormat="1" applyFont="1" applyAlignment="1">
      <alignment horizontal="right" vertical="center"/>
    </xf>
    <xf numFmtId="183" fontId="22" fillId="0" borderId="0" xfId="0" applyNumberFormat="1" applyFont="1" applyAlignment="1">
      <alignment horizontal="right" vertical="center"/>
    </xf>
    <xf numFmtId="179" fontId="17" fillId="0" borderId="0" xfId="2" applyNumberFormat="1" applyFont="1" applyBorder="1" applyAlignment="1">
      <alignment horizontal="right" vertical="center"/>
    </xf>
    <xf numFmtId="179" fontId="17" fillId="0" borderId="32" xfId="0" applyNumberFormat="1" applyFont="1" applyBorder="1" applyAlignment="1">
      <alignment horizontal="right" vertical="center"/>
    </xf>
    <xf numFmtId="179" fontId="17" fillId="0" borderId="27" xfId="0" applyNumberFormat="1" applyFont="1" applyBorder="1" applyAlignment="1">
      <alignment horizontal="right" vertical="center"/>
    </xf>
    <xf numFmtId="41" fontId="17" fillId="0" borderId="17" xfId="2" applyNumberFormat="1" applyFont="1" applyFill="1" applyBorder="1" applyAlignment="1">
      <alignment horizontal="center" vertical="center"/>
    </xf>
    <xf numFmtId="41" fontId="17" fillId="0" borderId="17" xfId="2" applyNumberFormat="1" applyFont="1" applyFill="1" applyBorder="1" applyAlignment="1">
      <alignment horizontal="right" vertical="center"/>
    </xf>
    <xf numFmtId="41" fontId="17" fillId="0" borderId="3" xfId="2" applyNumberFormat="1" applyFont="1" applyFill="1" applyBorder="1" applyAlignment="1">
      <alignment horizontal="right" vertical="center"/>
    </xf>
    <xf numFmtId="41" fontId="17" fillId="0" borderId="2" xfId="2" applyNumberFormat="1" applyFont="1" applyFill="1" applyBorder="1" applyAlignment="1">
      <alignment horizontal="right" vertical="center"/>
    </xf>
    <xf numFmtId="41" fontId="17" fillId="0" borderId="23" xfId="2" applyNumberFormat="1" applyFont="1" applyFill="1" applyBorder="1" applyAlignment="1">
      <alignment horizontal="right" vertical="center"/>
    </xf>
    <xf numFmtId="41" fontId="17" fillId="0" borderId="2" xfId="2" applyNumberFormat="1" applyFont="1" applyBorder="1" applyAlignment="1">
      <alignment vertical="center"/>
    </xf>
    <xf numFmtId="41" fontId="17" fillId="0" borderId="2" xfId="0" applyNumberFormat="1" applyFont="1" applyBorder="1" applyAlignment="1">
      <alignment horizontal="right" vertical="center"/>
    </xf>
    <xf numFmtId="41" fontId="17" fillId="0" borderId="2" xfId="0" applyNumberFormat="1" applyFont="1" applyBorder="1" applyAlignment="1">
      <alignment vertical="center"/>
    </xf>
    <xf numFmtId="41" fontId="17" fillId="0" borderId="3" xfId="0" applyNumberFormat="1" applyFont="1" applyBorder="1" applyAlignment="1">
      <alignment vertical="center"/>
    </xf>
    <xf numFmtId="179" fontId="17" fillId="0" borderId="22" xfId="2" applyNumberFormat="1" applyFont="1" applyBorder="1" applyAlignment="1">
      <alignment vertical="center"/>
    </xf>
    <xf numFmtId="179" fontId="17" fillId="0" borderId="3" xfId="0" applyNumberFormat="1" applyFont="1" applyBorder="1" applyAlignment="1">
      <alignment vertical="center"/>
    </xf>
    <xf numFmtId="10" fontId="17" fillId="0" borderId="3" xfId="1" applyNumberFormat="1" applyFont="1" applyFill="1" applyBorder="1" applyAlignment="1">
      <alignment horizontal="center" vertical="center"/>
    </xf>
    <xf numFmtId="41" fontId="17" fillId="0" borderId="22" xfId="2" applyNumberFormat="1" applyFont="1" applyFill="1" applyBorder="1" applyAlignment="1">
      <alignment horizontal="left" vertical="center"/>
    </xf>
    <xf numFmtId="180" fontId="17" fillId="0" borderId="3" xfId="1" applyNumberFormat="1" applyFont="1" applyFill="1" applyBorder="1" applyAlignment="1">
      <alignment horizontal="center" vertical="center"/>
    </xf>
    <xf numFmtId="179" fontId="17" fillId="0" borderId="3" xfId="1" applyNumberFormat="1" applyFont="1" applyFill="1" applyBorder="1" applyAlignment="1">
      <alignment horizontal="center" vertical="center"/>
    </xf>
    <xf numFmtId="41" fontId="17" fillId="0" borderId="2" xfId="2" applyNumberFormat="1" applyFont="1" applyBorder="1" applyAlignment="1">
      <alignment horizontal="right" vertical="center"/>
    </xf>
    <xf numFmtId="179" fontId="8" fillId="0" borderId="0" xfId="2" applyNumberFormat="1" applyFont="1" applyFill="1" applyAlignment="1">
      <alignment horizontal="right" vertical="center"/>
    </xf>
    <xf numFmtId="179" fontId="17" fillId="0" borderId="0" xfId="2" applyNumberFormat="1" applyFont="1" applyFill="1" applyAlignment="1">
      <alignment vertical="center"/>
    </xf>
    <xf numFmtId="179" fontId="8" fillId="0" borderId="0" xfId="2" applyNumberFormat="1" applyFont="1" applyFill="1" applyAlignment="1">
      <alignment vertical="center"/>
    </xf>
    <xf numFmtId="180" fontId="20" fillId="0" borderId="0" xfId="1" applyNumberFormat="1" applyFont="1" applyFill="1" applyAlignment="1">
      <alignment horizontal="center" vertical="center"/>
    </xf>
    <xf numFmtId="10" fontId="20" fillId="0" borderId="0" xfId="1" applyNumberFormat="1" applyFont="1" applyFill="1" applyAlignment="1">
      <alignment horizontal="center" vertical="center"/>
    </xf>
    <xf numFmtId="181" fontId="20" fillId="0" borderId="0" xfId="1" applyNumberFormat="1" applyFont="1" applyFill="1" applyAlignment="1">
      <alignment horizontal="center" vertical="center"/>
    </xf>
    <xf numFmtId="179" fontId="17" fillId="0" borderId="10" xfId="2" applyNumberFormat="1" applyFont="1" applyFill="1" applyBorder="1" applyAlignment="1">
      <alignment horizontal="center" vertical="center"/>
    </xf>
    <xf numFmtId="179" fontId="17" fillId="0" borderId="36" xfId="0" applyNumberFormat="1" applyFont="1" applyBorder="1" applyAlignment="1">
      <alignment horizontal="center" vertical="center"/>
    </xf>
    <xf numFmtId="41" fontId="17" fillId="0" borderId="36" xfId="2" applyNumberFormat="1" applyFont="1" applyFill="1" applyBorder="1" applyAlignment="1">
      <alignment horizontal="right" vertical="center"/>
    </xf>
    <xf numFmtId="41" fontId="17" fillId="0" borderId="10" xfId="2" applyNumberFormat="1" applyFont="1" applyFill="1" applyBorder="1" applyAlignment="1">
      <alignment horizontal="center" vertical="center"/>
    </xf>
    <xf numFmtId="41" fontId="17" fillId="0" borderId="10" xfId="2" applyNumberFormat="1" applyFont="1" applyFill="1" applyBorder="1" applyAlignment="1">
      <alignment horizontal="right" vertical="center"/>
    </xf>
    <xf numFmtId="179" fontId="18" fillId="0" borderId="4" xfId="0" applyNumberFormat="1" applyFont="1" applyBorder="1" applyAlignment="1">
      <alignment horizontal="center" vertical="center"/>
    </xf>
    <xf numFmtId="41" fontId="28" fillId="0" borderId="3" xfId="2" applyNumberFormat="1" applyFont="1" applyFill="1" applyBorder="1" applyAlignment="1">
      <alignment horizontal="right" vertical="center"/>
    </xf>
    <xf numFmtId="179" fontId="29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vertical="center"/>
    </xf>
    <xf numFmtId="10" fontId="30" fillId="0" borderId="0" xfId="1" applyNumberFormat="1" applyFont="1" applyFill="1" applyAlignment="1">
      <alignment horizontal="center" vertical="center"/>
    </xf>
    <xf numFmtId="179" fontId="31" fillId="0" borderId="4" xfId="0" applyNumberFormat="1" applyFont="1" applyBorder="1" applyAlignment="1">
      <alignment horizontal="center" vertical="center"/>
    </xf>
    <xf numFmtId="179" fontId="29" fillId="2" borderId="0" xfId="0" applyNumberFormat="1" applyFont="1" applyFill="1" applyAlignment="1">
      <alignment vertical="center"/>
    </xf>
    <xf numFmtId="49" fontId="18" fillId="0" borderId="3" xfId="0" applyNumberFormat="1" applyFont="1" applyBorder="1" applyAlignment="1">
      <alignment horizontal="left" vertical="center"/>
    </xf>
    <xf numFmtId="179" fontId="16" fillId="0" borderId="0" xfId="0" applyNumberFormat="1" applyFont="1" applyAlignment="1">
      <alignment vertical="center"/>
    </xf>
    <xf numFmtId="179" fontId="23" fillId="0" borderId="0" xfId="0" applyNumberFormat="1" applyFont="1" applyAlignment="1">
      <alignment horizontal="left" vertical="center"/>
    </xf>
    <xf numFmtId="180" fontId="30" fillId="2" borderId="0" xfId="1" applyNumberFormat="1" applyFont="1" applyFill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179" fontId="17" fillId="0" borderId="14" xfId="0" applyNumberFormat="1" applyFont="1" applyBorder="1" applyAlignment="1">
      <alignment horizontal="center" vertical="center"/>
    </xf>
    <xf numFmtId="179" fontId="17" fillId="0" borderId="17" xfId="2" applyNumberFormat="1" applyFont="1" applyFill="1" applyBorder="1" applyAlignment="1">
      <alignment horizontal="center" vertical="center"/>
    </xf>
    <xf numFmtId="179" fontId="17" fillId="0" borderId="20" xfId="0" applyNumberFormat="1" applyFont="1" applyBorder="1" applyAlignment="1">
      <alignment horizontal="center" vertical="center"/>
    </xf>
    <xf numFmtId="179" fontId="17" fillId="0" borderId="14" xfId="2" applyNumberFormat="1" applyFont="1" applyFill="1" applyBorder="1" applyAlignment="1">
      <alignment horizontal="right" vertical="center"/>
    </xf>
    <xf numFmtId="41" fontId="17" fillId="0" borderId="12" xfId="2" applyNumberFormat="1" applyFont="1" applyFill="1" applyBorder="1" applyAlignment="1">
      <alignment horizontal="left" vertical="center"/>
    </xf>
    <xf numFmtId="41" fontId="17" fillId="0" borderId="13" xfId="2" applyNumberFormat="1" applyFont="1" applyFill="1" applyBorder="1" applyAlignment="1">
      <alignment horizontal="right" vertical="center"/>
    </xf>
    <xf numFmtId="41" fontId="17" fillId="0" borderId="18" xfId="2" applyNumberFormat="1" applyFont="1" applyFill="1" applyBorder="1" applyAlignment="1">
      <alignment horizontal="right" vertical="center"/>
    </xf>
    <xf numFmtId="41" fontId="17" fillId="0" borderId="14" xfId="2" applyNumberFormat="1" applyFont="1" applyFill="1" applyBorder="1" applyAlignment="1">
      <alignment horizontal="right" vertical="center"/>
    </xf>
    <xf numFmtId="179" fontId="17" fillId="0" borderId="24" xfId="0" applyNumberFormat="1" applyFont="1" applyBorder="1" applyAlignment="1">
      <alignment horizontal="center" vertical="center"/>
    </xf>
    <xf numFmtId="179" fontId="17" fillId="0" borderId="46" xfId="0" applyNumberFormat="1" applyFont="1" applyBorder="1" applyAlignment="1">
      <alignment horizontal="center" vertical="center"/>
    </xf>
    <xf numFmtId="179" fontId="17" fillId="0" borderId="21" xfId="0" applyNumberFormat="1" applyFont="1" applyBorder="1" applyAlignment="1">
      <alignment horizontal="center" vertical="center"/>
    </xf>
    <xf numFmtId="179" fontId="17" fillId="0" borderId="40" xfId="2" applyNumberFormat="1" applyFont="1" applyBorder="1" applyAlignment="1">
      <alignment horizontal="right" vertical="center"/>
    </xf>
    <xf numFmtId="179" fontId="17" fillId="0" borderId="41" xfId="0" applyNumberFormat="1" applyFont="1" applyBorder="1" applyAlignment="1">
      <alignment horizontal="center" vertical="center"/>
    </xf>
    <xf numFmtId="179" fontId="20" fillId="4" borderId="28" xfId="2" applyNumberFormat="1" applyFont="1" applyFill="1" applyBorder="1" applyAlignment="1">
      <alignment horizontal="center" vertical="center"/>
    </xf>
    <xf numFmtId="179" fontId="20" fillId="0" borderId="3" xfId="0" applyNumberFormat="1" applyFont="1" applyBorder="1" applyAlignment="1">
      <alignment horizontal="center" vertical="center"/>
    </xf>
    <xf numFmtId="179" fontId="20" fillId="0" borderId="3" xfId="2" applyNumberFormat="1" applyFont="1" applyFill="1" applyBorder="1" applyAlignment="1">
      <alignment horizontal="right" vertical="center"/>
    </xf>
    <xf numFmtId="41" fontId="20" fillId="0" borderId="22" xfId="2" applyNumberFormat="1" applyFont="1" applyFill="1" applyBorder="1" applyAlignment="1">
      <alignment horizontal="left" vertical="center"/>
    </xf>
    <xf numFmtId="41" fontId="20" fillId="0" borderId="2" xfId="2" applyNumberFormat="1" applyFont="1" applyFill="1" applyBorder="1" applyAlignment="1">
      <alignment horizontal="right" vertical="center"/>
    </xf>
    <xf numFmtId="41" fontId="20" fillId="0" borderId="23" xfId="2" applyNumberFormat="1" applyFont="1" applyFill="1" applyBorder="1" applyAlignment="1">
      <alignment horizontal="right" vertical="center"/>
    </xf>
    <xf numFmtId="41" fontId="20" fillId="0" borderId="3" xfId="2" applyNumberFormat="1" applyFont="1" applyFill="1" applyBorder="1" applyAlignment="1">
      <alignment horizontal="right" vertical="center"/>
    </xf>
    <xf numFmtId="179" fontId="20" fillId="0" borderId="4" xfId="0" applyNumberFormat="1" applyFont="1" applyBorder="1" applyAlignment="1">
      <alignment horizontal="center" vertical="center"/>
    </xf>
    <xf numFmtId="179" fontId="20" fillId="0" borderId="36" xfId="0" applyNumberFormat="1" applyFont="1" applyBorder="1" applyAlignment="1">
      <alignment horizontal="center" vertical="center"/>
    </xf>
    <xf numFmtId="179" fontId="20" fillId="0" borderId="37" xfId="2" applyNumberFormat="1" applyFont="1" applyBorder="1" applyAlignment="1">
      <alignment vertical="center"/>
    </xf>
    <xf numFmtId="179" fontId="20" fillId="0" borderId="36" xfId="0" applyNumberFormat="1" applyFont="1" applyBorder="1" applyAlignment="1">
      <alignment vertical="center"/>
    </xf>
    <xf numFmtId="41" fontId="20" fillId="0" borderId="37" xfId="2" applyNumberFormat="1" applyFont="1" applyBorder="1" applyAlignment="1">
      <alignment vertical="center"/>
    </xf>
    <xf numFmtId="41" fontId="20" fillId="0" borderId="38" xfId="0" applyNumberFormat="1" applyFont="1" applyBorder="1" applyAlignment="1">
      <alignment horizontal="right" vertical="center"/>
    </xf>
    <xf numFmtId="41" fontId="20" fillId="0" borderId="38" xfId="0" applyNumberFormat="1" applyFont="1" applyBorder="1" applyAlignment="1">
      <alignment vertical="center"/>
    </xf>
    <xf numFmtId="41" fontId="20" fillId="0" borderId="47" xfId="0" applyNumberFormat="1" applyFont="1" applyBorder="1" applyAlignment="1">
      <alignment vertical="center"/>
    </xf>
    <xf numFmtId="41" fontId="20" fillId="0" borderId="36" xfId="0" applyNumberFormat="1" applyFont="1" applyBorder="1" applyAlignment="1">
      <alignment vertical="center"/>
    </xf>
    <xf numFmtId="179" fontId="20" fillId="0" borderId="39" xfId="0" applyNumberFormat="1" applyFont="1" applyBorder="1" applyAlignment="1">
      <alignment horizontal="center" vertical="center"/>
    </xf>
    <xf numFmtId="179" fontId="20" fillId="0" borderId="0" xfId="0" applyNumberFormat="1" applyFont="1" applyAlignment="1">
      <alignment horizontal="center" vertical="center"/>
    </xf>
    <xf numFmtId="179" fontId="20" fillId="0" borderId="0" xfId="0" applyNumberFormat="1" applyFont="1" applyAlignment="1">
      <alignment vertical="center"/>
    </xf>
    <xf numFmtId="49" fontId="26" fillId="0" borderId="0" xfId="0" applyNumberFormat="1" applyFont="1" applyAlignment="1">
      <alignment horizontal="left" vertical="center"/>
    </xf>
    <xf numFmtId="49" fontId="26" fillId="0" borderId="17" xfId="0" applyNumberFormat="1" applyFont="1" applyBorder="1" applyAlignment="1">
      <alignment horizontal="center" vertical="center"/>
    </xf>
    <xf numFmtId="49" fontId="26" fillId="0" borderId="22" xfId="0" applyNumberFormat="1" applyFont="1" applyBorder="1" applyAlignment="1">
      <alignment horizontal="centerContinuous" vertical="center"/>
    </xf>
    <xf numFmtId="49" fontId="26" fillId="0" borderId="23" xfId="0" applyNumberFormat="1" applyFont="1" applyBorder="1" applyAlignment="1">
      <alignment horizontal="centerContinuous" vertical="center"/>
    </xf>
    <xf numFmtId="49" fontId="26" fillId="0" borderId="14" xfId="0" applyNumberFormat="1" applyFont="1" applyBorder="1" applyAlignment="1">
      <alignment horizontal="center" vertical="center"/>
    </xf>
    <xf numFmtId="49" fontId="26" fillId="0" borderId="3" xfId="0" applyNumberFormat="1" applyFont="1" applyBorder="1" applyAlignment="1">
      <alignment horizontal="center" vertical="center"/>
    </xf>
    <xf numFmtId="49" fontId="27" fillId="0" borderId="3" xfId="0" applyNumberFormat="1" applyFont="1" applyBorder="1" applyAlignment="1">
      <alignment horizontal="left" vertical="center"/>
    </xf>
    <xf numFmtId="184" fontId="26" fillId="0" borderId="3" xfId="0" applyNumberFormat="1" applyFont="1" applyBorder="1" applyAlignment="1">
      <alignment horizontal="right" vertical="center"/>
    </xf>
    <xf numFmtId="49" fontId="18" fillId="0" borderId="3" xfId="0" applyNumberFormat="1" applyFont="1" applyBorder="1" applyAlignment="1">
      <alignment horizontal="center" vertical="center"/>
    </xf>
    <xf numFmtId="49" fontId="25" fillId="5" borderId="3" xfId="0" applyNumberFormat="1" applyFont="1" applyFill="1" applyBorder="1" applyAlignment="1">
      <alignment horizontal="left" vertical="center"/>
    </xf>
    <xf numFmtId="49" fontId="27" fillId="5" borderId="3" xfId="0" applyNumberFormat="1" applyFont="1" applyFill="1" applyBorder="1" applyAlignment="1">
      <alignment horizontal="left" vertical="center"/>
    </xf>
    <xf numFmtId="184" fontId="26" fillId="5" borderId="3" xfId="0" applyNumberFormat="1" applyFont="1" applyFill="1" applyBorder="1" applyAlignment="1">
      <alignment horizontal="right" vertical="center"/>
    </xf>
    <xf numFmtId="49" fontId="26" fillId="5" borderId="3" xfId="0" applyNumberFormat="1" applyFont="1" applyFill="1" applyBorder="1" applyAlignment="1">
      <alignment horizontal="center" vertical="center"/>
    </xf>
    <xf numFmtId="49" fontId="25" fillId="3" borderId="3" xfId="0" applyNumberFormat="1" applyFont="1" applyFill="1" applyBorder="1" applyAlignment="1">
      <alignment horizontal="left" vertical="center"/>
    </xf>
    <xf numFmtId="41" fontId="18" fillId="0" borderId="3" xfId="0" applyNumberFormat="1" applyFont="1" applyBorder="1" applyAlignment="1">
      <alignment horizontal="right" vertical="center"/>
    </xf>
    <xf numFmtId="184" fontId="25" fillId="3" borderId="3" xfId="0" applyNumberFormat="1" applyFont="1" applyFill="1" applyBorder="1" applyAlignment="1">
      <alignment horizontal="right" vertical="center"/>
    </xf>
    <xf numFmtId="49" fontId="25" fillId="3" borderId="3" xfId="0" applyNumberFormat="1" applyFont="1" applyFill="1" applyBorder="1" applyAlignment="1">
      <alignment horizontal="center" vertical="center"/>
    </xf>
    <xf numFmtId="41" fontId="26" fillId="0" borderId="3" xfId="0" applyNumberFormat="1" applyFont="1" applyBorder="1" applyAlignment="1">
      <alignment horizontal="left" vertical="center"/>
    </xf>
    <xf numFmtId="41" fontId="18" fillId="5" borderId="3" xfId="0" applyNumberFormat="1" applyFont="1" applyFill="1" applyBorder="1" applyAlignment="1">
      <alignment horizontal="right" vertical="center"/>
    </xf>
    <xf numFmtId="41" fontId="26" fillId="5" borderId="3" xfId="0" applyNumberFormat="1" applyFont="1" applyFill="1" applyBorder="1" applyAlignment="1">
      <alignment horizontal="left" vertical="center"/>
    </xf>
    <xf numFmtId="41" fontId="25" fillId="3" borderId="3" xfId="0" applyNumberFormat="1" applyFont="1" applyFill="1" applyBorder="1" applyAlignment="1">
      <alignment horizontal="right" vertical="center"/>
    </xf>
    <xf numFmtId="41" fontId="25" fillId="3" borderId="3" xfId="0" applyNumberFormat="1" applyFont="1" applyFill="1" applyBorder="1" applyAlignment="1">
      <alignment horizontal="left" vertical="center"/>
    </xf>
    <xf numFmtId="49" fontId="26" fillId="0" borderId="19" xfId="0" applyNumberFormat="1" applyFont="1" applyBorder="1" applyAlignment="1">
      <alignment horizontal="center" vertical="center"/>
    </xf>
    <xf numFmtId="185" fontId="18" fillId="0" borderId="13" xfId="0" applyNumberFormat="1" applyFont="1" applyBorder="1" applyAlignment="1">
      <alignment horizontal="center" vertical="center"/>
    </xf>
    <xf numFmtId="186" fontId="18" fillId="0" borderId="13" xfId="0" applyNumberFormat="1" applyFont="1" applyBorder="1" applyAlignment="1">
      <alignment horizontal="center" vertical="center"/>
    </xf>
    <xf numFmtId="184" fontId="26" fillId="0" borderId="3" xfId="0" applyNumberFormat="1" applyFont="1" applyBorder="1" applyAlignment="1">
      <alignment horizontal="center" vertical="center"/>
    </xf>
    <xf numFmtId="41" fontId="18" fillId="0" borderId="3" xfId="0" applyNumberFormat="1" applyFont="1" applyBorder="1" applyAlignment="1">
      <alignment vertical="center"/>
    </xf>
    <xf numFmtId="179" fontId="16" fillId="0" borderId="0" xfId="0" applyNumberFormat="1" applyFont="1" applyAlignment="1">
      <alignment horizontal="center" vertical="center"/>
    </xf>
    <xf numFmtId="179" fontId="8" fillId="4" borderId="30" xfId="0" applyNumberFormat="1" applyFont="1" applyFill="1" applyBorder="1" applyAlignment="1">
      <alignment vertical="center"/>
    </xf>
    <xf numFmtId="179" fontId="8" fillId="4" borderId="32" xfId="0" applyNumberFormat="1" applyFont="1" applyFill="1" applyBorder="1" applyAlignment="1">
      <alignment horizontal="center" vertical="center"/>
    </xf>
    <xf numFmtId="179" fontId="17" fillId="10" borderId="53" xfId="0" applyNumberFormat="1" applyFont="1" applyFill="1" applyBorder="1" applyAlignment="1">
      <alignment horizontal="center" vertical="center"/>
    </xf>
    <xf numFmtId="179" fontId="30" fillId="0" borderId="14" xfId="2" applyNumberFormat="1" applyFont="1" applyFill="1" applyBorder="1" applyAlignment="1">
      <alignment vertical="center"/>
    </xf>
    <xf numFmtId="179" fontId="30" fillId="0" borderId="45" xfId="2" applyNumberFormat="1" applyFont="1" applyFill="1" applyBorder="1" applyAlignment="1">
      <alignment vertical="center"/>
    </xf>
    <xf numFmtId="179" fontId="8" fillId="0" borderId="54" xfId="0" applyNumberFormat="1" applyFont="1" applyBorder="1" applyAlignment="1">
      <alignment vertical="center"/>
    </xf>
    <xf numFmtId="179" fontId="17" fillId="0" borderId="54" xfId="0" applyNumberFormat="1" applyFont="1" applyBorder="1" applyAlignment="1">
      <alignment vertical="center"/>
    </xf>
    <xf numFmtId="179" fontId="75" fillId="0" borderId="23" xfId="2" applyNumberFormat="1" applyFont="1" applyFill="1" applyBorder="1" applyAlignment="1">
      <alignment horizontal="left" vertical="center" indent="1"/>
    </xf>
    <xf numFmtId="179" fontId="75" fillId="0" borderId="22" xfId="2" applyNumberFormat="1" applyFont="1" applyFill="1" applyBorder="1" applyAlignment="1">
      <alignment horizontal="left" vertical="center" indent="1"/>
    </xf>
    <xf numFmtId="179" fontId="75" fillId="0" borderId="3" xfId="2" applyNumberFormat="1" applyFont="1" applyFill="1" applyBorder="1" applyAlignment="1">
      <alignment horizontal="left" vertical="center" indent="1"/>
    </xf>
    <xf numFmtId="41" fontId="20" fillId="0" borderId="3" xfId="2" applyNumberFormat="1" applyFont="1" applyFill="1" applyBorder="1" applyAlignment="1">
      <alignment horizontal="center" vertical="center"/>
    </xf>
    <xf numFmtId="179" fontId="75" fillId="0" borderId="2" xfId="2" applyNumberFormat="1" applyFont="1" applyFill="1" applyBorder="1" applyAlignment="1">
      <alignment horizontal="left" vertical="center" indent="1"/>
    </xf>
    <xf numFmtId="179" fontId="17" fillId="0" borderId="55" xfId="0" applyNumberFormat="1" applyFont="1" applyBorder="1" applyAlignment="1">
      <alignment vertical="center"/>
    </xf>
    <xf numFmtId="179" fontId="74" fillId="0" borderId="16" xfId="2" applyNumberFormat="1" applyFont="1" applyFill="1" applyBorder="1" applyAlignment="1">
      <alignment horizontal="left" vertical="center" indent="1"/>
    </xf>
    <xf numFmtId="179" fontId="75" fillId="0" borderId="17" xfId="2" applyNumberFormat="1" applyFont="1" applyFill="1" applyBorder="1" applyAlignment="1">
      <alignment vertical="center"/>
    </xf>
    <xf numFmtId="179" fontId="29" fillId="3" borderId="43" xfId="0" applyNumberFormat="1" applyFont="1" applyFill="1" applyBorder="1" applyAlignment="1">
      <alignment vertical="center"/>
    </xf>
    <xf numFmtId="179" fontId="29" fillId="3" borderId="48" xfId="0" applyNumberFormat="1" applyFont="1" applyFill="1" applyBorder="1" applyAlignment="1">
      <alignment horizontal="center" vertical="center"/>
    </xf>
    <xf numFmtId="179" fontId="28" fillId="3" borderId="5" xfId="0" applyNumberFormat="1" applyFont="1" applyFill="1" applyBorder="1" applyAlignment="1">
      <alignment horizontal="center" vertical="center"/>
    </xf>
    <xf numFmtId="179" fontId="28" fillId="3" borderId="5" xfId="2" applyNumberFormat="1" applyFont="1" applyFill="1" applyBorder="1" applyAlignment="1">
      <alignment horizontal="right" vertical="center"/>
    </xf>
    <xf numFmtId="41" fontId="28" fillId="3" borderId="5" xfId="2" applyNumberFormat="1" applyFont="1" applyFill="1" applyBorder="1" applyAlignment="1">
      <alignment horizontal="right" vertical="center"/>
    </xf>
    <xf numFmtId="179" fontId="28" fillId="3" borderId="6" xfId="0" applyNumberFormat="1" applyFont="1" applyFill="1" applyBorder="1" applyAlignment="1">
      <alignment horizontal="center" vertical="center"/>
    </xf>
    <xf numFmtId="179" fontId="20" fillId="0" borderId="49" xfId="0" applyNumberFormat="1" applyFont="1" applyBorder="1" applyAlignment="1">
      <alignment vertical="center"/>
    </xf>
    <xf numFmtId="179" fontId="22" fillId="0" borderId="47" xfId="0" applyNumberFormat="1" applyFont="1" applyBorder="1" applyAlignment="1">
      <alignment horizontal="center" vertical="center"/>
    </xf>
    <xf numFmtId="179" fontId="17" fillId="0" borderId="54" xfId="0" quotePrefix="1" applyNumberFormat="1" applyFont="1" applyBorder="1" applyAlignment="1">
      <alignment horizontal="center" vertical="center"/>
    </xf>
    <xf numFmtId="179" fontId="17" fillId="0" borderId="23" xfId="0" applyNumberFormat="1" applyFont="1" applyBorder="1" applyAlignment="1">
      <alignment horizontal="left" vertical="center"/>
    </xf>
    <xf numFmtId="179" fontId="17" fillId="0" borderId="23" xfId="0" applyNumberFormat="1" applyFont="1" applyBorder="1" applyAlignment="1">
      <alignment vertical="center"/>
    </xf>
    <xf numFmtId="41" fontId="8" fillId="0" borderId="23" xfId="2" applyNumberFormat="1" applyFont="1" applyBorder="1" applyAlignment="1">
      <alignment vertical="center"/>
    </xf>
    <xf numFmtId="179" fontId="8" fillId="0" borderId="53" xfId="0" applyNumberFormat="1" applyFont="1" applyBorder="1" applyAlignment="1">
      <alignment vertical="center"/>
    </xf>
    <xf numFmtId="179" fontId="17" fillId="0" borderId="18" xfId="0" applyNumberFormat="1" applyFont="1" applyBorder="1" applyAlignment="1">
      <alignment horizontal="left" vertical="center"/>
    </xf>
    <xf numFmtId="179" fontId="17" fillId="0" borderId="14" xfId="1" applyNumberFormat="1" applyFont="1" applyFill="1" applyBorder="1" applyAlignment="1">
      <alignment horizontal="center" vertical="center"/>
    </xf>
    <xf numFmtId="179" fontId="18" fillId="0" borderId="15" xfId="0" applyNumberFormat="1" applyFont="1" applyBorder="1" applyAlignment="1">
      <alignment horizontal="center" vertical="center"/>
    </xf>
    <xf numFmtId="181" fontId="17" fillId="0" borderId="14" xfId="1" applyNumberFormat="1" applyFont="1" applyFill="1" applyBorder="1" applyAlignment="1">
      <alignment horizontal="center" vertical="center"/>
    </xf>
    <xf numFmtId="179" fontId="17" fillId="0" borderId="22" xfId="2" applyNumberFormat="1" applyFont="1" applyFill="1" applyBorder="1" applyAlignment="1">
      <alignment horizontal="left" vertical="center"/>
    </xf>
    <xf numFmtId="179" fontId="16" fillId="0" borderId="54" xfId="0" applyNumberFormat="1" applyFont="1" applyBorder="1" applyAlignment="1">
      <alignment vertical="center"/>
    </xf>
    <xf numFmtId="179" fontId="20" fillId="0" borderId="23" xfId="0" applyNumberFormat="1" applyFont="1" applyBorder="1" applyAlignment="1">
      <alignment horizontal="center" vertical="center"/>
    </xf>
    <xf numFmtId="179" fontId="16" fillId="0" borderId="50" xfId="0" applyNumberFormat="1" applyFont="1" applyBorder="1" applyAlignment="1">
      <alignment vertical="center"/>
    </xf>
    <xf numFmtId="179" fontId="20" fillId="0" borderId="44" xfId="0" applyNumberFormat="1" applyFont="1" applyBorder="1" applyAlignment="1">
      <alignment horizontal="center" vertical="center"/>
    </xf>
    <xf numFmtId="179" fontId="20" fillId="0" borderId="28" xfId="0" applyNumberFormat="1" applyFont="1" applyBorder="1" applyAlignment="1">
      <alignment horizontal="center" vertical="center"/>
    </xf>
    <xf numFmtId="179" fontId="20" fillId="0" borderId="28" xfId="2" applyNumberFormat="1" applyFont="1" applyFill="1" applyBorder="1" applyAlignment="1">
      <alignment horizontal="right" vertical="center"/>
    </xf>
    <xf numFmtId="41" fontId="20" fillId="0" borderId="52" xfId="2" applyNumberFormat="1" applyFont="1" applyFill="1" applyBorder="1" applyAlignment="1">
      <alignment horizontal="left" vertical="center"/>
    </xf>
    <xf numFmtId="41" fontId="20" fillId="0" borderId="51" xfId="2" applyNumberFormat="1" applyFont="1" applyFill="1" applyBorder="1" applyAlignment="1">
      <alignment horizontal="right" vertical="center"/>
    </xf>
    <xf numFmtId="41" fontId="20" fillId="0" borderId="44" xfId="2" applyNumberFormat="1" applyFont="1" applyFill="1" applyBorder="1" applyAlignment="1">
      <alignment horizontal="right" vertical="center"/>
    </xf>
    <xf numFmtId="41" fontId="20" fillId="0" borderId="28" xfId="2" applyNumberFormat="1" applyFont="1" applyFill="1" applyBorder="1" applyAlignment="1">
      <alignment horizontal="right" vertical="center"/>
    </xf>
    <xf numFmtId="179" fontId="20" fillId="0" borderId="42" xfId="0" applyNumberFormat="1" applyFont="1" applyBorder="1" applyAlignment="1">
      <alignment horizontal="center" vertical="center"/>
    </xf>
    <xf numFmtId="179" fontId="20" fillId="0" borderId="7" xfId="0" applyNumberFormat="1" applyFont="1" applyBorder="1" applyAlignment="1">
      <alignment vertical="center"/>
    </xf>
    <xf numFmtId="179" fontId="17" fillId="0" borderId="40" xfId="0" applyNumberFormat="1" applyFont="1" applyBorder="1" applyAlignment="1">
      <alignment horizontal="center" vertical="center"/>
    </xf>
    <xf numFmtId="179" fontId="8" fillId="0" borderId="2" xfId="0" applyNumberFormat="1" applyFont="1" applyBorder="1" applyAlignment="1">
      <alignment vertical="center"/>
    </xf>
    <xf numFmtId="182" fontId="8" fillId="0" borderId="0" xfId="2" applyNumberFormat="1" applyFont="1" applyFill="1" applyAlignment="1">
      <alignment vertical="center"/>
    </xf>
    <xf numFmtId="184" fontId="18" fillId="0" borderId="3" xfId="0" applyNumberFormat="1" applyFont="1" applyBorder="1" applyAlignment="1">
      <alignment horizontal="center" vertical="center"/>
    </xf>
    <xf numFmtId="215" fontId="18" fillId="0" borderId="4" xfId="0" applyNumberFormat="1" applyFont="1" applyBorder="1" applyAlignment="1">
      <alignment horizontal="center" vertical="center"/>
    </xf>
    <xf numFmtId="43" fontId="0" fillId="0" borderId="0" xfId="0" applyNumberFormat="1"/>
    <xf numFmtId="181" fontId="17" fillId="0" borderId="3" xfId="1" applyNumberFormat="1" applyFont="1" applyFill="1" applyBorder="1" applyAlignment="1">
      <alignment horizontal="center" vertical="center"/>
    </xf>
    <xf numFmtId="179" fontId="17" fillId="0" borderId="4" xfId="2" applyNumberFormat="1" applyFont="1" applyBorder="1" applyAlignment="1">
      <alignment horizontal="right" vertical="center"/>
    </xf>
    <xf numFmtId="179" fontId="17" fillId="0" borderId="42" xfId="2" applyNumberFormat="1" applyFont="1" applyBorder="1" applyAlignment="1">
      <alignment horizontal="right" vertical="center"/>
    </xf>
    <xf numFmtId="217" fontId="8" fillId="0" borderId="0" xfId="2" applyNumberFormat="1" applyFont="1" applyFill="1" applyAlignment="1">
      <alignment vertical="center"/>
    </xf>
    <xf numFmtId="41" fontId="17" fillId="0" borderId="3" xfId="2" applyNumberFormat="1" applyFont="1" applyBorder="1" applyAlignment="1">
      <alignment vertical="center"/>
    </xf>
    <xf numFmtId="0" fontId="0" fillId="0" borderId="0" xfId="0" applyAlignment="1">
      <alignment vertical="center"/>
    </xf>
    <xf numFmtId="216" fontId="8" fillId="0" borderId="0" xfId="0" applyNumberFormat="1" applyFont="1" applyAlignment="1">
      <alignment vertical="center"/>
    </xf>
    <xf numFmtId="179" fontId="19" fillId="0" borderId="0" xfId="2" applyNumberFormat="1" applyFont="1" applyFill="1" applyBorder="1" applyAlignment="1">
      <alignment horizontal="center" vertical="center"/>
    </xf>
    <xf numFmtId="179" fontId="20" fillId="4" borderId="9" xfId="2" applyNumberFormat="1" applyFont="1" applyFill="1" applyBorder="1" applyAlignment="1">
      <alignment horizontal="center" vertical="center"/>
    </xf>
    <xf numFmtId="179" fontId="20" fillId="4" borderId="10" xfId="2" applyNumberFormat="1" applyFont="1" applyFill="1" applyBorder="1" applyAlignment="1">
      <alignment horizontal="center" vertical="center"/>
    </xf>
    <xf numFmtId="0" fontId="77" fillId="11" borderId="0" xfId="185" applyFont="1" applyFill="1">
      <alignment vertical="center"/>
    </xf>
    <xf numFmtId="0" fontId="77" fillId="11" borderId="3" xfId="185" applyFont="1" applyFill="1" applyBorder="1">
      <alignment vertical="center"/>
    </xf>
    <xf numFmtId="0" fontId="77" fillId="11" borderId="0" xfId="185" applyFont="1" applyFill="1" applyAlignment="1">
      <alignment horizontal="left" vertical="center" indent="1"/>
    </xf>
    <xf numFmtId="0" fontId="77" fillId="11" borderId="22" xfId="185" applyFont="1" applyFill="1" applyBorder="1">
      <alignment vertical="center"/>
    </xf>
    <xf numFmtId="0" fontId="77" fillId="11" borderId="23" xfId="185" applyFont="1" applyFill="1" applyBorder="1">
      <alignment vertical="center"/>
    </xf>
    <xf numFmtId="0" fontId="77" fillId="11" borderId="3" xfId="185" applyFont="1" applyFill="1" applyBorder="1" applyAlignment="1">
      <alignment horizontal="center" vertical="center"/>
    </xf>
    <xf numFmtId="41" fontId="77" fillId="11" borderId="3" xfId="185" applyNumberFormat="1" applyFont="1" applyFill="1" applyBorder="1" applyAlignment="1">
      <alignment horizontal="center" vertical="center"/>
    </xf>
    <xf numFmtId="41" fontId="77" fillId="11" borderId="0" xfId="185" applyNumberFormat="1" applyFont="1" applyFill="1">
      <alignment vertical="center"/>
    </xf>
    <xf numFmtId="0" fontId="77" fillId="11" borderId="17" xfId="185" applyFont="1" applyFill="1" applyBorder="1" applyAlignment="1">
      <alignment horizontal="center" vertical="center"/>
    </xf>
    <xf numFmtId="42" fontId="77" fillId="11" borderId="22" xfId="186" applyFont="1" applyFill="1" applyBorder="1">
      <alignment vertical="center"/>
    </xf>
    <xf numFmtId="218" fontId="77" fillId="11" borderId="0" xfId="2" applyNumberFormat="1" applyFont="1" applyFill="1" applyAlignment="1">
      <alignment vertical="center"/>
    </xf>
    <xf numFmtId="10" fontId="77" fillId="11" borderId="0" xfId="187" applyNumberFormat="1" applyFont="1" applyFill="1">
      <alignment vertical="center"/>
    </xf>
    <xf numFmtId="218" fontId="77" fillId="11" borderId="0" xfId="185" applyNumberFormat="1" applyFont="1" applyFill="1">
      <alignment vertical="center"/>
    </xf>
    <xf numFmtId="49" fontId="17" fillId="0" borderId="0" xfId="0" applyNumberFormat="1" applyFont="1" applyAlignment="1">
      <alignment horizontal="left" vertical="center"/>
    </xf>
    <xf numFmtId="0" fontId="80" fillId="0" borderId="61" xfId="0" applyFont="1" applyBorder="1" applyAlignment="1">
      <alignment vertical="center"/>
    </xf>
    <xf numFmtId="0" fontId="81" fillId="0" borderId="61" xfId="0" applyFont="1" applyBorder="1" applyAlignment="1">
      <alignment horizontal="right" vertical="center"/>
    </xf>
    <xf numFmtId="0" fontId="82" fillId="0" borderId="62" xfId="0" applyFont="1" applyBorder="1" applyAlignment="1">
      <alignment horizontal="center" vertical="center" wrapText="1"/>
    </xf>
    <xf numFmtId="0" fontId="82" fillId="0" borderId="63" xfId="0" applyFont="1" applyBorder="1" applyAlignment="1">
      <alignment horizontal="center" vertical="center" wrapText="1"/>
    </xf>
    <xf numFmtId="41" fontId="82" fillId="0" borderId="3" xfId="0" applyNumberFormat="1" applyFont="1" applyBorder="1" applyAlignment="1">
      <alignment horizontal="center" vertical="center"/>
    </xf>
    <xf numFmtId="0" fontId="82" fillId="0" borderId="64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2" fillId="0" borderId="65" xfId="0" applyFont="1" applyBorder="1" applyAlignment="1">
      <alignment horizontal="center" vertical="center"/>
    </xf>
    <xf numFmtId="218" fontId="82" fillId="0" borderId="66" xfId="0" applyNumberFormat="1" applyFont="1" applyBorder="1" applyAlignment="1">
      <alignment horizontal="right" vertical="center"/>
    </xf>
    <xf numFmtId="41" fontId="28" fillId="0" borderId="14" xfId="2" applyNumberFormat="1" applyFont="1" applyFill="1" applyBorder="1" applyAlignment="1">
      <alignment horizontal="right" vertical="center"/>
    </xf>
    <xf numFmtId="179" fontId="31" fillId="0" borderId="15" xfId="0" applyNumberFormat="1" applyFont="1" applyBorder="1" applyAlignment="1">
      <alignment horizontal="center" vertical="center"/>
    </xf>
    <xf numFmtId="179" fontId="84" fillId="0" borderId="0" xfId="0" applyNumberFormat="1" applyFont="1" applyAlignment="1">
      <alignment vertical="center"/>
    </xf>
    <xf numFmtId="179" fontId="76" fillId="0" borderId="0" xfId="2" applyNumberFormat="1" applyFont="1" applyFill="1" applyBorder="1" applyAlignment="1">
      <alignment horizontal="center" vertical="center"/>
    </xf>
    <xf numFmtId="41" fontId="17" fillId="4" borderId="5" xfId="2" applyNumberFormat="1" applyFont="1" applyFill="1" applyBorder="1" applyAlignment="1">
      <alignment horizontal="center" vertical="center"/>
    </xf>
    <xf numFmtId="41" fontId="17" fillId="4" borderId="5" xfId="2" applyNumberFormat="1" applyFont="1" applyFill="1" applyBorder="1" applyAlignment="1">
      <alignment horizontal="center" vertical="center" wrapText="1"/>
    </xf>
    <xf numFmtId="179" fontId="28" fillId="4" borderId="6" xfId="0" applyNumberFormat="1" applyFont="1" applyFill="1" applyBorder="1" applyAlignment="1">
      <alignment horizontal="center" vertical="center"/>
    </xf>
    <xf numFmtId="179" fontId="17" fillId="0" borderId="36" xfId="0" applyNumberFormat="1" applyFont="1" applyBorder="1" applyAlignment="1">
      <alignment horizontal="right" vertical="center"/>
    </xf>
    <xf numFmtId="41" fontId="20" fillId="0" borderId="38" xfId="2" applyNumberFormat="1" applyFont="1" applyBorder="1" applyAlignment="1">
      <alignment vertical="center"/>
    </xf>
    <xf numFmtId="41" fontId="20" fillId="0" borderId="36" xfId="2" applyNumberFormat="1" applyFont="1" applyBorder="1" applyAlignment="1">
      <alignment vertical="center"/>
    </xf>
    <xf numFmtId="41" fontId="20" fillId="0" borderId="14" xfId="0" applyNumberFormat="1" applyFont="1" applyBorder="1" applyAlignment="1">
      <alignment horizontal="right" vertical="center"/>
    </xf>
    <xf numFmtId="41" fontId="20" fillId="0" borderId="14" xfId="0" applyNumberFormat="1" applyFont="1" applyBorder="1" applyAlignment="1">
      <alignment vertical="center"/>
    </xf>
    <xf numFmtId="41" fontId="17" fillId="0" borderId="22" xfId="2" applyNumberFormat="1" applyFont="1" applyBorder="1" applyAlignment="1">
      <alignment vertical="center"/>
    </xf>
    <xf numFmtId="41" fontId="17" fillId="0" borderId="3" xfId="0" applyNumberFormat="1" applyFont="1" applyBorder="1" applyAlignment="1">
      <alignment horizontal="right" vertical="center"/>
    </xf>
    <xf numFmtId="41" fontId="17" fillId="0" borderId="22" xfId="2" applyNumberFormat="1" applyFont="1" applyFill="1" applyBorder="1" applyAlignment="1">
      <alignment vertical="center"/>
    </xf>
    <xf numFmtId="41" fontId="17" fillId="0" borderId="2" xfId="2" applyNumberFormat="1" applyFont="1" applyFill="1" applyBorder="1" applyAlignment="1">
      <alignment vertical="center"/>
    </xf>
    <xf numFmtId="41" fontId="17" fillId="0" borderId="3" xfId="2" applyNumberFormat="1" applyFont="1" applyFill="1" applyBorder="1" applyAlignment="1">
      <alignment vertical="center"/>
    </xf>
    <xf numFmtId="179" fontId="17" fillId="0" borderId="2" xfId="2" applyNumberFormat="1" applyFont="1" applyFill="1" applyBorder="1" applyAlignment="1">
      <alignment vertical="center"/>
    </xf>
    <xf numFmtId="179" fontId="17" fillId="0" borderId="3" xfId="2" applyNumberFormat="1" applyFont="1" applyFill="1" applyBorder="1" applyAlignment="1">
      <alignment vertical="center"/>
    </xf>
    <xf numFmtId="41" fontId="20" fillId="0" borderId="22" xfId="2" applyNumberFormat="1" applyFont="1" applyFill="1" applyBorder="1" applyAlignment="1">
      <alignment vertical="center"/>
    </xf>
    <xf numFmtId="41" fontId="20" fillId="0" borderId="2" xfId="2" applyNumberFormat="1" applyFont="1" applyFill="1" applyBorder="1" applyAlignment="1">
      <alignment vertical="center"/>
    </xf>
    <xf numFmtId="41" fontId="20" fillId="0" borderId="3" xfId="2" applyNumberFormat="1" applyFont="1" applyFill="1" applyBorder="1" applyAlignment="1">
      <alignment vertical="center"/>
    </xf>
    <xf numFmtId="41" fontId="20" fillId="0" borderId="3" xfId="0" applyNumberFormat="1" applyFont="1" applyBorder="1" applyAlignment="1">
      <alignment horizontal="right" vertical="center"/>
    </xf>
    <xf numFmtId="41" fontId="20" fillId="0" borderId="3" xfId="0" applyNumberFormat="1" applyFont="1" applyBorder="1" applyAlignment="1">
      <alignment vertical="center"/>
    </xf>
    <xf numFmtId="179" fontId="16" fillId="0" borderId="55" xfId="0" applyNumberFormat="1" applyFont="1" applyBorder="1" applyAlignment="1">
      <alignment vertical="center"/>
    </xf>
    <xf numFmtId="179" fontId="20" fillId="0" borderId="60" xfId="0" applyNumberFormat="1" applyFont="1" applyBorder="1" applyAlignment="1">
      <alignment horizontal="center" vertical="center"/>
    </xf>
    <xf numFmtId="179" fontId="20" fillId="0" borderId="17" xfId="0" applyNumberFormat="1" applyFont="1" applyBorder="1" applyAlignment="1">
      <alignment horizontal="center" vertical="center"/>
    </xf>
    <xf numFmtId="179" fontId="20" fillId="0" borderId="17" xfId="2" applyNumberFormat="1" applyFont="1" applyFill="1" applyBorder="1" applyAlignment="1">
      <alignment horizontal="right" vertical="center"/>
    </xf>
    <xf numFmtId="179" fontId="20" fillId="0" borderId="20" xfId="0" applyNumberFormat="1" applyFont="1" applyBorder="1" applyAlignment="1">
      <alignment horizontal="center" vertical="center"/>
    </xf>
    <xf numFmtId="41" fontId="20" fillId="0" borderId="52" xfId="2" applyNumberFormat="1" applyFont="1" applyFill="1" applyBorder="1" applyAlignment="1">
      <alignment vertical="center"/>
    </xf>
    <xf numFmtId="41" fontId="20" fillId="0" borderId="51" xfId="2" applyNumberFormat="1" applyFont="1" applyFill="1" applyBorder="1" applyAlignment="1">
      <alignment vertical="center"/>
    </xf>
    <xf numFmtId="41" fontId="20" fillId="0" borderId="28" xfId="2" applyNumberFormat="1" applyFont="1" applyFill="1" applyBorder="1" applyAlignment="1">
      <alignment vertical="center"/>
    </xf>
    <xf numFmtId="41" fontId="20" fillId="0" borderId="28" xfId="0" applyNumberFormat="1" applyFont="1" applyBorder="1" applyAlignment="1">
      <alignment horizontal="right" vertical="center"/>
    </xf>
    <xf numFmtId="41" fontId="20" fillId="0" borderId="28" xfId="0" applyNumberFormat="1" applyFont="1" applyBorder="1" applyAlignment="1">
      <alignment vertical="center"/>
    </xf>
    <xf numFmtId="0" fontId="84" fillId="0" borderId="0" xfId="0" applyFont="1"/>
    <xf numFmtId="0" fontId="85" fillId="0" borderId="0" xfId="0" applyFont="1"/>
    <xf numFmtId="49" fontId="18" fillId="0" borderId="22" xfId="0" applyNumberFormat="1" applyFont="1" applyBorder="1" applyAlignment="1">
      <alignment horizontal="centerContinuous" vertical="center"/>
    </xf>
    <xf numFmtId="49" fontId="18" fillId="0" borderId="23" xfId="0" applyNumberFormat="1" applyFont="1" applyBorder="1" applyAlignment="1">
      <alignment horizontal="centerContinuous" vertical="center"/>
    </xf>
    <xf numFmtId="49" fontId="18" fillId="0" borderId="17" xfId="0" applyNumberFormat="1" applyFont="1" applyBorder="1" applyAlignment="1">
      <alignment horizontal="center" vertical="center"/>
    </xf>
    <xf numFmtId="49" fontId="18" fillId="0" borderId="14" xfId="0" applyNumberFormat="1" applyFont="1" applyBorder="1" applyAlignment="1">
      <alignment horizontal="center" vertical="center"/>
    </xf>
    <xf numFmtId="49" fontId="25" fillId="0" borderId="3" xfId="0" applyNumberFormat="1" applyFont="1" applyBorder="1" applyAlignment="1">
      <alignment horizontal="left" vertical="center"/>
    </xf>
    <xf numFmtId="184" fontId="18" fillId="0" borderId="3" xfId="0" applyNumberFormat="1" applyFont="1" applyBorder="1" applyAlignment="1">
      <alignment horizontal="right" vertical="center"/>
    </xf>
    <xf numFmtId="41" fontId="18" fillId="0" borderId="3" xfId="0" applyNumberFormat="1" applyFont="1" applyBorder="1" applyAlignment="1">
      <alignment horizontal="left" vertical="center"/>
    </xf>
    <xf numFmtId="41" fontId="0" fillId="0" borderId="0" xfId="0" applyNumberFormat="1"/>
    <xf numFmtId="219" fontId="18" fillId="0" borderId="3" xfId="0" applyNumberFormat="1" applyFont="1" applyBorder="1" applyAlignment="1">
      <alignment horizontal="center" vertical="center"/>
    </xf>
    <xf numFmtId="219" fontId="18" fillId="0" borderId="3" xfId="0" applyNumberFormat="1" applyFont="1" applyBorder="1" applyAlignment="1">
      <alignment horizontal="right" vertical="center"/>
    </xf>
    <xf numFmtId="0" fontId="0" fillId="5" borderId="0" xfId="0" applyFill="1"/>
    <xf numFmtId="184" fontId="25" fillId="0" borderId="3" xfId="0" applyNumberFormat="1" applyFont="1" applyBorder="1" applyAlignment="1">
      <alignment horizontal="right" vertical="center"/>
    </xf>
    <xf numFmtId="49" fontId="25" fillId="0" borderId="3" xfId="0" applyNumberFormat="1" applyFont="1" applyBorder="1" applyAlignment="1">
      <alignment horizontal="center" vertical="center"/>
    </xf>
    <xf numFmtId="41" fontId="25" fillId="0" borderId="3" xfId="0" applyNumberFormat="1" applyFont="1" applyBorder="1" applyAlignment="1">
      <alignment horizontal="right" vertical="center"/>
    </xf>
    <xf numFmtId="41" fontId="25" fillId="0" borderId="3" xfId="0" applyNumberFormat="1" applyFont="1" applyBorder="1" applyAlignment="1">
      <alignment horizontal="left" vertical="center"/>
    </xf>
    <xf numFmtId="0" fontId="86" fillId="0" borderId="0" xfId="0" applyFont="1"/>
    <xf numFmtId="10" fontId="18" fillId="0" borderId="16" xfId="0" applyNumberFormat="1" applyFont="1" applyBorder="1" applyAlignment="1">
      <alignment horizontal="right" vertical="center"/>
    </xf>
    <xf numFmtId="179" fontId="17" fillId="0" borderId="0" xfId="2" applyNumberFormat="1" applyFont="1" applyFill="1" applyBorder="1" applyAlignment="1">
      <alignment horizontal="right"/>
    </xf>
    <xf numFmtId="0" fontId="89" fillId="0" borderId="0" xfId="189" applyFont="1">
      <alignment vertical="center"/>
    </xf>
    <xf numFmtId="0" fontId="90" fillId="0" borderId="0" xfId="189" applyFont="1">
      <alignment vertical="center"/>
    </xf>
    <xf numFmtId="41" fontId="32" fillId="0" borderId="0" xfId="129" applyFont="1" applyBorder="1" applyAlignment="1">
      <alignment horizontal="center" vertical="center" shrinkToFit="1"/>
    </xf>
    <xf numFmtId="0" fontId="91" fillId="0" borderId="26" xfId="129" applyNumberFormat="1" applyFont="1" applyBorder="1" applyAlignment="1">
      <alignment horizontal="right" shrinkToFit="1"/>
    </xf>
    <xf numFmtId="0" fontId="92" fillId="0" borderId="0" xfId="144" applyFont="1" applyAlignment="1">
      <alignment horizontal="center" vertical="center" shrinkToFit="1"/>
    </xf>
    <xf numFmtId="0" fontId="88" fillId="0" borderId="68" xfId="189" applyBorder="1" applyAlignment="1">
      <alignment horizontal="center" vertical="center"/>
    </xf>
    <xf numFmtId="0" fontId="88" fillId="0" borderId="14" xfId="189" applyBorder="1" applyAlignment="1">
      <alignment horizontal="center" vertical="center"/>
    </xf>
    <xf numFmtId="0" fontId="88" fillId="0" borderId="3" xfId="189" applyBorder="1" applyAlignment="1">
      <alignment horizontal="center" vertical="center"/>
    </xf>
    <xf numFmtId="0" fontId="94" fillId="0" borderId="4" xfId="189" applyFont="1" applyBorder="1" applyAlignment="1">
      <alignment horizontal="center" vertical="center"/>
    </xf>
    <xf numFmtId="0" fontId="88" fillId="0" borderId="0" xfId="189">
      <alignment vertical="center"/>
    </xf>
    <xf numFmtId="0" fontId="88" fillId="0" borderId="21" xfId="189" applyBorder="1" applyAlignment="1">
      <alignment horizontal="center" vertical="center"/>
    </xf>
    <xf numFmtId="220" fontId="88" fillId="0" borderId="3" xfId="189" applyNumberFormat="1" applyBorder="1" applyAlignment="1">
      <alignment horizontal="center" vertical="center"/>
    </xf>
    <xf numFmtId="0" fontId="95" fillId="0" borderId="4" xfId="189" applyFont="1" applyBorder="1" applyAlignment="1">
      <alignment horizontal="center" vertical="center"/>
    </xf>
    <xf numFmtId="0" fontId="88" fillId="0" borderId="17" xfId="189" applyBorder="1" applyAlignment="1">
      <alignment horizontal="center" vertical="center"/>
    </xf>
    <xf numFmtId="220" fontId="88" fillId="0" borderId="17" xfId="189" applyNumberFormat="1" applyBorder="1" applyAlignment="1">
      <alignment horizontal="center" vertical="center"/>
    </xf>
    <xf numFmtId="0" fontId="94" fillId="0" borderId="20" xfId="189" applyFont="1" applyBorder="1" applyAlignment="1">
      <alignment horizontal="center" vertical="center"/>
    </xf>
    <xf numFmtId="0" fontId="88" fillId="0" borderId="69" xfId="189" applyBorder="1" applyAlignment="1">
      <alignment horizontal="center" vertical="center"/>
    </xf>
    <xf numFmtId="0" fontId="94" fillId="0" borderId="17" xfId="189" applyFont="1" applyBorder="1" applyAlignment="1">
      <alignment horizontal="center" vertical="center"/>
    </xf>
    <xf numFmtId="0" fontId="88" fillId="0" borderId="0" xfId="189" applyAlignment="1">
      <alignment horizontal="center" vertical="center"/>
    </xf>
    <xf numFmtId="0" fontId="88" fillId="0" borderId="41" xfId="189" applyBorder="1" applyAlignment="1">
      <alignment horizontal="center" vertical="center"/>
    </xf>
    <xf numFmtId="0" fontId="94" fillId="0" borderId="28" xfId="189" applyFont="1" applyBorder="1" applyAlignment="1">
      <alignment horizontal="center" vertical="center"/>
    </xf>
    <xf numFmtId="0" fontId="88" fillId="0" borderId="28" xfId="189" applyBorder="1" applyAlignment="1">
      <alignment horizontal="center" vertical="center" wrapText="1"/>
    </xf>
    <xf numFmtId="220" fontId="88" fillId="0" borderId="28" xfId="189" applyNumberFormat="1" applyBorder="1" applyAlignment="1">
      <alignment horizontal="center" vertical="center" wrapText="1"/>
    </xf>
    <xf numFmtId="0" fontId="88" fillId="0" borderId="28" xfId="189" applyBorder="1" applyAlignment="1">
      <alignment horizontal="center" vertical="center"/>
    </xf>
    <xf numFmtId="0" fontId="94" fillId="0" borderId="42" xfId="189" applyFont="1" applyBorder="1" applyAlignment="1">
      <alignment horizontal="center" vertical="center"/>
    </xf>
    <xf numFmtId="49" fontId="17" fillId="0" borderId="0" xfId="0" applyNumberFormat="1" applyFont="1" applyAlignment="1">
      <alignment horizontal="right" vertical="center"/>
    </xf>
    <xf numFmtId="0" fontId="88" fillId="12" borderId="0" xfId="189" applyFill="1">
      <alignment vertical="center"/>
    </xf>
    <xf numFmtId="0" fontId="88" fillId="13" borderId="0" xfId="189" applyFill="1">
      <alignment vertical="center"/>
    </xf>
    <xf numFmtId="0" fontId="96" fillId="14" borderId="0" xfId="189" applyFont="1" applyFill="1">
      <alignment vertical="center"/>
    </xf>
    <xf numFmtId="0" fontId="96" fillId="3" borderId="0" xfId="189" applyFont="1" applyFill="1">
      <alignment vertical="center"/>
    </xf>
    <xf numFmtId="0" fontId="97" fillId="0" borderId="21" xfId="189" applyFont="1" applyBorder="1" applyAlignment="1">
      <alignment horizontal="center" vertical="center"/>
    </xf>
    <xf numFmtId="0" fontId="97" fillId="0" borderId="3" xfId="189" applyFont="1" applyBorder="1" applyAlignment="1">
      <alignment horizontal="center" vertical="center"/>
    </xf>
    <xf numFmtId="0" fontId="9" fillId="0" borderId="4" xfId="189" applyFont="1" applyBorder="1" applyAlignment="1">
      <alignment horizontal="center" vertical="center"/>
    </xf>
    <xf numFmtId="0" fontId="95" fillId="0" borderId="20" xfId="189" applyFont="1" applyBorder="1" applyAlignment="1">
      <alignment horizontal="center" vertical="center"/>
    </xf>
    <xf numFmtId="41" fontId="18" fillId="0" borderId="3" xfId="0" applyNumberFormat="1" applyFont="1" applyBorder="1" applyAlignment="1">
      <alignment horizontal="center" vertical="center"/>
    </xf>
    <xf numFmtId="179" fontId="20" fillId="0" borderId="0" xfId="0" applyNumberFormat="1" applyFont="1" applyAlignment="1">
      <alignment horizontal="left" vertical="center"/>
    </xf>
    <xf numFmtId="184" fontId="0" fillId="0" borderId="0" xfId="0" applyNumberFormat="1"/>
    <xf numFmtId="184" fontId="0" fillId="0" borderId="0" xfId="0" applyNumberFormat="1" applyAlignment="1">
      <alignment horizontal="center"/>
    </xf>
    <xf numFmtId="184" fontId="85" fillId="0" borderId="0" xfId="0" applyNumberFormat="1" applyFont="1" applyAlignment="1">
      <alignment horizontal="center"/>
    </xf>
    <xf numFmtId="179" fontId="98" fillId="2" borderId="0" xfId="0" applyNumberFormat="1" applyFont="1" applyFill="1" applyAlignment="1">
      <alignment vertical="center"/>
    </xf>
    <xf numFmtId="0" fontId="91" fillId="0" borderId="26" xfId="129" applyNumberFormat="1" applyFont="1" applyBorder="1" applyAlignment="1">
      <alignment horizontal="center" vertical="center" shrinkToFit="1"/>
    </xf>
    <xf numFmtId="0" fontId="82" fillId="0" borderId="72" xfId="0" applyFont="1" applyBorder="1" applyAlignment="1">
      <alignment horizontal="center" vertical="center"/>
    </xf>
    <xf numFmtId="0" fontId="82" fillId="0" borderId="73" xfId="0" applyFont="1" applyBorder="1" applyAlignment="1">
      <alignment horizontal="center" vertical="center"/>
    </xf>
    <xf numFmtId="41" fontId="77" fillId="11" borderId="3" xfId="185" applyNumberFormat="1" applyFont="1" applyFill="1" applyBorder="1">
      <alignment vertical="center"/>
    </xf>
    <xf numFmtId="49" fontId="26" fillId="0" borderId="12" xfId="0" applyNumberFormat="1" applyFont="1" applyBorder="1" applyAlignment="1">
      <alignment horizontal="centerContinuous" vertical="center"/>
    </xf>
    <xf numFmtId="49" fontId="26" fillId="0" borderId="18" xfId="0" applyNumberFormat="1" applyFont="1" applyBorder="1" applyAlignment="1">
      <alignment horizontal="centerContinuous" vertical="center"/>
    </xf>
    <xf numFmtId="49" fontId="18" fillId="0" borderId="13" xfId="0" applyNumberFormat="1" applyFont="1" applyBorder="1" applyAlignment="1">
      <alignment horizontal="left" vertical="center"/>
    </xf>
    <xf numFmtId="49" fontId="26" fillId="0" borderId="13" xfId="0" applyNumberFormat="1" applyFont="1" applyBorder="1" applyAlignment="1">
      <alignment horizontal="left" vertical="center"/>
    </xf>
    <xf numFmtId="179" fontId="21" fillId="0" borderId="31" xfId="0" applyNumberFormat="1" applyFont="1" applyBorder="1" applyAlignment="1">
      <alignment horizontal="center" vertical="center"/>
    </xf>
    <xf numFmtId="179" fontId="21" fillId="0" borderId="0" xfId="0" applyNumberFormat="1" applyFont="1" applyAlignment="1">
      <alignment horizontal="center" vertical="center"/>
    </xf>
    <xf numFmtId="179" fontId="21" fillId="0" borderId="26" xfId="0" applyNumberFormat="1" applyFont="1" applyBorder="1" applyAlignment="1">
      <alignment horizontal="center" vertical="center"/>
    </xf>
    <xf numFmtId="0" fontId="77" fillId="11" borderId="17" xfId="185" applyFont="1" applyFill="1" applyBorder="1" applyAlignment="1">
      <alignment horizontal="center" vertical="center"/>
    </xf>
    <xf numFmtId="0" fontId="77" fillId="11" borderId="14" xfId="185" applyFont="1" applyFill="1" applyBorder="1" applyAlignment="1">
      <alignment horizontal="center" vertical="center"/>
    </xf>
    <xf numFmtId="0" fontId="77" fillId="11" borderId="22" xfId="185" applyFont="1" applyFill="1" applyBorder="1" applyAlignment="1">
      <alignment horizontal="center" vertical="center"/>
    </xf>
    <xf numFmtId="0" fontId="77" fillId="11" borderId="23" xfId="185" applyFont="1" applyFill="1" applyBorder="1" applyAlignment="1">
      <alignment horizontal="center" vertical="center"/>
    </xf>
    <xf numFmtId="0" fontId="77" fillId="11" borderId="59" xfId="185" applyFont="1" applyFill="1" applyBorder="1" applyAlignment="1">
      <alignment horizontal="center" vertical="center"/>
    </xf>
    <xf numFmtId="0" fontId="77" fillId="11" borderId="60" xfId="185" applyFont="1" applyFill="1" applyBorder="1" applyAlignment="1">
      <alignment horizontal="center" vertical="center"/>
    </xf>
    <xf numFmtId="0" fontId="77" fillId="11" borderId="70" xfId="185" applyFont="1" applyFill="1" applyBorder="1" applyAlignment="1">
      <alignment horizontal="center" vertical="center"/>
    </xf>
    <xf numFmtId="0" fontId="77" fillId="11" borderId="71" xfId="185" applyFont="1" applyFill="1" applyBorder="1" applyAlignment="1">
      <alignment horizontal="center" vertical="center"/>
    </xf>
    <xf numFmtId="0" fontId="77" fillId="11" borderId="12" xfId="185" applyFont="1" applyFill="1" applyBorder="1" applyAlignment="1">
      <alignment horizontal="center" vertical="center"/>
    </xf>
    <xf numFmtId="0" fontId="77" fillId="11" borderId="18" xfId="185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41" fontId="20" fillId="0" borderId="22" xfId="2" applyNumberFormat="1" applyFont="1" applyFill="1" applyBorder="1" applyAlignment="1">
      <alignment horizontal="center" vertical="center"/>
    </xf>
    <xf numFmtId="41" fontId="20" fillId="0" borderId="2" xfId="2" applyNumberFormat="1" applyFont="1" applyFill="1" applyBorder="1" applyAlignment="1">
      <alignment horizontal="center" vertical="center"/>
    </xf>
    <xf numFmtId="41" fontId="20" fillId="0" borderId="23" xfId="2" applyNumberFormat="1" applyFont="1" applyFill="1" applyBorder="1" applyAlignment="1">
      <alignment horizontal="center" vertical="center"/>
    </xf>
    <xf numFmtId="41" fontId="17" fillId="0" borderId="52" xfId="2" applyNumberFormat="1" applyFont="1" applyFill="1" applyBorder="1" applyAlignment="1">
      <alignment horizontal="center" vertical="center"/>
    </xf>
    <xf numFmtId="41" fontId="17" fillId="0" borderId="51" xfId="2" applyNumberFormat="1" applyFont="1" applyFill="1" applyBorder="1" applyAlignment="1">
      <alignment horizontal="center" vertical="center"/>
    </xf>
    <xf numFmtId="41" fontId="17" fillId="0" borderId="44" xfId="2" applyNumberFormat="1" applyFont="1" applyFill="1" applyBorder="1" applyAlignment="1">
      <alignment horizontal="center" vertical="center"/>
    </xf>
    <xf numFmtId="41" fontId="28" fillId="3" borderId="67" xfId="2" applyNumberFormat="1" applyFont="1" applyFill="1" applyBorder="1" applyAlignment="1">
      <alignment horizontal="center" vertical="center"/>
    </xf>
    <xf numFmtId="41" fontId="28" fillId="3" borderId="1" xfId="2" applyNumberFormat="1" applyFont="1" applyFill="1" applyBorder="1" applyAlignment="1">
      <alignment horizontal="center" vertical="center"/>
    </xf>
    <xf numFmtId="41" fontId="28" fillId="3" borderId="48" xfId="2" applyNumberFormat="1" applyFont="1" applyFill="1" applyBorder="1" applyAlignment="1">
      <alignment horizontal="center" vertical="center"/>
    </xf>
    <xf numFmtId="179" fontId="83" fillId="0" borderId="0" xfId="2" applyNumberFormat="1" applyFont="1" applyFill="1" applyBorder="1" applyAlignment="1">
      <alignment horizontal="center" vertical="center"/>
    </xf>
    <xf numFmtId="49" fontId="17" fillId="0" borderId="27" xfId="0" applyNumberFormat="1" applyFont="1" applyBorder="1" applyAlignment="1">
      <alignment horizontal="left" vertical="center"/>
    </xf>
    <xf numFmtId="179" fontId="76" fillId="0" borderId="27" xfId="2" applyNumberFormat="1" applyFont="1" applyFill="1" applyBorder="1" applyAlignment="1">
      <alignment horizontal="center" vertical="center"/>
    </xf>
    <xf numFmtId="41" fontId="17" fillId="4" borderId="67" xfId="2" applyNumberFormat="1" applyFont="1" applyFill="1" applyBorder="1" applyAlignment="1">
      <alignment horizontal="center" vertical="center"/>
    </xf>
    <xf numFmtId="41" fontId="17" fillId="4" borderId="1" xfId="2" applyNumberFormat="1" applyFont="1" applyFill="1" applyBorder="1" applyAlignment="1">
      <alignment horizontal="center" vertical="center"/>
    </xf>
    <xf numFmtId="41" fontId="17" fillId="0" borderId="37" xfId="2" applyNumberFormat="1" applyFont="1" applyFill="1" applyBorder="1" applyAlignment="1">
      <alignment horizontal="center" vertical="center"/>
    </xf>
    <xf numFmtId="41" fontId="17" fillId="0" borderId="38" xfId="2" applyNumberFormat="1" applyFont="1" applyFill="1" applyBorder="1" applyAlignment="1">
      <alignment horizontal="center" vertical="center"/>
    </xf>
    <xf numFmtId="41" fontId="17" fillId="0" borderId="47" xfId="2" applyNumberFormat="1" applyFont="1" applyFill="1" applyBorder="1" applyAlignment="1">
      <alignment horizontal="center" vertical="center"/>
    </xf>
    <xf numFmtId="49" fontId="83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8" fillId="0" borderId="17" xfId="0" applyNumberFormat="1" applyFont="1" applyBorder="1" applyAlignment="1">
      <alignment horizontal="center" vertical="center"/>
    </xf>
    <xf numFmtId="49" fontId="18" fillId="0" borderId="14" xfId="0" applyNumberFormat="1" applyFont="1" applyBorder="1" applyAlignment="1">
      <alignment horizontal="center" vertical="center"/>
    </xf>
    <xf numFmtId="179" fontId="73" fillId="10" borderId="13" xfId="2" applyNumberFormat="1" applyFont="1" applyFill="1" applyBorder="1" applyAlignment="1">
      <alignment horizontal="left" vertical="center"/>
    </xf>
    <xf numFmtId="179" fontId="73" fillId="10" borderId="18" xfId="2" applyNumberFormat="1" applyFont="1" applyFill="1" applyBorder="1" applyAlignment="1">
      <alignment horizontal="left" vertical="center"/>
    </xf>
    <xf numFmtId="41" fontId="17" fillId="0" borderId="2" xfId="2" applyNumberFormat="1" applyFont="1" applyFill="1" applyBorder="1" applyAlignment="1">
      <alignment horizontal="center" vertical="center"/>
    </xf>
    <xf numFmtId="41" fontId="17" fillId="0" borderId="23" xfId="2" applyNumberFormat="1" applyFont="1" applyFill="1" applyBorder="1" applyAlignment="1">
      <alignment horizontal="center" vertical="center"/>
    </xf>
    <xf numFmtId="179" fontId="20" fillId="4" borderId="9" xfId="2" applyNumberFormat="1" applyFont="1" applyFill="1" applyBorder="1" applyAlignment="1">
      <alignment horizontal="center" vertical="center"/>
    </xf>
    <xf numFmtId="179" fontId="20" fillId="4" borderId="33" xfId="2" applyNumberFormat="1" applyFont="1" applyFill="1" applyBorder="1" applyAlignment="1">
      <alignment horizontal="center" vertical="center"/>
    </xf>
    <xf numFmtId="179" fontId="20" fillId="4" borderId="10" xfId="2" applyNumberFormat="1" applyFont="1" applyFill="1" applyBorder="1" applyAlignment="1">
      <alignment horizontal="center" vertical="center"/>
    </xf>
    <xf numFmtId="179" fontId="20" fillId="4" borderId="34" xfId="2" applyNumberFormat="1" applyFont="1" applyFill="1" applyBorder="1" applyAlignment="1">
      <alignment horizontal="center" vertical="center"/>
    </xf>
    <xf numFmtId="179" fontId="20" fillId="4" borderId="37" xfId="2" applyNumberFormat="1" applyFont="1" applyFill="1" applyBorder="1" applyAlignment="1">
      <alignment horizontal="center" vertical="center"/>
    </xf>
    <xf numFmtId="179" fontId="20" fillId="4" borderId="47" xfId="2" applyNumberFormat="1" applyFont="1" applyFill="1" applyBorder="1" applyAlignment="1">
      <alignment horizontal="center" vertical="center"/>
    </xf>
    <xf numFmtId="179" fontId="20" fillId="4" borderId="11" xfId="0" applyNumberFormat="1" applyFont="1" applyFill="1" applyBorder="1" applyAlignment="1">
      <alignment horizontal="center" vertical="center"/>
    </xf>
    <xf numFmtId="179" fontId="20" fillId="4" borderId="35" xfId="0" applyNumberFormat="1" applyFont="1" applyFill="1" applyBorder="1" applyAlignment="1">
      <alignment horizontal="center" vertical="center"/>
    </xf>
    <xf numFmtId="49" fontId="17" fillId="0" borderId="27" xfId="0" applyNumberFormat="1" applyFont="1" applyBorder="1" applyAlignment="1">
      <alignment horizontal="left"/>
    </xf>
    <xf numFmtId="179" fontId="19" fillId="0" borderId="27" xfId="2" applyNumberFormat="1" applyFont="1" applyFill="1" applyBorder="1" applyAlignment="1">
      <alignment horizontal="center" vertical="center"/>
    </xf>
    <xf numFmtId="49" fontId="92" fillId="0" borderId="0" xfId="0" applyNumberFormat="1" applyFont="1" applyAlignment="1">
      <alignment horizontal="left" vertical="center"/>
    </xf>
    <xf numFmtId="0" fontId="91" fillId="0" borderId="13" xfId="129" applyNumberFormat="1" applyFont="1" applyBorder="1" applyAlignment="1">
      <alignment horizontal="right" shrinkToFit="1"/>
    </xf>
    <xf numFmtId="0" fontId="91" fillId="0" borderId="45" xfId="129" applyNumberFormat="1" applyFont="1" applyBorder="1" applyAlignment="1">
      <alignment horizontal="right" shrinkToFit="1"/>
    </xf>
    <xf numFmtId="0" fontId="87" fillId="0" borderId="30" xfId="188" applyFont="1" applyBorder="1" applyAlignment="1">
      <alignment horizontal="center" vertical="center"/>
    </xf>
    <xf numFmtId="0" fontId="87" fillId="0" borderId="8" xfId="188" applyFont="1" applyBorder="1" applyAlignment="1">
      <alignment horizontal="center" vertical="center"/>
    </xf>
    <xf numFmtId="0" fontId="87" fillId="0" borderId="25" xfId="188" applyFont="1" applyBorder="1" applyAlignment="1">
      <alignment horizontal="center" vertical="center"/>
    </xf>
    <xf numFmtId="49" fontId="17" fillId="0" borderId="53" xfId="0" applyNumberFormat="1" applyFont="1" applyBorder="1" applyAlignment="1">
      <alignment horizontal="left"/>
    </xf>
    <xf numFmtId="49" fontId="17" fillId="0" borderId="13" xfId="0" applyNumberFormat="1" applyFont="1" applyBorder="1" applyAlignment="1">
      <alignment horizontal="left"/>
    </xf>
    <xf numFmtId="49" fontId="17" fillId="0" borderId="27" xfId="0" applyNumberFormat="1" applyFont="1" applyBorder="1" applyAlignment="1">
      <alignment horizontal="right" vertical="center"/>
    </xf>
    <xf numFmtId="0" fontId="87" fillId="0" borderId="30" xfId="188" applyFont="1" applyBorder="1" applyAlignment="1">
      <alignment horizontal="center"/>
    </xf>
    <xf numFmtId="0" fontId="87" fillId="0" borderId="8" xfId="188" applyFont="1" applyBorder="1" applyAlignment="1">
      <alignment horizontal="center"/>
    </xf>
    <xf numFmtId="0" fontId="87" fillId="0" borderId="25" xfId="188" applyFont="1" applyBorder="1" applyAlignment="1">
      <alignment horizontal="center"/>
    </xf>
    <xf numFmtId="179" fontId="17" fillId="0" borderId="27" xfId="2" applyNumberFormat="1" applyFont="1" applyFill="1" applyBorder="1" applyAlignment="1">
      <alignment horizontal="right" vertical="center"/>
    </xf>
    <xf numFmtId="179" fontId="17" fillId="0" borderId="13" xfId="2" applyNumberFormat="1" applyFont="1" applyFill="1" applyBorder="1" applyAlignment="1">
      <alignment horizontal="right" vertical="center"/>
    </xf>
    <xf numFmtId="179" fontId="17" fillId="0" borderId="0" xfId="0" applyNumberFormat="1" applyFont="1" applyAlignment="1">
      <alignment horizontal="right" vertical="center"/>
    </xf>
  </cellXfs>
  <cellStyles count="190">
    <cellStyle name="#,##0" xfId="14"/>
    <cellStyle name="??&amp;O?&amp;H?_x0008__x000f__x0007_?_x0007__x0001__x0001_" xfId="15"/>
    <cellStyle name="??&amp;O?&amp;H?_x0008_??_x0007__x0001__x0001_" xfId="16"/>
    <cellStyle name="?귽긣깑" xfId="17"/>
    <cellStyle name="?珠??? " xfId="18"/>
    <cellStyle name="_(2차변경)토목공사-하도급예산_Final" xfId="19"/>
    <cellStyle name="_12.전기예열" xfId="20"/>
    <cellStyle name="_복사본 총포장공사집계표" xfId="21"/>
    <cellStyle name="_양식2" xfId="22"/>
    <cellStyle name="_제61호표-이동식보일러(정리)" xfId="23"/>
    <cellStyle name="¤@?e_TEST-1 " xfId="24"/>
    <cellStyle name="0.0" xfId="25"/>
    <cellStyle name="0.00" xfId="26"/>
    <cellStyle name="0000.0" xfId="27"/>
    <cellStyle name="A¨­￠￢￠O [0]_INQUIRY ￠?￥i¨u¡AAⓒ￢Aⓒª " xfId="28"/>
    <cellStyle name="A¨­￠￢￠O_INQUIRY ￠?￥i¨u¡AAⓒ￢Aⓒª " xfId="29"/>
    <cellStyle name="AeE­ [0]_´a´cAO¿ø (B4) (2)" xfId="30"/>
    <cellStyle name="ÅëÈ­ [0]_¸ñÂ÷" xfId="31"/>
    <cellStyle name="AeE­ [0]_±a¼ºAoºO" xfId="32"/>
    <cellStyle name="ÅëÈ­ [0]_±â¾ÈÁö" xfId="33"/>
    <cellStyle name="AeE­ [0]_AMT " xfId="34"/>
    <cellStyle name="AeE­_´a´cAO¿ø (B4) (2)" xfId="35"/>
    <cellStyle name="ÅëÈ­_¸ñÂ÷" xfId="36"/>
    <cellStyle name="AeE­_±a¼ºAoºO" xfId="37"/>
    <cellStyle name="ÅëÈ­_±â¾ÈÁö" xfId="38"/>
    <cellStyle name="AeE­_AMT " xfId="39"/>
    <cellStyle name="AeE¡ⓒ [0]_INQUIRY ￠?￥i¨u¡AAⓒ￢Aⓒª " xfId="40"/>
    <cellStyle name="AeE¡ⓒ_INQUIRY ￠?￥i¨u¡AAⓒ￢Aⓒª " xfId="41"/>
    <cellStyle name="AÞ¸¶ [0]_´a´cAO¿ø (B4) (2)" xfId="42"/>
    <cellStyle name="ÄÞ¸¶ [0]_¸ñÂ÷" xfId="43"/>
    <cellStyle name="AÞ¸¶ [0]_±a¼ºAoºO" xfId="44"/>
    <cellStyle name="ÄÞ¸¶ [0]_±â¾ÈÁö" xfId="45"/>
    <cellStyle name="AÞ¸¶ [0]_AN°y(1.25) " xfId="46"/>
    <cellStyle name="AÞ¸¶_´a´cAO¿ø (B4) (2)" xfId="47"/>
    <cellStyle name="ÄÞ¸¶_¸ñÂ÷" xfId="48"/>
    <cellStyle name="AÞ¸¶_±a¼ºAoºO" xfId="49"/>
    <cellStyle name="ÄÞ¸¶_±â¾ÈÁö" xfId="50"/>
    <cellStyle name="AÞ¸¶_AN°y(1.25) " xfId="51"/>
    <cellStyle name="C¡IA¨ª_¡ic¨u¡A¨￢I¨￢¡Æ AN¡Æe " xfId="52"/>
    <cellStyle name="C￥AØ_  FAB AIA¤  " xfId="53"/>
    <cellStyle name="Ç¥ÁØ_¸ñÂ÷" xfId="54"/>
    <cellStyle name="C￥AØ_±a¼ºAoºO" xfId="55"/>
    <cellStyle name="Ç¥ÁØ_±â¾ÈÁö" xfId="56"/>
    <cellStyle name="C￥AØ_≫c¾÷ºIº° AN°e " xfId="57"/>
    <cellStyle name="Calc Currency (0)" xfId="58"/>
    <cellStyle name="category" xfId="59"/>
    <cellStyle name="CIAIÆU¸μAⓒ" xfId="60"/>
    <cellStyle name="Comma" xfId="61"/>
    <cellStyle name="Comma [0]" xfId="62"/>
    <cellStyle name="comma zerodec" xfId="63"/>
    <cellStyle name="Comma_ SG&amp;A Bridge " xfId="4"/>
    <cellStyle name="Comma0" xfId="64"/>
    <cellStyle name="Copied" xfId="65"/>
    <cellStyle name="Curren?_x0012_퐀_x0017_?" xfId="66"/>
    <cellStyle name="Currency" xfId="67"/>
    <cellStyle name="Currency [0]" xfId="68"/>
    <cellStyle name="Currency_ SG&amp;A Bridge " xfId="5"/>
    <cellStyle name="Currency0" xfId="69"/>
    <cellStyle name="Currency1" xfId="70"/>
    <cellStyle name="Date" xfId="71"/>
    <cellStyle name="Dezimal [0]_laroux" xfId="72"/>
    <cellStyle name="Dezimal_laroux" xfId="73"/>
    <cellStyle name="Dollar (zero dec)" xfId="74"/>
    <cellStyle name="Entered" xfId="75"/>
    <cellStyle name="Euro" xfId="76"/>
    <cellStyle name="F2" xfId="77"/>
    <cellStyle name="F3" xfId="78"/>
    <cellStyle name="F4" xfId="79"/>
    <cellStyle name="F5" xfId="80"/>
    <cellStyle name="F6" xfId="81"/>
    <cellStyle name="F7" xfId="82"/>
    <cellStyle name="F8" xfId="83"/>
    <cellStyle name="Fixed" xfId="84"/>
    <cellStyle name="Grey" xfId="85"/>
    <cellStyle name="HEADER" xfId="86"/>
    <cellStyle name="Header1" xfId="6"/>
    <cellStyle name="Header2" xfId="7"/>
    <cellStyle name="Heading 1" xfId="87"/>
    <cellStyle name="Heading 2" xfId="88"/>
    <cellStyle name="Heading1" xfId="89"/>
    <cellStyle name="Heading2" xfId="90"/>
    <cellStyle name="Helv8_PFD4.XLS" xfId="91"/>
    <cellStyle name="Input [yellow]" xfId="92"/>
    <cellStyle name="Milliers [0]_Arabian Spec" xfId="93"/>
    <cellStyle name="Milliers_Arabian Spec" xfId="94"/>
    <cellStyle name="Model" xfId="95"/>
    <cellStyle name="Mon?aire [0]_Arabian Spec" xfId="96"/>
    <cellStyle name="Mon?aire_Arabian Spec" xfId="97"/>
    <cellStyle name="no dec" xfId="98"/>
    <cellStyle name="Normal - Style1" xfId="99"/>
    <cellStyle name="Normal_ SG&amp;A Bridge " xfId="8"/>
    <cellStyle name="Percent" xfId="100"/>
    <cellStyle name="Percent [2]" xfId="101"/>
    <cellStyle name="Percent_1.토공사(#5)" xfId="102"/>
    <cellStyle name="RevList" xfId="103"/>
    <cellStyle name="Standard_laroux" xfId="104"/>
    <cellStyle name="subhead" xfId="105"/>
    <cellStyle name="Subtotal" xfId="106"/>
    <cellStyle name="Title" xfId="107"/>
    <cellStyle name="Total" xfId="108"/>
    <cellStyle name="W?rung [0]_laroux" xfId="109"/>
    <cellStyle name="W?rung_laroux" xfId="110"/>
    <cellStyle name="μU¿¡ ¿A´A CIAIÆU¸μAⓒ" xfId="111"/>
    <cellStyle name="고정소숫점" xfId="112"/>
    <cellStyle name="고정출력1" xfId="113"/>
    <cellStyle name="고정출력2" xfId="114"/>
    <cellStyle name="날짜" xfId="115"/>
    <cellStyle name="달러" xfId="116"/>
    <cellStyle name="뒤에 오는 하이퍼링크_10월간공정회의10.25.xls Chart 48" xfId="117"/>
    <cellStyle name="똿뗦먛귟 [0.00]_laroux" xfId="118"/>
    <cellStyle name="똿뗦먛귟_laroux" xfId="119"/>
    <cellStyle name="믅됞 [0.00]_laroux" xfId="120"/>
    <cellStyle name="믅됞_laroux" xfId="121"/>
    <cellStyle name="백분율" xfId="1" builtinId="5"/>
    <cellStyle name="백분율 [0]" xfId="122"/>
    <cellStyle name="백분율 [2]" xfId="123"/>
    <cellStyle name="백분율 10" xfId="179"/>
    <cellStyle name="백분율 11" xfId="180"/>
    <cellStyle name="백분율 12" xfId="181"/>
    <cellStyle name="백분율 2" xfId="124"/>
    <cellStyle name="백분율 2 2" xfId="187"/>
    <cellStyle name="백분율 3" xfId="125"/>
    <cellStyle name="백분율 4" xfId="13"/>
    <cellStyle name="백분율 5" xfId="172"/>
    <cellStyle name="백분율 6" xfId="178"/>
    <cellStyle name="백분율 7" xfId="175"/>
    <cellStyle name="백분율 8" xfId="177"/>
    <cellStyle name="백분율 9" xfId="176"/>
    <cellStyle name="뷭?_?긚??_1" xfId="126"/>
    <cellStyle name="숫자(R)" xfId="127"/>
    <cellStyle name="쉼표 [0]" xfId="2" builtinId="6"/>
    <cellStyle name="쉼표 [0] 2" xfId="9"/>
    <cellStyle name="쉼표 [0] 2 2" xfId="11"/>
    <cellStyle name="쉼표 [0] 2 2 2" xfId="152"/>
    <cellStyle name="쉼표 [0] 2 2 2 2" xfId="162"/>
    <cellStyle name="쉼표 [0] 2 2 2 3" xfId="157"/>
    <cellStyle name="쉼표 [0] 2 2 3" xfId="159"/>
    <cellStyle name="쉼표 [0] 2 2 4" xfId="155"/>
    <cellStyle name="쉼표 [0] 2 2 5" xfId="168"/>
    <cellStyle name="쉼표 [0] 2 2 6" xfId="183"/>
    <cellStyle name="쉼표 [0] 2 3" xfId="166"/>
    <cellStyle name="쉼표 [0] 2 4" xfId="128"/>
    <cellStyle name="쉼표 [0] 2 4 2" xfId="169"/>
    <cellStyle name="쉼표 [0] 3" xfId="129"/>
    <cellStyle name="쉼표 [0] 3 2" xfId="167"/>
    <cellStyle name="쉼표 [0] 4" xfId="12"/>
    <cellStyle name="쉼표 [0] 5" xfId="151"/>
    <cellStyle name="쉼표 [0] 5 2" xfId="161"/>
    <cellStyle name="쉼표 [0] 5 3" xfId="174"/>
    <cellStyle name="쉼표 [0] 6" xfId="165"/>
    <cellStyle name="쉼표 2" xfId="130"/>
    <cellStyle name="쉼표 2 2" xfId="170"/>
    <cellStyle name="스타일 1" xfId="131"/>
    <cellStyle name="안건회계법인" xfId="132"/>
    <cellStyle name="유영" xfId="133"/>
    <cellStyle name="자리수" xfId="134"/>
    <cellStyle name="자리수0" xfId="135"/>
    <cellStyle name="지정되지 않음" xfId="136"/>
    <cellStyle name="콤마 [0]_  종  합  " xfId="137"/>
    <cellStyle name="콤마 [1]" xfId="138"/>
    <cellStyle name="콤마 [2]" xfId="139"/>
    <cellStyle name="콤마_  종  합  " xfId="140"/>
    <cellStyle name="통화 [0] 2" xfId="141"/>
    <cellStyle name="통화 [0] 2 2" xfId="171"/>
    <cellStyle name="통화 [0] 3" xfId="186"/>
    <cellStyle name="퍼센트" xfId="142"/>
    <cellStyle name="표준" xfId="0" builtinId="0"/>
    <cellStyle name="표준 2" xfId="3"/>
    <cellStyle name="표준 2 2" xfId="10"/>
    <cellStyle name="표준 2 2 2" xfId="153"/>
    <cellStyle name="표준 2 2 2 2" xfId="163"/>
    <cellStyle name="표준 2 2 2 3" xfId="156"/>
    <cellStyle name="표준 2 2 3" xfId="158"/>
    <cellStyle name="표준 2 2 4" xfId="154"/>
    <cellStyle name="표준 2 2 5" xfId="173"/>
    <cellStyle name="표준 2 2 6" xfId="182"/>
    <cellStyle name="표준 2 2 7" xfId="184"/>
    <cellStyle name="표준 2 3" xfId="143"/>
    <cellStyle name="표준 2 4" xfId="149"/>
    <cellStyle name="표준 3" xfId="144"/>
    <cellStyle name="표준 4" xfId="150"/>
    <cellStyle name="표준 4 2" xfId="160"/>
    <cellStyle name="표준 4 4" xfId="189"/>
    <cellStyle name="표준 5" xfId="164"/>
    <cellStyle name="표준 5 2" xfId="185"/>
    <cellStyle name="표준_2010년 유지보수공사 공사설계서(091226)" xfId="188"/>
    <cellStyle name="標準_Akia(F）-8" xfId="145"/>
    <cellStyle name="합산" xfId="146"/>
    <cellStyle name="화폐기호" xfId="147"/>
    <cellStyle name="화폐기호0" xfId="14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CCCFF"/>
      <color rgb="FFFFCCFF"/>
      <color rgb="FFCCFFCC"/>
      <color rgb="FFFFFF82"/>
      <color rgb="FFC4D79B"/>
      <color rgb="FF0000FF"/>
      <color rgb="FF8DB4E2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0</xdr:row>
      <xdr:rowOff>47625</xdr:rowOff>
    </xdr:from>
    <xdr:to>
      <xdr:col>4</xdr:col>
      <xdr:colOff>1984375</xdr:colOff>
      <xdr:row>4</xdr:row>
      <xdr:rowOff>266700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98AF856-960D-417A-8DB0-6656B4A700B5}"/>
            </a:ext>
          </a:extLst>
        </xdr:cNvPr>
        <xdr:cNvSpPr txBox="1">
          <a:spLocks noChangeArrowheads="1"/>
        </xdr:cNvSpPr>
      </xdr:nvSpPr>
      <xdr:spPr bwMode="auto">
        <a:xfrm>
          <a:off x="314325" y="47625"/>
          <a:ext cx="5613400" cy="1400175"/>
        </a:xfrm>
        <a:prstGeom prst="rect">
          <a:avLst/>
        </a:prstGeom>
        <a:gradFill rotWithShape="1">
          <a:gsLst>
            <a:gs pos="0">
              <a:srgbClr val="CCFFFF">
                <a:gamma/>
                <a:shade val="46275"/>
                <a:invGamma/>
              </a:srgbClr>
            </a:gs>
            <a:gs pos="50000">
              <a:srgbClr val="CCFFFF"/>
            </a:gs>
            <a:gs pos="100000">
              <a:srgbClr val="CCFFFF">
                <a:gamma/>
                <a:shade val="46275"/>
                <a:invGamma/>
              </a:srgbClr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en-US" altLang="ko-KR" sz="2200" b="1" i="0" u="none" strike="noStrike" baseline="0">
              <a:solidFill>
                <a:srgbClr val="000000"/>
              </a:solidFill>
              <a:latin typeface="휴먼옛체"/>
              <a:ea typeface="휴먼옛체"/>
            </a:rPr>
            <a:t>2025</a:t>
          </a:r>
          <a:r>
            <a:rPr lang="ko-KR" altLang="en-US" sz="2200" b="1" i="0" u="none" strike="noStrike" baseline="0">
              <a:solidFill>
                <a:srgbClr val="000000"/>
              </a:solidFill>
              <a:latin typeface="휴먼옛체"/>
              <a:ea typeface="휴먼옛체"/>
            </a:rPr>
            <a:t>년 열수송관 천공 및   차단공사</a:t>
          </a:r>
          <a:r>
            <a:rPr lang="en-US" altLang="ko-KR" sz="2200" b="1" i="0" u="none" strike="noStrike" baseline="0">
              <a:solidFill>
                <a:srgbClr val="000000"/>
              </a:solidFill>
              <a:latin typeface="휴먼옛체"/>
              <a:ea typeface="휴먼옛체"/>
            </a:rPr>
            <a:t>(1</a:t>
          </a:r>
          <a:r>
            <a:rPr lang="ko-KR" altLang="en-US" sz="2200" b="1" i="0" u="none" strike="noStrike" baseline="0">
              <a:solidFill>
                <a:srgbClr val="000000"/>
              </a:solidFill>
              <a:latin typeface="휴먼옛체"/>
              <a:ea typeface="휴먼옛체"/>
            </a:rPr>
            <a:t>권역</a:t>
          </a:r>
          <a:r>
            <a:rPr lang="en-US" altLang="ko-KR" sz="2200" b="1" i="0" u="none" strike="noStrike" baseline="0">
              <a:solidFill>
                <a:srgbClr val="000000"/>
              </a:solidFill>
              <a:latin typeface="휴먼옛체"/>
              <a:ea typeface="휴먼옛체"/>
            </a:rPr>
            <a:t>)-</a:t>
          </a:r>
          <a:r>
            <a:rPr lang="ko-KR" altLang="en-US" sz="2200" b="1" i="0" u="none" strike="noStrike" baseline="0">
              <a:solidFill>
                <a:srgbClr val="000000"/>
              </a:solidFill>
              <a:latin typeface="휴먼옛체"/>
              <a:ea typeface="휴먼옛체"/>
            </a:rPr>
            <a:t>용인</a:t>
          </a:r>
          <a:endParaRPr lang="en-US" altLang="ko-KR" sz="2200" b="1" i="0" u="none" strike="noStrike" baseline="0">
            <a:solidFill>
              <a:srgbClr val="000000"/>
            </a:solidFill>
            <a:latin typeface="휴먼옛체"/>
            <a:ea typeface="휴먼옛체"/>
          </a:endParaRPr>
        </a:p>
        <a:p>
          <a:pPr algn="ctr" rtl="0">
            <a:defRPr sz="1000"/>
          </a:pPr>
          <a:r>
            <a:rPr lang="ko-KR" altLang="en-US" sz="2800" b="1" i="0" u="none" strike="noStrike" baseline="0">
              <a:solidFill>
                <a:srgbClr val="000000"/>
              </a:solidFill>
              <a:latin typeface="휴먼옛체"/>
              <a:ea typeface="휴먼옛체"/>
            </a:rPr>
            <a:t>제 </a:t>
          </a:r>
          <a:r>
            <a:rPr lang="en-US" altLang="ko-KR" sz="2800" b="1" i="0" u="none" strike="noStrike" baseline="0">
              <a:solidFill>
                <a:srgbClr val="000000"/>
              </a:solidFill>
              <a:latin typeface="휴먼옛체"/>
              <a:ea typeface="휴먼옛체"/>
            </a:rPr>
            <a:t>1</a:t>
          </a:r>
          <a:r>
            <a:rPr lang="ko-KR" altLang="en-US" sz="2800" b="1" i="0" u="none" strike="noStrike" baseline="0">
              <a:solidFill>
                <a:srgbClr val="000000"/>
              </a:solidFill>
              <a:latin typeface="휴먼옛체"/>
              <a:ea typeface="휴먼옛체"/>
            </a:rPr>
            <a:t>회 기성검사 결과 요약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840;1\&#45824;&#54840;&#49828;&#53664;&#54140;\&#44204;&#51201;&#49436;(&#47588;&#52636;&#29992;)\&#46041;&#48512;&#44148;&#49444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796;&#50868;&#47196;&#46300;/&#47700;&#49888;&#51200;/240715%20-%202024&#45380;%20&#49340;&#49569;&#51648;&#49324;%20&#50676;&#49688;&#49569;&#44288;&#44277;&#49324;%20&#49444;&#44228;&#45236;&#50669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관내역"/>
      <sheetName val="JUN-TIE1"/>
      <sheetName val="기준표"/>
      <sheetName val="참조셀"/>
      <sheetName val="일용노임단가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현황"/>
      <sheetName val="설계서표지(1)"/>
      <sheetName val="설계서표지"/>
      <sheetName val="설계설명서"/>
      <sheetName val="수용가별정리"/>
      <sheetName val="예정공정표"/>
      <sheetName val="인원계획"/>
      <sheetName val="원가계산"/>
      <sheetName val="총괄표"/>
      <sheetName val="지급임차료"/>
      <sheetName val="시공상세도작성비"/>
      <sheetName val="공사손해보험료"/>
      <sheetName val="기타경비요율"/>
      <sheetName val="설계내역서(종합)"/>
      <sheetName val="설계내역서"/>
      <sheetName val="사급내역서"/>
      <sheetName val="재료비수량"/>
      <sheetName val="노무비수량"/>
      <sheetName val="설계내역서(2)"/>
      <sheetName val="사급내역서(2)"/>
      <sheetName val="재료비수량(2)"/>
      <sheetName val="노무비수량(2)"/>
      <sheetName val="Sheet1"/>
    </sheetNames>
    <sheetDataSet>
      <sheetData sheetId="0">
        <row r="1">
          <cell r="A1" t="str">
            <v>공사명 : 2024년 삼송지사 열수송관공사</v>
          </cell>
        </row>
      </sheetData>
      <sheetData sheetId="1">
        <row r="13">
          <cell r="D13">
            <v>3892884000</v>
          </cell>
        </row>
      </sheetData>
      <sheetData sheetId="2"/>
      <sheetData sheetId="3"/>
      <sheetData sheetId="4"/>
      <sheetData sheetId="5">
        <row r="47">
          <cell r="AL47">
            <v>18</v>
          </cell>
        </row>
      </sheetData>
      <sheetData sheetId="6"/>
      <sheetData sheetId="7"/>
      <sheetData sheetId="8">
        <row r="36">
          <cell r="G36">
            <v>623451092</v>
          </cell>
          <cell r="M36">
            <v>2329938298</v>
          </cell>
        </row>
      </sheetData>
      <sheetData sheetId="9">
        <row r="11">
          <cell r="G11">
            <v>433040000</v>
          </cell>
        </row>
      </sheetData>
      <sheetData sheetId="10"/>
      <sheetData sheetId="11">
        <row r="14">
          <cell r="Q14">
            <v>3.4999999999999996E-3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333"/>
  <sheetViews>
    <sheetView tabSelected="1" view="pageBreakPreview" zoomScale="85" zoomScaleNormal="100" zoomScaleSheetLayoutView="85" workbookViewId="0">
      <selection activeCell="B8" sqref="B8"/>
    </sheetView>
  </sheetViews>
  <sheetFormatPr defaultColWidth="9" defaultRowHeight="23.1" customHeight="1"/>
  <cols>
    <col min="1" max="1" width="11" style="10" customWidth="1"/>
    <col min="2" max="2" width="37.375" style="10" customWidth="1"/>
    <col min="3" max="3" width="9.25" style="10" customWidth="1"/>
    <col min="4" max="4" width="15.625" style="10" customWidth="1"/>
    <col min="5" max="5" width="14.25" style="10" customWidth="1"/>
    <col min="6" max="6" width="20.125" style="10" customWidth="1"/>
    <col min="7" max="7" width="10.875" style="10" customWidth="1"/>
    <col min="8" max="16384" width="9" style="10"/>
  </cols>
  <sheetData>
    <row r="1" spans="1:32" ht="23.1" customHeight="1">
      <c r="A1" s="13"/>
      <c r="B1" s="14"/>
      <c r="C1" s="14"/>
      <c r="D1" s="14"/>
      <c r="E1" s="14"/>
      <c r="F1" s="14"/>
      <c r="G1" s="9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23.1" customHeight="1">
      <c r="A2" s="15"/>
      <c r="B2" s="58" t="str">
        <f>'기성내역서(용인)'!A2</f>
        <v>공사명 : 2025년 열수송관 천공 및 차단공사(1권역)</v>
      </c>
      <c r="C2" s="4"/>
      <c r="D2" s="4"/>
      <c r="E2" s="4"/>
      <c r="F2" s="4"/>
      <c r="G2" s="1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23.1" customHeight="1">
      <c r="A3" s="15"/>
      <c r="B3" s="294" t="s">
        <v>353</v>
      </c>
      <c r="C3" s="4"/>
      <c r="D3" s="4"/>
      <c r="E3" s="4"/>
      <c r="F3" s="4"/>
      <c r="G3" s="1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23.1" customHeight="1">
      <c r="A4" s="15"/>
      <c r="B4" s="4"/>
      <c r="C4" s="4"/>
      <c r="D4" s="4"/>
      <c r="E4" s="4"/>
      <c r="F4" s="4"/>
      <c r="G4" s="11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23.1" customHeight="1">
      <c r="A5" s="15"/>
      <c r="B5" s="4"/>
      <c r="C5" s="4"/>
      <c r="D5" s="4"/>
      <c r="E5" s="4"/>
      <c r="F5" s="4"/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23.1" customHeight="1">
      <c r="A6" s="15"/>
      <c r="B6" s="4"/>
      <c r="C6" s="4"/>
      <c r="D6" s="4"/>
      <c r="E6" s="4"/>
      <c r="F6" s="4"/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23.1" customHeight="1">
      <c r="A7" s="15"/>
      <c r="B7" s="4"/>
      <c r="C7" s="4"/>
      <c r="D7" s="4"/>
      <c r="E7" s="4"/>
      <c r="F7" s="4"/>
      <c r="G7" s="1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23.1" customHeight="1">
      <c r="A8" s="15"/>
      <c r="B8" s="4"/>
      <c r="C8" s="4"/>
      <c r="D8" s="4"/>
      <c r="E8" s="4"/>
      <c r="F8" s="4"/>
      <c r="G8" s="1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28.5" customHeight="1">
      <c r="A9" s="307" t="s">
        <v>354</v>
      </c>
      <c r="B9" s="308"/>
      <c r="C9" s="308"/>
      <c r="D9" s="308"/>
      <c r="E9" s="308"/>
      <c r="F9" s="308"/>
      <c r="G9" s="30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23.1" customHeight="1">
      <c r="A10" s="15"/>
      <c r="B10" s="16"/>
      <c r="C10" s="4"/>
      <c r="D10" s="4"/>
      <c r="E10" s="4"/>
      <c r="F10" s="4"/>
      <c r="G10" s="1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23.1" customHeight="1">
      <c r="A11" s="15"/>
      <c r="B11" s="4"/>
      <c r="C11" s="4"/>
      <c r="D11" s="4"/>
      <c r="E11" s="4"/>
      <c r="F11" s="4"/>
      <c r="G11" s="11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23.1" customHeight="1">
      <c r="A12" s="15"/>
      <c r="B12" s="4"/>
      <c r="C12" s="4"/>
      <c r="D12" s="4"/>
      <c r="E12" s="4"/>
      <c r="F12" s="4"/>
      <c r="G12" s="11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23.1" customHeight="1">
      <c r="A13" s="15"/>
      <c r="B13" s="4"/>
      <c r="C13" s="4"/>
      <c r="D13" s="4"/>
      <c r="E13" s="4"/>
      <c r="F13" s="4"/>
      <c r="G13" s="11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23.1" customHeight="1">
      <c r="A14" s="15"/>
      <c r="B14" s="4"/>
      <c r="C14" s="4"/>
      <c r="D14" s="4"/>
      <c r="E14" s="4"/>
      <c r="F14" s="4"/>
      <c r="G14" s="11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23.1" customHeight="1" thickBot="1">
      <c r="A15" s="15"/>
      <c r="B15" s="4"/>
      <c r="C15" s="4"/>
      <c r="D15" s="4"/>
      <c r="E15" s="17" t="s">
        <v>3</v>
      </c>
      <c r="F15" s="18">
        <f>F17+F18</f>
        <v>1475749000</v>
      </c>
      <c r="G15" s="1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23.1" customHeight="1">
      <c r="A16" s="15"/>
      <c r="B16" s="4"/>
      <c r="C16" s="4"/>
      <c r="D16" s="4"/>
      <c r="E16" s="69" t="s">
        <v>147</v>
      </c>
      <c r="F16" s="70" t="s">
        <v>7</v>
      </c>
      <c r="G16" s="1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23.1" customHeight="1">
      <c r="A17" s="15"/>
      <c r="B17" s="4"/>
      <c r="C17" s="4"/>
      <c r="D17" s="19"/>
      <c r="E17" s="71" t="s">
        <v>148</v>
      </c>
      <c r="F17" s="72">
        <f>'기성총괄표(용인)'!M34</f>
        <v>1341590000</v>
      </c>
      <c r="G17" s="1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23.1" customHeight="1">
      <c r="A18" s="15"/>
      <c r="B18" s="4"/>
      <c r="C18" s="4"/>
      <c r="D18" s="19"/>
      <c r="E18" s="71" t="s">
        <v>149</v>
      </c>
      <c r="F18" s="173">
        <f>F17*0.1</f>
        <v>134159000</v>
      </c>
      <c r="G18" s="11"/>
      <c r="H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23.1" customHeight="1" thickBot="1">
      <c r="A19" s="15"/>
      <c r="B19" s="4"/>
      <c r="C19" s="4"/>
      <c r="D19" s="19"/>
      <c r="E19" s="73" t="s">
        <v>150</v>
      </c>
      <c r="F19" s="174">
        <f>F17+F18</f>
        <v>1475749000</v>
      </c>
      <c r="G19" s="1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3.1" customHeight="1" thickBot="1">
      <c r="A20" s="20"/>
      <c r="B20" s="21"/>
      <c r="C20" s="21"/>
      <c r="D20" s="21"/>
      <c r="E20" s="21"/>
      <c r="F20" s="21"/>
      <c r="G20" s="1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23.1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23.1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23.1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23.1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23.1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23.1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23.1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23.1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23.1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23.1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23.1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23.1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23.1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23.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23.1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23.1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23.1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23.1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23.1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23.1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23.1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23.1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23.1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23.1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23.1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23.1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23.1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23.1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23.1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23.1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23.1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23.1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ht="23.1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23.1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23.1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ht="23.1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23.1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23.1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23.1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23.1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23.1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23.1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23.1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23.1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23.1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23.1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23.1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23.1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23.1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23.1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23.1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23.1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23.1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23.1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23.1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23.1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23.1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23.1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23.1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23.1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23.1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23.1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23.1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23.1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23.1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23.1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23.1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23.1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23.1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23.1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23.1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23.1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23.1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23.1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23.1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23.1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23.1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23.1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23.1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23.1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23.1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23.1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23.1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23.1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23.1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23.1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23.1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23.1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23.1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23.1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23.1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23.1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23.1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23.1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23.1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23.1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23.1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23.1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23.1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23.1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23.1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23.1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23.1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23.1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23.1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23.1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23.1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23.1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23.1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ht="23.1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ht="23.1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23.1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23.1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23.1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23.1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23.1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23.1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23.1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23.1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23.1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23.1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23.1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23.1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23.1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ht="23.1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ht="23.1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ht="23.1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ht="23.1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ht="23.1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ht="23.1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ht="23.1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ht="23.1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ht="23.1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ht="23.1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ht="23.1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ht="23.1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ht="23.1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ht="23.1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ht="23.1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ht="23.1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ht="23.1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ht="23.1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ht="23.1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ht="23.1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ht="23.1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ht="23.1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ht="23.1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ht="23.1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ht="23.1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ht="23.1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ht="23.1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ht="23.1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ht="23.1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ht="23.1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ht="23.1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ht="23.1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ht="23.1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ht="23.1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ht="23.1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ht="23.1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ht="23.1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23.1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23.1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23.1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23.1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23.1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23.1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23.1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23.1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23.1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ht="23.1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ht="23.1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ht="23.1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ht="23.1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ht="23.1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ht="23.1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ht="23.1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ht="23.1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ht="23.1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ht="23.1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23.1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23.1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23.1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23.1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23.1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23.1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23.1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23.1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23.1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23.1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23.1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23.1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23.1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23.1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23.1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23.1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23.1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23.1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23.1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23.1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23.1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23.1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23.1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ht="23.1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ht="23.1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ht="23.1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ht="23.1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ht="23.1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ht="23.1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ht="23.1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ht="23.1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ht="23.1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ht="23.1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ht="23.1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ht="23.1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ht="23.1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ht="23.1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ht="23.1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ht="23.1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ht="23.1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ht="23.1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ht="23.1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ht="23.1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ht="23.1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ht="23.1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ht="23.1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ht="23.1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ht="23.1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ht="23.1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ht="23.1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ht="23.1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ht="23.1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ht="23.1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ht="23.1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ht="23.1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ht="23.1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ht="23.1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ht="23.1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ht="23.1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ht="23.1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ht="23.1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ht="23.1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ht="23.1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ht="23.1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ht="23.1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ht="23.1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ht="23.1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ht="23.1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ht="23.1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ht="23.1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ht="23.1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ht="23.1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ht="23.1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ht="23.1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ht="23.1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ht="23.1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ht="23.1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ht="23.1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ht="23.1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ht="23.1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ht="23.1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ht="23.1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ht="23.1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ht="23.1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ht="23.1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ht="23.1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ht="23.1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ht="23.1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ht="23.1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ht="23.1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ht="23.1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ht="23.1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ht="23.1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ht="23.1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ht="23.1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ht="23.1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ht="23.1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ht="23.1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ht="23.1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ht="23.1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ht="23.1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ht="23.1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ht="23.1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ht="23.1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ht="23.1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ht="23.1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ht="23.1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ht="23.1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ht="23.1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ht="23.1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ht="23.1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ht="23.1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ht="23.1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ht="23.1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ht="23.1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ht="23.1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ht="23.1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ht="23.1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ht="23.1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ht="23.1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ht="23.1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ht="23.1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ht="23.1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ht="23.1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ht="23.1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ht="23.1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ht="23.1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ht="23.1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ht="23.1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ht="23.1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ht="23.1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ht="23.1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ht="23.1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</sheetData>
  <mergeCells count="1">
    <mergeCell ref="A9:G9"/>
  </mergeCells>
  <phoneticPr fontId="12" type="noConversion"/>
  <printOptions horizontalCentered="1" verticalCentered="1" gridLinesSet="0"/>
  <pageMargins left="0.74803149606299213" right="0.62992125984251968" top="0.74803149606299213" bottom="0.59055118110236227" header="0.51181102362204722" footer="0.35433070866141736"/>
  <pageSetup paperSize="9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view="pageBreakPreview" topLeftCell="A4" zoomScale="85" zoomScaleNormal="100" zoomScaleSheetLayoutView="85" workbookViewId="0">
      <selection activeCell="I12" sqref="I12"/>
    </sheetView>
  </sheetViews>
  <sheetFormatPr defaultRowHeight="21.75" customHeight="1"/>
  <cols>
    <col min="1" max="1" width="4.25" style="182" customWidth="1"/>
    <col min="2" max="2" width="12.125" style="182" customWidth="1"/>
    <col min="3" max="3" width="16.125" style="182" bestFit="1" customWidth="1"/>
    <col min="4" max="4" width="19.25" style="182" customWidth="1"/>
    <col min="5" max="5" width="27.375" style="182" customWidth="1"/>
    <col min="6" max="6" width="19.875" style="182" customWidth="1"/>
    <col min="7" max="7" width="11.25" style="182" customWidth="1"/>
    <col min="8" max="9" width="8.125" style="182" customWidth="1"/>
    <col min="10" max="16384" width="9" style="182"/>
  </cols>
  <sheetData>
    <row r="1" spans="1:6" ht="23.25" customHeight="1"/>
    <row r="2" spans="1:6" ht="23.25" customHeight="1"/>
    <row r="3" spans="1:6" ht="23.25" customHeight="1"/>
    <row r="4" spans="1:6" ht="23.25" customHeight="1"/>
    <row r="5" spans="1:6" ht="23.25" customHeight="1"/>
    <row r="6" spans="1:6" ht="23.25" customHeight="1"/>
    <row r="7" spans="1:6" ht="23.25" customHeight="1"/>
    <row r="8" spans="1:6" ht="45" customHeight="1">
      <c r="B8" s="312" t="s">
        <v>153</v>
      </c>
      <c r="C8" s="313"/>
      <c r="D8" s="183" t="s">
        <v>350</v>
      </c>
      <c r="E8" s="183"/>
    </row>
    <row r="9" spans="1:6" ht="45" customHeight="1">
      <c r="A9" s="184"/>
      <c r="B9" s="312" t="s">
        <v>154</v>
      </c>
      <c r="C9" s="313"/>
      <c r="D9" s="185" t="s">
        <v>351</v>
      </c>
      <c r="E9" s="186"/>
    </row>
    <row r="10" spans="1:6" ht="45" customHeight="1">
      <c r="A10" s="184"/>
      <c r="B10" s="312" t="s">
        <v>155</v>
      </c>
      <c r="C10" s="313"/>
      <c r="D10" s="185" t="s">
        <v>156</v>
      </c>
      <c r="E10" s="186"/>
    </row>
    <row r="11" spans="1:6" ht="45" customHeight="1">
      <c r="A11" s="184"/>
      <c r="B11" s="312" t="s">
        <v>157</v>
      </c>
      <c r="C11" s="313"/>
      <c r="D11" s="185" t="s">
        <v>352</v>
      </c>
      <c r="E11" s="186"/>
    </row>
    <row r="12" spans="1:6" ht="45" customHeight="1">
      <c r="A12" s="184"/>
      <c r="B12" s="312" t="s">
        <v>158</v>
      </c>
      <c r="C12" s="313"/>
      <c r="D12" s="185" t="s">
        <v>457</v>
      </c>
      <c r="E12" s="186"/>
    </row>
    <row r="13" spans="1:6" ht="45" customHeight="1">
      <c r="A13" s="184"/>
      <c r="B13" s="314" t="s">
        <v>159</v>
      </c>
      <c r="C13" s="315"/>
      <c r="D13" s="187" t="s">
        <v>160</v>
      </c>
      <c r="E13" s="188">
        <f>'시공사별 금액'!C5+'시공사별 금액'!C6+'시공사별 금액'!C7</f>
        <v>1102453000</v>
      </c>
      <c r="F13" s="189">
        <f>E13+E15</f>
        <v>1355376000</v>
      </c>
    </row>
    <row r="14" spans="1:6" ht="45" customHeight="1">
      <c r="A14" s="184"/>
      <c r="B14" s="316"/>
      <c r="C14" s="317"/>
      <c r="D14" s="187" t="s">
        <v>161</v>
      </c>
      <c r="E14" s="188">
        <f>'시공사별 금액'!C8</f>
        <v>91938000</v>
      </c>
      <c r="F14" s="189"/>
    </row>
    <row r="15" spans="1:6" ht="45" customHeight="1">
      <c r="A15" s="184"/>
      <c r="B15" s="316"/>
      <c r="C15" s="317"/>
      <c r="D15" s="187" t="s">
        <v>421</v>
      </c>
      <c r="E15" s="188">
        <f>'시공사별 금액'!C9</f>
        <v>252923000</v>
      </c>
      <c r="F15" s="189"/>
    </row>
    <row r="16" spans="1:6" ht="45" customHeight="1">
      <c r="A16" s="184"/>
      <c r="B16" s="318"/>
      <c r="C16" s="319"/>
      <c r="D16" s="187" t="s">
        <v>441</v>
      </c>
      <c r="E16" s="302">
        <f>'시공사별 금액'!C4</f>
        <v>28435000</v>
      </c>
      <c r="F16" s="189"/>
    </row>
    <row r="17" spans="1:5" ht="45" customHeight="1">
      <c r="A17" s="184"/>
      <c r="B17" s="190" t="s">
        <v>162</v>
      </c>
      <c r="C17" s="187" t="s">
        <v>355</v>
      </c>
      <c r="D17" s="191">
        <f>'기성정산내역 (용인)'!J35</f>
        <v>5375296939.1000004</v>
      </c>
      <c r="E17" s="186" t="s">
        <v>163</v>
      </c>
    </row>
    <row r="18" spans="1:5" ht="45" customHeight="1">
      <c r="A18" s="184"/>
      <c r="B18" s="310" t="s">
        <v>164</v>
      </c>
      <c r="C18" s="187" t="s">
        <v>165</v>
      </c>
      <c r="D18" s="191">
        <f>'기성정산내역 (용인)'!L35</f>
        <v>1475749000</v>
      </c>
      <c r="E18" s="186" t="s">
        <v>166</v>
      </c>
    </row>
    <row r="19" spans="1:5" ht="45" customHeight="1">
      <c r="A19" s="184"/>
      <c r="B19" s="311"/>
      <c r="C19" s="187" t="s">
        <v>167</v>
      </c>
      <c r="D19" s="191">
        <f>'기성정산내역 (용인)'!M35</f>
        <v>1475749000</v>
      </c>
      <c r="E19" s="186" t="s">
        <v>166</v>
      </c>
    </row>
    <row r="22" spans="1:5" ht="21.75" customHeight="1">
      <c r="D22" s="192"/>
      <c r="E22" s="193"/>
    </row>
    <row r="23" spans="1:5" ht="21.75" customHeight="1">
      <c r="D23" s="192"/>
    </row>
    <row r="24" spans="1:5" ht="21.75" customHeight="1">
      <c r="D24" s="194"/>
    </row>
  </sheetData>
  <mergeCells count="7">
    <mergeCell ref="B18:B19"/>
    <mergeCell ref="B8:C8"/>
    <mergeCell ref="B9:C9"/>
    <mergeCell ref="B10:C10"/>
    <mergeCell ref="B11:C11"/>
    <mergeCell ref="B12:C12"/>
    <mergeCell ref="B13:C16"/>
  </mergeCells>
  <phoneticPr fontId="14" type="noConversion"/>
  <pageMargins left="0.74803149606299213" right="0.74803149606299213" top="0.98425196850393704" bottom="0.98425196850393704" header="0.51181102362204722" footer="0.51181102362204722"/>
  <pageSetup paperSize="9" scale="96" orientation="portrait" r:id="rId1"/>
  <headerFooter alignWithMargins="0">
    <oddFooter>&amp;C&amp;"굴림체,보통"한 국 지 역 난 방 공 사&amp;R- &amp;P 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view="pageBreakPreview" zoomScale="85" zoomScaleNormal="100" zoomScaleSheetLayoutView="85" workbookViewId="0">
      <selection activeCell="C10" sqref="C10"/>
    </sheetView>
  </sheetViews>
  <sheetFormatPr defaultRowHeight="14.25"/>
  <cols>
    <col min="1" max="1" width="57.75" customWidth="1"/>
    <col min="2" max="4" width="36.625" customWidth="1"/>
    <col min="6" max="6" width="17.625" customWidth="1"/>
  </cols>
  <sheetData>
    <row r="1" spans="1:6" ht="35.1" customHeight="1">
      <c r="A1" s="320" t="s">
        <v>415</v>
      </c>
      <c r="B1" s="320"/>
      <c r="C1" s="320"/>
      <c r="D1" s="320"/>
    </row>
    <row r="2" spans="1:6" ht="21" customHeight="1" thickBot="1">
      <c r="A2" s="195" t="s">
        <v>144</v>
      </c>
      <c r="B2" s="196"/>
      <c r="C2" s="196"/>
      <c r="D2" s="197" t="s">
        <v>456</v>
      </c>
    </row>
    <row r="3" spans="1:6" ht="74.25" customHeight="1" thickTop="1" thickBot="1">
      <c r="A3" s="198" t="s">
        <v>168</v>
      </c>
      <c r="B3" s="300" t="s">
        <v>169</v>
      </c>
      <c r="C3" s="300" t="s">
        <v>170</v>
      </c>
      <c r="D3" s="301" t="s">
        <v>171</v>
      </c>
    </row>
    <row r="4" spans="1:6" ht="74.25" customHeight="1" thickTop="1">
      <c r="A4" s="201" t="s">
        <v>420</v>
      </c>
      <c r="B4" s="200">
        <v>0</v>
      </c>
      <c r="C4" s="200">
        <f>'기성정산내역(중앙_2권역 대행)'!K35</f>
        <v>28435000</v>
      </c>
      <c r="D4" s="200">
        <f>B4+C4</f>
        <v>28435000</v>
      </c>
      <c r="F4" s="177"/>
    </row>
    <row r="5" spans="1:6" ht="74.25" customHeight="1">
      <c r="A5" s="199" t="s">
        <v>436</v>
      </c>
      <c r="B5" s="200">
        <v>0</v>
      </c>
      <c r="C5" s="200">
        <f>'기성정산내역(수지-수원_시티_건가)'!K35</f>
        <v>536635000</v>
      </c>
      <c r="D5" s="200">
        <f>B5+C5</f>
        <v>536635000</v>
      </c>
      <c r="F5" s="177"/>
    </row>
    <row r="6" spans="1:6" ht="74.25" customHeight="1">
      <c r="A6" s="199" t="s">
        <v>437</v>
      </c>
      <c r="B6" s="200">
        <v>0</v>
      </c>
      <c r="C6" s="200">
        <f>'기성정산내역(2025열수송관_시티_건가)'!K35</f>
        <v>348150000</v>
      </c>
      <c r="D6" s="200">
        <f>B6+C6</f>
        <v>348150000</v>
      </c>
      <c r="F6" s="177"/>
    </row>
    <row r="7" spans="1:6" ht="74.25" customHeight="1">
      <c r="A7" s="201" t="s">
        <v>440</v>
      </c>
      <c r="B7" s="200">
        <v>0</v>
      </c>
      <c r="C7" s="200">
        <f>'기성정산내역(2024용인_지성_건가)'!K35</f>
        <v>217668000</v>
      </c>
      <c r="D7" s="200">
        <f>B7+C7</f>
        <v>217668000</v>
      </c>
      <c r="F7" s="177"/>
    </row>
    <row r="8" spans="1:6" ht="74.25" customHeight="1">
      <c r="A8" s="201" t="s">
        <v>438</v>
      </c>
      <c r="B8" s="200">
        <v>0</v>
      </c>
      <c r="C8" s="200">
        <f>'기성정산내역(2024용인_지성_제조)'!K35</f>
        <v>91938000</v>
      </c>
      <c r="D8" s="200">
        <f t="shared" ref="D8:D9" si="0">B8+C8</f>
        <v>91938000</v>
      </c>
      <c r="F8" s="177"/>
    </row>
    <row r="9" spans="1:6" ht="74.25" customHeight="1">
      <c r="A9" s="201" t="s">
        <v>439</v>
      </c>
      <c r="B9" s="200">
        <v>0</v>
      </c>
      <c r="C9" s="200">
        <f>'기성정산내역(2024용인_지성_예수금)'!K35</f>
        <v>252923000</v>
      </c>
      <c r="D9" s="200">
        <f t="shared" si="0"/>
        <v>252923000</v>
      </c>
      <c r="F9" s="202"/>
    </row>
    <row r="10" spans="1:6" ht="74.25" customHeight="1" thickBot="1">
      <c r="A10" s="203" t="s">
        <v>172</v>
      </c>
      <c r="B10" s="204">
        <f>SUM(B4:B9)</f>
        <v>0</v>
      </c>
      <c r="C10" s="204">
        <f>SUM(C4:C9)</f>
        <v>1475749000</v>
      </c>
      <c r="D10" s="204">
        <f>SUM(D4:D9)</f>
        <v>1475749000</v>
      </c>
    </row>
    <row r="11" spans="1:6" ht="15" thickTop="1"/>
  </sheetData>
  <mergeCells count="1">
    <mergeCell ref="A1:D1"/>
  </mergeCells>
  <phoneticPr fontId="14" type="noConversion"/>
  <pageMargins left="0.7" right="0.7" top="0.75" bottom="0.75" header="0.3" footer="0.3"/>
  <pageSetup paperSize="9" scale="72" orientation="landscape" r:id="rId1"/>
  <headerFooter>
    <oddFooter>&amp;C&amp;"굴림체,보통"한 국 지 역 난 방 공 사&amp;R-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DO50"/>
  <sheetViews>
    <sheetView view="pageBreakPreview" zoomScale="85" zoomScaleNormal="90" zoomScaleSheetLayoutView="85" workbookViewId="0">
      <pane xSplit="11" ySplit="3" topLeftCell="L21" activePane="bottomRight" state="frozen"/>
      <selection activeCell="A2" sqref="A2:E2"/>
      <selection pane="topRight" activeCell="A2" sqref="A2:E2"/>
      <selection pane="bottomLeft" activeCell="A2" sqref="A2:E2"/>
      <selection pane="bottomRight" activeCell="J35" sqref="J35"/>
    </sheetView>
  </sheetViews>
  <sheetFormatPr defaultRowHeight="34.700000000000003" customHeight="1"/>
  <cols>
    <col min="1" max="1" width="4.625" style="1" customWidth="1"/>
    <col min="2" max="2" width="27.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4.625" style="38" customWidth="1"/>
    <col min="8" max="8" width="10.625" style="40" customWidth="1"/>
    <col min="9" max="9" width="9.875" style="38" customWidth="1"/>
    <col min="10" max="10" width="17.375" style="40" customWidth="1"/>
    <col min="11" max="11" width="18.125" style="38" bestFit="1" customWidth="1"/>
    <col min="12" max="12" width="18.125" style="40" bestFit="1" customWidth="1"/>
    <col min="13" max="13" width="18.125" style="40" customWidth="1"/>
    <col min="14" max="14" width="9.625" style="5" customWidth="1"/>
    <col min="15" max="234" width="9" style="1"/>
    <col min="235" max="235" width="4.625" style="1" customWidth="1"/>
    <col min="236" max="236" width="34.625" style="1" customWidth="1"/>
    <col min="237" max="237" width="11.625" style="1" customWidth="1"/>
    <col min="238" max="239" width="6.625" style="1" customWidth="1"/>
    <col min="240" max="240" width="10.625" style="1" customWidth="1"/>
    <col min="241" max="241" width="14.625" style="1" customWidth="1"/>
    <col min="242" max="242" width="10.625" style="1" customWidth="1"/>
    <col min="243" max="243" width="14.625" style="1" customWidth="1"/>
    <col min="244" max="244" width="10.625" style="1" customWidth="1"/>
    <col min="245" max="245" width="14.625" style="1" customWidth="1"/>
    <col min="246" max="246" width="10.625" style="1" customWidth="1"/>
    <col min="247" max="247" width="18.625" style="1" customWidth="1"/>
    <col min="248" max="248" width="9.625" style="1" customWidth="1"/>
    <col min="249" max="249" width="10.5" style="1" customWidth="1"/>
    <col min="250" max="250" width="20.375" style="1" bestFit="1" customWidth="1"/>
    <col min="251" max="251" width="12.5" style="1" customWidth="1"/>
    <col min="252" max="252" width="13.125" style="1" customWidth="1"/>
    <col min="253" max="257" width="9" style="1"/>
    <col min="258" max="258" width="11.25" style="1" bestFit="1" customWidth="1"/>
    <col min="259" max="259" width="11.625" style="1" bestFit="1" customWidth="1"/>
    <col min="260" max="490" width="9" style="1"/>
    <col min="491" max="491" width="4.625" style="1" customWidth="1"/>
    <col min="492" max="492" width="34.625" style="1" customWidth="1"/>
    <col min="493" max="493" width="11.625" style="1" customWidth="1"/>
    <col min="494" max="495" width="6.625" style="1" customWidth="1"/>
    <col min="496" max="496" width="10.625" style="1" customWidth="1"/>
    <col min="497" max="497" width="14.625" style="1" customWidth="1"/>
    <col min="498" max="498" width="10.625" style="1" customWidth="1"/>
    <col min="499" max="499" width="14.625" style="1" customWidth="1"/>
    <col min="500" max="500" width="10.625" style="1" customWidth="1"/>
    <col min="501" max="501" width="14.625" style="1" customWidth="1"/>
    <col min="502" max="502" width="10.625" style="1" customWidth="1"/>
    <col min="503" max="503" width="18.625" style="1" customWidth="1"/>
    <col min="504" max="504" width="9.625" style="1" customWidth="1"/>
    <col min="505" max="505" width="10.5" style="1" customWidth="1"/>
    <col min="506" max="506" width="20.375" style="1" bestFit="1" customWidth="1"/>
    <col min="507" max="507" width="12.5" style="1" customWidth="1"/>
    <col min="508" max="508" width="13.125" style="1" customWidth="1"/>
    <col min="509" max="513" width="9" style="1"/>
    <col min="514" max="514" width="11.25" style="1" bestFit="1" customWidth="1"/>
    <col min="515" max="515" width="11.625" style="1" bestFit="1" customWidth="1"/>
    <col min="516" max="746" width="9" style="1"/>
    <col min="747" max="747" width="4.625" style="1" customWidth="1"/>
    <col min="748" max="748" width="34.625" style="1" customWidth="1"/>
    <col min="749" max="749" width="11.625" style="1" customWidth="1"/>
    <col min="750" max="751" width="6.625" style="1" customWidth="1"/>
    <col min="752" max="752" width="10.625" style="1" customWidth="1"/>
    <col min="753" max="753" width="14.625" style="1" customWidth="1"/>
    <col min="754" max="754" width="10.625" style="1" customWidth="1"/>
    <col min="755" max="755" width="14.625" style="1" customWidth="1"/>
    <col min="756" max="756" width="10.625" style="1" customWidth="1"/>
    <col min="757" max="757" width="14.625" style="1" customWidth="1"/>
    <col min="758" max="758" width="10.625" style="1" customWidth="1"/>
    <col min="759" max="759" width="18.625" style="1" customWidth="1"/>
    <col min="760" max="760" width="9.625" style="1" customWidth="1"/>
    <col min="761" max="761" width="10.5" style="1" customWidth="1"/>
    <col min="762" max="762" width="20.375" style="1" bestFit="1" customWidth="1"/>
    <col min="763" max="763" width="12.5" style="1" customWidth="1"/>
    <col min="764" max="764" width="13.125" style="1" customWidth="1"/>
    <col min="765" max="769" width="9" style="1"/>
    <col min="770" max="770" width="11.25" style="1" bestFit="1" customWidth="1"/>
    <col min="771" max="771" width="11.625" style="1" bestFit="1" customWidth="1"/>
    <col min="772" max="1002" width="9" style="1"/>
    <col min="1003" max="1003" width="4.625" style="1" customWidth="1"/>
    <col min="1004" max="1004" width="34.625" style="1" customWidth="1"/>
    <col min="1005" max="1005" width="11.625" style="1" customWidth="1"/>
    <col min="1006" max="1007" width="6.625" style="1" customWidth="1"/>
    <col min="1008" max="1008" width="10.625" style="1" customWidth="1"/>
    <col min="1009" max="1009" width="14.625" style="1" customWidth="1"/>
    <col min="1010" max="1010" width="10.625" style="1" customWidth="1"/>
    <col min="1011" max="1011" width="14.625" style="1" customWidth="1"/>
    <col min="1012" max="1012" width="10.625" style="1" customWidth="1"/>
    <col min="1013" max="1013" width="14.625" style="1" customWidth="1"/>
    <col min="1014" max="1014" width="10.625" style="1" customWidth="1"/>
    <col min="1015" max="1015" width="18.625" style="1" customWidth="1"/>
    <col min="1016" max="1016" width="9.625" style="1" customWidth="1"/>
    <col min="1017" max="1017" width="10.5" style="1" customWidth="1"/>
    <col min="1018" max="1018" width="20.375" style="1" bestFit="1" customWidth="1"/>
    <col min="1019" max="1019" width="12.5" style="1" customWidth="1"/>
    <col min="1020" max="1020" width="13.125" style="1" customWidth="1"/>
    <col min="1021" max="1025" width="9" style="1"/>
    <col min="1026" max="1026" width="11.25" style="1" bestFit="1" customWidth="1"/>
    <col min="1027" max="1027" width="11.625" style="1" bestFit="1" customWidth="1"/>
    <col min="1028" max="1258" width="9" style="1"/>
    <col min="1259" max="1259" width="4.625" style="1" customWidth="1"/>
    <col min="1260" max="1260" width="34.625" style="1" customWidth="1"/>
    <col min="1261" max="1261" width="11.625" style="1" customWidth="1"/>
    <col min="1262" max="1263" width="6.625" style="1" customWidth="1"/>
    <col min="1264" max="1264" width="10.625" style="1" customWidth="1"/>
    <col min="1265" max="1265" width="14.625" style="1" customWidth="1"/>
    <col min="1266" max="1266" width="10.625" style="1" customWidth="1"/>
    <col min="1267" max="1267" width="14.625" style="1" customWidth="1"/>
    <col min="1268" max="1268" width="10.625" style="1" customWidth="1"/>
    <col min="1269" max="1269" width="14.625" style="1" customWidth="1"/>
    <col min="1270" max="1270" width="10.625" style="1" customWidth="1"/>
    <col min="1271" max="1271" width="18.625" style="1" customWidth="1"/>
    <col min="1272" max="1272" width="9.625" style="1" customWidth="1"/>
    <col min="1273" max="1273" width="10.5" style="1" customWidth="1"/>
    <col min="1274" max="1274" width="20.375" style="1" bestFit="1" customWidth="1"/>
    <col min="1275" max="1275" width="12.5" style="1" customWidth="1"/>
    <col min="1276" max="1276" width="13.125" style="1" customWidth="1"/>
    <col min="1277" max="1281" width="9" style="1"/>
    <col min="1282" max="1282" width="11.25" style="1" bestFit="1" customWidth="1"/>
    <col min="1283" max="1283" width="11.625" style="1" bestFit="1" customWidth="1"/>
    <col min="1284" max="1514" width="9" style="1"/>
    <col min="1515" max="1515" width="4.625" style="1" customWidth="1"/>
    <col min="1516" max="1516" width="34.625" style="1" customWidth="1"/>
    <col min="1517" max="1517" width="11.625" style="1" customWidth="1"/>
    <col min="1518" max="1519" width="6.625" style="1" customWidth="1"/>
    <col min="1520" max="1520" width="10.625" style="1" customWidth="1"/>
    <col min="1521" max="1521" width="14.625" style="1" customWidth="1"/>
    <col min="1522" max="1522" width="10.625" style="1" customWidth="1"/>
    <col min="1523" max="1523" width="14.625" style="1" customWidth="1"/>
    <col min="1524" max="1524" width="10.625" style="1" customWidth="1"/>
    <col min="1525" max="1525" width="14.625" style="1" customWidth="1"/>
    <col min="1526" max="1526" width="10.625" style="1" customWidth="1"/>
    <col min="1527" max="1527" width="18.625" style="1" customWidth="1"/>
    <col min="1528" max="1528" width="9.625" style="1" customWidth="1"/>
    <col min="1529" max="1529" width="10.5" style="1" customWidth="1"/>
    <col min="1530" max="1530" width="20.375" style="1" bestFit="1" customWidth="1"/>
    <col min="1531" max="1531" width="12.5" style="1" customWidth="1"/>
    <col min="1532" max="1532" width="13.125" style="1" customWidth="1"/>
    <col min="1533" max="1537" width="9" style="1"/>
    <col min="1538" max="1538" width="11.25" style="1" bestFit="1" customWidth="1"/>
    <col min="1539" max="1539" width="11.625" style="1" bestFit="1" customWidth="1"/>
    <col min="1540" max="1770" width="9" style="1"/>
    <col min="1771" max="1771" width="4.625" style="1" customWidth="1"/>
    <col min="1772" max="1772" width="34.625" style="1" customWidth="1"/>
    <col min="1773" max="1773" width="11.625" style="1" customWidth="1"/>
    <col min="1774" max="1775" width="6.625" style="1" customWidth="1"/>
    <col min="1776" max="1776" width="10.625" style="1" customWidth="1"/>
    <col min="1777" max="1777" width="14.625" style="1" customWidth="1"/>
    <col min="1778" max="1778" width="10.625" style="1" customWidth="1"/>
    <col min="1779" max="1779" width="14.625" style="1" customWidth="1"/>
    <col min="1780" max="1780" width="10.625" style="1" customWidth="1"/>
    <col min="1781" max="1781" width="14.625" style="1" customWidth="1"/>
    <col min="1782" max="1782" width="10.625" style="1" customWidth="1"/>
    <col min="1783" max="1783" width="18.625" style="1" customWidth="1"/>
    <col min="1784" max="1784" width="9.625" style="1" customWidth="1"/>
    <col min="1785" max="1785" width="10.5" style="1" customWidth="1"/>
    <col min="1786" max="1786" width="20.375" style="1" bestFit="1" customWidth="1"/>
    <col min="1787" max="1787" width="12.5" style="1" customWidth="1"/>
    <col min="1788" max="1788" width="13.125" style="1" customWidth="1"/>
    <col min="1789" max="1793" width="9" style="1"/>
    <col min="1794" max="1794" width="11.25" style="1" bestFit="1" customWidth="1"/>
    <col min="1795" max="1795" width="11.625" style="1" bestFit="1" customWidth="1"/>
    <col min="1796" max="2026" width="9" style="1"/>
    <col min="2027" max="2027" width="4.625" style="1" customWidth="1"/>
    <col min="2028" max="2028" width="34.625" style="1" customWidth="1"/>
    <col min="2029" max="2029" width="11.625" style="1" customWidth="1"/>
    <col min="2030" max="2031" width="6.625" style="1" customWidth="1"/>
    <col min="2032" max="2032" width="10.625" style="1" customWidth="1"/>
    <col min="2033" max="2033" width="14.625" style="1" customWidth="1"/>
    <col min="2034" max="2034" width="10.625" style="1" customWidth="1"/>
    <col min="2035" max="2035" width="14.625" style="1" customWidth="1"/>
    <col min="2036" max="2036" width="10.625" style="1" customWidth="1"/>
    <col min="2037" max="2037" width="14.625" style="1" customWidth="1"/>
    <col min="2038" max="2038" width="10.625" style="1" customWidth="1"/>
    <col min="2039" max="2039" width="18.625" style="1" customWidth="1"/>
    <col min="2040" max="2040" width="9.625" style="1" customWidth="1"/>
    <col min="2041" max="2041" width="10.5" style="1" customWidth="1"/>
    <col min="2042" max="2042" width="20.375" style="1" bestFit="1" customWidth="1"/>
    <col min="2043" max="2043" width="12.5" style="1" customWidth="1"/>
    <col min="2044" max="2044" width="13.125" style="1" customWidth="1"/>
    <col min="2045" max="2049" width="9" style="1"/>
    <col min="2050" max="2050" width="11.25" style="1" bestFit="1" customWidth="1"/>
    <col min="2051" max="2051" width="11.625" style="1" bestFit="1" customWidth="1"/>
    <col min="2052" max="2282" width="9" style="1"/>
    <col min="2283" max="2283" width="4.625" style="1" customWidth="1"/>
    <col min="2284" max="2284" width="34.625" style="1" customWidth="1"/>
    <col min="2285" max="2285" width="11.625" style="1" customWidth="1"/>
    <col min="2286" max="2287" width="6.625" style="1" customWidth="1"/>
    <col min="2288" max="2288" width="10.625" style="1" customWidth="1"/>
    <col min="2289" max="2289" width="14.625" style="1" customWidth="1"/>
    <col min="2290" max="2290" width="10.625" style="1" customWidth="1"/>
    <col min="2291" max="2291" width="14.625" style="1" customWidth="1"/>
    <col min="2292" max="2292" width="10.625" style="1" customWidth="1"/>
    <col min="2293" max="2293" width="14.625" style="1" customWidth="1"/>
    <col min="2294" max="2294" width="10.625" style="1" customWidth="1"/>
    <col min="2295" max="2295" width="18.625" style="1" customWidth="1"/>
    <col min="2296" max="2296" width="9.625" style="1" customWidth="1"/>
    <col min="2297" max="2297" width="10.5" style="1" customWidth="1"/>
    <col min="2298" max="2298" width="20.375" style="1" bestFit="1" customWidth="1"/>
    <col min="2299" max="2299" width="12.5" style="1" customWidth="1"/>
    <col min="2300" max="2300" width="13.125" style="1" customWidth="1"/>
    <col min="2301" max="2305" width="9" style="1"/>
    <col min="2306" max="2306" width="11.25" style="1" bestFit="1" customWidth="1"/>
    <col min="2307" max="2307" width="11.625" style="1" bestFit="1" customWidth="1"/>
    <col min="2308" max="2538" width="9" style="1"/>
    <col min="2539" max="2539" width="4.625" style="1" customWidth="1"/>
    <col min="2540" max="2540" width="34.625" style="1" customWidth="1"/>
    <col min="2541" max="2541" width="11.625" style="1" customWidth="1"/>
    <col min="2542" max="2543" width="6.625" style="1" customWidth="1"/>
    <col min="2544" max="2544" width="10.625" style="1" customWidth="1"/>
    <col min="2545" max="2545" width="14.625" style="1" customWidth="1"/>
    <col min="2546" max="2546" width="10.625" style="1" customWidth="1"/>
    <col min="2547" max="2547" width="14.625" style="1" customWidth="1"/>
    <col min="2548" max="2548" width="10.625" style="1" customWidth="1"/>
    <col min="2549" max="2549" width="14.625" style="1" customWidth="1"/>
    <col min="2550" max="2550" width="10.625" style="1" customWidth="1"/>
    <col min="2551" max="2551" width="18.625" style="1" customWidth="1"/>
    <col min="2552" max="2552" width="9.625" style="1" customWidth="1"/>
    <col min="2553" max="2553" width="10.5" style="1" customWidth="1"/>
    <col min="2554" max="2554" width="20.375" style="1" bestFit="1" customWidth="1"/>
    <col min="2555" max="2555" width="12.5" style="1" customWidth="1"/>
    <col min="2556" max="2556" width="13.125" style="1" customWidth="1"/>
    <col min="2557" max="2561" width="9" style="1"/>
    <col min="2562" max="2562" width="11.25" style="1" bestFit="1" customWidth="1"/>
    <col min="2563" max="2563" width="11.625" style="1" bestFit="1" customWidth="1"/>
    <col min="2564" max="2794" width="9" style="1"/>
    <col min="2795" max="2795" width="4.625" style="1" customWidth="1"/>
    <col min="2796" max="2796" width="34.625" style="1" customWidth="1"/>
    <col min="2797" max="2797" width="11.625" style="1" customWidth="1"/>
    <col min="2798" max="2799" width="6.625" style="1" customWidth="1"/>
    <col min="2800" max="2800" width="10.625" style="1" customWidth="1"/>
    <col min="2801" max="2801" width="14.625" style="1" customWidth="1"/>
    <col min="2802" max="2802" width="10.625" style="1" customWidth="1"/>
    <col min="2803" max="2803" width="14.625" style="1" customWidth="1"/>
    <col min="2804" max="2804" width="10.625" style="1" customWidth="1"/>
    <col min="2805" max="2805" width="14.625" style="1" customWidth="1"/>
    <col min="2806" max="2806" width="10.625" style="1" customWidth="1"/>
    <col min="2807" max="2807" width="18.625" style="1" customWidth="1"/>
    <col min="2808" max="2808" width="9.625" style="1" customWidth="1"/>
    <col min="2809" max="2809" width="10.5" style="1" customWidth="1"/>
    <col min="2810" max="2810" width="20.375" style="1" bestFit="1" customWidth="1"/>
    <col min="2811" max="2811" width="12.5" style="1" customWidth="1"/>
    <col min="2812" max="2812" width="13.125" style="1" customWidth="1"/>
    <col min="2813" max="2817" width="9" style="1"/>
    <col min="2818" max="2818" width="11.25" style="1" bestFit="1" customWidth="1"/>
    <col min="2819" max="2819" width="11.625" style="1" bestFit="1" customWidth="1"/>
    <col min="2820" max="3050" width="9" style="1"/>
    <col min="3051" max="3051" width="4.625" style="1" customWidth="1"/>
    <col min="3052" max="3052" width="34.625" style="1" customWidth="1"/>
    <col min="3053" max="3053" width="11.625" style="1" customWidth="1"/>
    <col min="3054" max="3055" width="6.625" style="1" customWidth="1"/>
    <col min="3056" max="3056" width="10.625" style="1" customWidth="1"/>
    <col min="3057" max="3057" width="14.625" style="1" customWidth="1"/>
    <col min="3058" max="3058" width="10.625" style="1" customWidth="1"/>
    <col min="3059" max="3059" width="14.625" style="1" customWidth="1"/>
    <col min="3060" max="3060" width="10.625" style="1" customWidth="1"/>
    <col min="3061" max="3061" width="14.625" style="1" customWidth="1"/>
    <col min="3062" max="3062" width="10.625" style="1" customWidth="1"/>
    <col min="3063" max="3063" width="18.625" style="1" customWidth="1"/>
    <col min="3064" max="3064" width="9.625" style="1" customWidth="1"/>
    <col min="3065" max="3065" width="10.5" style="1" customWidth="1"/>
    <col min="3066" max="3066" width="20.375" style="1" bestFit="1" customWidth="1"/>
    <col min="3067" max="3067" width="12.5" style="1" customWidth="1"/>
    <col min="3068" max="3068" width="13.125" style="1" customWidth="1"/>
    <col min="3069" max="3073" width="9" style="1"/>
    <col min="3074" max="3074" width="11.25" style="1" bestFit="1" customWidth="1"/>
    <col min="3075" max="3075" width="11.625" style="1" bestFit="1" customWidth="1"/>
    <col min="3076" max="3306" width="9" style="1"/>
    <col min="3307" max="3307" width="4.625" style="1" customWidth="1"/>
    <col min="3308" max="3308" width="34.625" style="1" customWidth="1"/>
    <col min="3309" max="3309" width="11.625" style="1" customWidth="1"/>
    <col min="3310" max="3311" width="6.625" style="1" customWidth="1"/>
    <col min="3312" max="3312" width="10.625" style="1" customWidth="1"/>
    <col min="3313" max="3313" width="14.625" style="1" customWidth="1"/>
    <col min="3314" max="3314" width="10.625" style="1" customWidth="1"/>
    <col min="3315" max="3315" width="14.625" style="1" customWidth="1"/>
    <col min="3316" max="3316" width="10.625" style="1" customWidth="1"/>
    <col min="3317" max="3317" width="14.625" style="1" customWidth="1"/>
    <col min="3318" max="3318" width="10.625" style="1" customWidth="1"/>
    <col min="3319" max="3319" width="18.625" style="1" customWidth="1"/>
    <col min="3320" max="3320" width="9.625" style="1" customWidth="1"/>
    <col min="3321" max="3321" width="10.5" style="1" customWidth="1"/>
    <col min="3322" max="3322" width="20.375" style="1" bestFit="1" customWidth="1"/>
    <col min="3323" max="3323" width="12.5" style="1" customWidth="1"/>
    <col min="3324" max="3324" width="13.125" style="1" customWidth="1"/>
    <col min="3325" max="3329" width="9" style="1"/>
    <col min="3330" max="3330" width="11.25" style="1" bestFit="1" customWidth="1"/>
    <col min="3331" max="3331" width="11.625" style="1" bestFit="1" customWidth="1"/>
    <col min="3332" max="3562" width="9" style="1"/>
    <col min="3563" max="3563" width="4.625" style="1" customWidth="1"/>
    <col min="3564" max="3564" width="34.625" style="1" customWidth="1"/>
    <col min="3565" max="3565" width="11.625" style="1" customWidth="1"/>
    <col min="3566" max="3567" width="6.625" style="1" customWidth="1"/>
    <col min="3568" max="3568" width="10.625" style="1" customWidth="1"/>
    <col min="3569" max="3569" width="14.625" style="1" customWidth="1"/>
    <col min="3570" max="3570" width="10.625" style="1" customWidth="1"/>
    <col min="3571" max="3571" width="14.625" style="1" customWidth="1"/>
    <col min="3572" max="3572" width="10.625" style="1" customWidth="1"/>
    <col min="3573" max="3573" width="14.625" style="1" customWidth="1"/>
    <col min="3574" max="3574" width="10.625" style="1" customWidth="1"/>
    <col min="3575" max="3575" width="18.625" style="1" customWidth="1"/>
    <col min="3576" max="3576" width="9.625" style="1" customWidth="1"/>
    <col min="3577" max="3577" width="10.5" style="1" customWidth="1"/>
    <col min="3578" max="3578" width="20.375" style="1" bestFit="1" customWidth="1"/>
    <col min="3579" max="3579" width="12.5" style="1" customWidth="1"/>
    <col min="3580" max="3580" width="13.125" style="1" customWidth="1"/>
    <col min="3581" max="3585" width="9" style="1"/>
    <col min="3586" max="3586" width="11.25" style="1" bestFit="1" customWidth="1"/>
    <col min="3587" max="3587" width="11.625" style="1" bestFit="1" customWidth="1"/>
    <col min="3588" max="3818" width="9" style="1"/>
    <col min="3819" max="3819" width="4.625" style="1" customWidth="1"/>
    <col min="3820" max="3820" width="34.625" style="1" customWidth="1"/>
    <col min="3821" max="3821" width="11.625" style="1" customWidth="1"/>
    <col min="3822" max="3823" width="6.625" style="1" customWidth="1"/>
    <col min="3824" max="3824" width="10.625" style="1" customWidth="1"/>
    <col min="3825" max="3825" width="14.625" style="1" customWidth="1"/>
    <col min="3826" max="3826" width="10.625" style="1" customWidth="1"/>
    <col min="3827" max="3827" width="14.625" style="1" customWidth="1"/>
    <col min="3828" max="3828" width="10.625" style="1" customWidth="1"/>
    <col min="3829" max="3829" width="14.625" style="1" customWidth="1"/>
    <col min="3830" max="3830" width="10.625" style="1" customWidth="1"/>
    <col min="3831" max="3831" width="18.625" style="1" customWidth="1"/>
    <col min="3832" max="3832" width="9.625" style="1" customWidth="1"/>
    <col min="3833" max="3833" width="10.5" style="1" customWidth="1"/>
    <col min="3834" max="3834" width="20.375" style="1" bestFit="1" customWidth="1"/>
    <col min="3835" max="3835" width="12.5" style="1" customWidth="1"/>
    <col min="3836" max="3836" width="13.125" style="1" customWidth="1"/>
    <col min="3837" max="3841" width="9" style="1"/>
    <col min="3842" max="3842" width="11.25" style="1" bestFit="1" customWidth="1"/>
    <col min="3843" max="3843" width="11.625" style="1" bestFit="1" customWidth="1"/>
    <col min="3844" max="4074" width="9" style="1"/>
    <col min="4075" max="4075" width="4.625" style="1" customWidth="1"/>
    <col min="4076" max="4076" width="34.625" style="1" customWidth="1"/>
    <col min="4077" max="4077" width="11.625" style="1" customWidth="1"/>
    <col min="4078" max="4079" width="6.625" style="1" customWidth="1"/>
    <col min="4080" max="4080" width="10.625" style="1" customWidth="1"/>
    <col min="4081" max="4081" width="14.625" style="1" customWidth="1"/>
    <col min="4082" max="4082" width="10.625" style="1" customWidth="1"/>
    <col min="4083" max="4083" width="14.625" style="1" customWidth="1"/>
    <col min="4084" max="4084" width="10.625" style="1" customWidth="1"/>
    <col min="4085" max="4085" width="14.625" style="1" customWidth="1"/>
    <col min="4086" max="4086" width="10.625" style="1" customWidth="1"/>
    <col min="4087" max="4087" width="18.625" style="1" customWidth="1"/>
    <col min="4088" max="4088" width="9.625" style="1" customWidth="1"/>
    <col min="4089" max="4089" width="10.5" style="1" customWidth="1"/>
    <col min="4090" max="4090" width="20.375" style="1" bestFit="1" customWidth="1"/>
    <col min="4091" max="4091" width="12.5" style="1" customWidth="1"/>
    <col min="4092" max="4092" width="13.125" style="1" customWidth="1"/>
    <col min="4093" max="4097" width="9" style="1"/>
    <col min="4098" max="4098" width="11.25" style="1" bestFit="1" customWidth="1"/>
    <col min="4099" max="4099" width="11.625" style="1" bestFit="1" customWidth="1"/>
    <col min="4100" max="4330" width="9" style="1"/>
    <col min="4331" max="4331" width="4.625" style="1" customWidth="1"/>
    <col min="4332" max="4332" width="34.625" style="1" customWidth="1"/>
    <col min="4333" max="4333" width="11.625" style="1" customWidth="1"/>
    <col min="4334" max="4335" width="6.625" style="1" customWidth="1"/>
    <col min="4336" max="4336" width="10.625" style="1" customWidth="1"/>
    <col min="4337" max="4337" width="14.625" style="1" customWidth="1"/>
    <col min="4338" max="4338" width="10.625" style="1" customWidth="1"/>
    <col min="4339" max="4339" width="14.625" style="1" customWidth="1"/>
    <col min="4340" max="4340" width="10.625" style="1" customWidth="1"/>
    <col min="4341" max="4341" width="14.625" style="1" customWidth="1"/>
    <col min="4342" max="4342" width="10.625" style="1" customWidth="1"/>
    <col min="4343" max="4343" width="18.625" style="1" customWidth="1"/>
    <col min="4344" max="4344" width="9.625" style="1" customWidth="1"/>
    <col min="4345" max="4345" width="10.5" style="1" customWidth="1"/>
    <col min="4346" max="4346" width="20.375" style="1" bestFit="1" customWidth="1"/>
    <col min="4347" max="4347" width="12.5" style="1" customWidth="1"/>
    <col min="4348" max="4348" width="13.125" style="1" customWidth="1"/>
    <col min="4349" max="4353" width="9" style="1"/>
    <col min="4354" max="4354" width="11.25" style="1" bestFit="1" customWidth="1"/>
    <col min="4355" max="4355" width="11.625" style="1" bestFit="1" customWidth="1"/>
    <col min="4356" max="4586" width="9" style="1"/>
    <col min="4587" max="4587" width="4.625" style="1" customWidth="1"/>
    <col min="4588" max="4588" width="34.625" style="1" customWidth="1"/>
    <col min="4589" max="4589" width="11.625" style="1" customWidth="1"/>
    <col min="4590" max="4591" width="6.625" style="1" customWidth="1"/>
    <col min="4592" max="4592" width="10.625" style="1" customWidth="1"/>
    <col min="4593" max="4593" width="14.625" style="1" customWidth="1"/>
    <col min="4594" max="4594" width="10.625" style="1" customWidth="1"/>
    <col min="4595" max="4595" width="14.625" style="1" customWidth="1"/>
    <col min="4596" max="4596" width="10.625" style="1" customWidth="1"/>
    <col min="4597" max="4597" width="14.625" style="1" customWidth="1"/>
    <col min="4598" max="4598" width="10.625" style="1" customWidth="1"/>
    <col min="4599" max="4599" width="18.625" style="1" customWidth="1"/>
    <col min="4600" max="4600" width="9.625" style="1" customWidth="1"/>
    <col min="4601" max="4601" width="10.5" style="1" customWidth="1"/>
    <col min="4602" max="4602" width="20.375" style="1" bestFit="1" customWidth="1"/>
    <col min="4603" max="4603" width="12.5" style="1" customWidth="1"/>
    <col min="4604" max="4604" width="13.125" style="1" customWidth="1"/>
    <col min="4605" max="4609" width="9" style="1"/>
    <col min="4610" max="4610" width="11.25" style="1" bestFit="1" customWidth="1"/>
    <col min="4611" max="4611" width="11.625" style="1" bestFit="1" customWidth="1"/>
    <col min="4612" max="4842" width="9" style="1"/>
    <col min="4843" max="4843" width="4.625" style="1" customWidth="1"/>
    <col min="4844" max="4844" width="34.625" style="1" customWidth="1"/>
    <col min="4845" max="4845" width="11.625" style="1" customWidth="1"/>
    <col min="4846" max="4847" width="6.625" style="1" customWidth="1"/>
    <col min="4848" max="4848" width="10.625" style="1" customWidth="1"/>
    <col min="4849" max="4849" width="14.625" style="1" customWidth="1"/>
    <col min="4850" max="4850" width="10.625" style="1" customWidth="1"/>
    <col min="4851" max="4851" width="14.625" style="1" customWidth="1"/>
    <col min="4852" max="4852" width="10.625" style="1" customWidth="1"/>
    <col min="4853" max="4853" width="14.625" style="1" customWidth="1"/>
    <col min="4854" max="4854" width="10.625" style="1" customWidth="1"/>
    <col min="4855" max="4855" width="18.625" style="1" customWidth="1"/>
    <col min="4856" max="4856" width="9.625" style="1" customWidth="1"/>
    <col min="4857" max="4857" width="10.5" style="1" customWidth="1"/>
    <col min="4858" max="4858" width="20.375" style="1" bestFit="1" customWidth="1"/>
    <col min="4859" max="4859" width="12.5" style="1" customWidth="1"/>
    <col min="4860" max="4860" width="13.125" style="1" customWidth="1"/>
    <col min="4861" max="4865" width="9" style="1"/>
    <col min="4866" max="4866" width="11.25" style="1" bestFit="1" customWidth="1"/>
    <col min="4867" max="4867" width="11.625" style="1" bestFit="1" customWidth="1"/>
    <col min="4868" max="5098" width="9" style="1"/>
    <col min="5099" max="5099" width="4.625" style="1" customWidth="1"/>
    <col min="5100" max="5100" width="34.625" style="1" customWidth="1"/>
    <col min="5101" max="5101" width="11.625" style="1" customWidth="1"/>
    <col min="5102" max="5103" width="6.625" style="1" customWidth="1"/>
    <col min="5104" max="5104" width="10.625" style="1" customWidth="1"/>
    <col min="5105" max="5105" width="14.625" style="1" customWidth="1"/>
    <col min="5106" max="5106" width="10.625" style="1" customWidth="1"/>
    <col min="5107" max="5107" width="14.625" style="1" customWidth="1"/>
    <col min="5108" max="5108" width="10.625" style="1" customWidth="1"/>
    <col min="5109" max="5109" width="14.625" style="1" customWidth="1"/>
    <col min="5110" max="5110" width="10.625" style="1" customWidth="1"/>
    <col min="5111" max="5111" width="18.625" style="1" customWidth="1"/>
    <col min="5112" max="5112" width="9.625" style="1" customWidth="1"/>
    <col min="5113" max="5113" width="10.5" style="1" customWidth="1"/>
    <col min="5114" max="5114" width="20.375" style="1" bestFit="1" customWidth="1"/>
    <col min="5115" max="5115" width="12.5" style="1" customWidth="1"/>
    <col min="5116" max="5116" width="13.125" style="1" customWidth="1"/>
    <col min="5117" max="5121" width="9" style="1"/>
    <col min="5122" max="5122" width="11.25" style="1" bestFit="1" customWidth="1"/>
    <col min="5123" max="5123" width="11.625" style="1" bestFit="1" customWidth="1"/>
    <col min="5124" max="5354" width="9" style="1"/>
    <col min="5355" max="5355" width="4.625" style="1" customWidth="1"/>
    <col min="5356" max="5356" width="34.625" style="1" customWidth="1"/>
    <col min="5357" max="5357" width="11.625" style="1" customWidth="1"/>
    <col min="5358" max="5359" width="6.625" style="1" customWidth="1"/>
    <col min="5360" max="5360" width="10.625" style="1" customWidth="1"/>
    <col min="5361" max="5361" width="14.625" style="1" customWidth="1"/>
    <col min="5362" max="5362" width="10.625" style="1" customWidth="1"/>
    <col min="5363" max="5363" width="14.625" style="1" customWidth="1"/>
    <col min="5364" max="5364" width="10.625" style="1" customWidth="1"/>
    <col min="5365" max="5365" width="14.625" style="1" customWidth="1"/>
    <col min="5366" max="5366" width="10.625" style="1" customWidth="1"/>
    <col min="5367" max="5367" width="18.625" style="1" customWidth="1"/>
    <col min="5368" max="5368" width="9.625" style="1" customWidth="1"/>
    <col min="5369" max="5369" width="10.5" style="1" customWidth="1"/>
    <col min="5370" max="5370" width="20.375" style="1" bestFit="1" customWidth="1"/>
    <col min="5371" max="5371" width="12.5" style="1" customWidth="1"/>
    <col min="5372" max="5372" width="13.125" style="1" customWidth="1"/>
    <col min="5373" max="5377" width="9" style="1"/>
    <col min="5378" max="5378" width="11.25" style="1" bestFit="1" customWidth="1"/>
    <col min="5379" max="5379" width="11.625" style="1" bestFit="1" customWidth="1"/>
    <col min="5380" max="5610" width="9" style="1"/>
    <col min="5611" max="5611" width="4.625" style="1" customWidth="1"/>
    <col min="5612" max="5612" width="34.625" style="1" customWidth="1"/>
    <col min="5613" max="5613" width="11.625" style="1" customWidth="1"/>
    <col min="5614" max="5615" width="6.625" style="1" customWidth="1"/>
    <col min="5616" max="5616" width="10.625" style="1" customWidth="1"/>
    <col min="5617" max="5617" width="14.625" style="1" customWidth="1"/>
    <col min="5618" max="5618" width="10.625" style="1" customWidth="1"/>
    <col min="5619" max="5619" width="14.625" style="1" customWidth="1"/>
    <col min="5620" max="5620" width="10.625" style="1" customWidth="1"/>
    <col min="5621" max="5621" width="14.625" style="1" customWidth="1"/>
    <col min="5622" max="5622" width="10.625" style="1" customWidth="1"/>
    <col min="5623" max="5623" width="18.625" style="1" customWidth="1"/>
    <col min="5624" max="5624" width="9.625" style="1" customWidth="1"/>
    <col min="5625" max="5625" width="10.5" style="1" customWidth="1"/>
    <col min="5626" max="5626" width="20.375" style="1" bestFit="1" customWidth="1"/>
    <col min="5627" max="5627" width="12.5" style="1" customWidth="1"/>
    <col min="5628" max="5628" width="13.125" style="1" customWidth="1"/>
    <col min="5629" max="5633" width="9" style="1"/>
    <col min="5634" max="5634" width="11.25" style="1" bestFit="1" customWidth="1"/>
    <col min="5635" max="5635" width="11.625" style="1" bestFit="1" customWidth="1"/>
    <col min="5636" max="5866" width="9" style="1"/>
    <col min="5867" max="5867" width="4.625" style="1" customWidth="1"/>
    <col min="5868" max="5868" width="34.625" style="1" customWidth="1"/>
    <col min="5869" max="5869" width="11.625" style="1" customWidth="1"/>
    <col min="5870" max="5871" width="6.625" style="1" customWidth="1"/>
    <col min="5872" max="5872" width="10.625" style="1" customWidth="1"/>
    <col min="5873" max="5873" width="14.625" style="1" customWidth="1"/>
    <col min="5874" max="5874" width="10.625" style="1" customWidth="1"/>
    <col min="5875" max="5875" width="14.625" style="1" customWidth="1"/>
    <col min="5876" max="5876" width="10.625" style="1" customWidth="1"/>
    <col min="5877" max="5877" width="14.625" style="1" customWidth="1"/>
    <col min="5878" max="5878" width="10.625" style="1" customWidth="1"/>
    <col min="5879" max="5879" width="18.625" style="1" customWidth="1"/>
    <col min="5880" max="5880" width="9.625" style="1" customWidth="1"/>
    <col min="5881" max="5881" width="10.5" style="1" customWidth="1"/>
    <col min="5882" max="5882" width="20.375" style="1" bestFit="1" customWidth="1"/>
    <col min="5883" max="5883" width="12.5" style="1" customWidth="1"/>
    <col min="5884" max="5884" width="13.125" style="1" customWidth="1"/>
    <col min="5885" max="5889" width="9" style="1"/>
    <col min="5890" max="5890" width="11.25" style="1" bestFit="1" customWidth="1"/>
    <col min="5891" max="5891" width="11.625" style="1" bestFit="1" customWidth="1"/>
    <col min="5892" max="6122" width="9" style="1"/>
    <col min="6123" max="6123" width="4.625" style="1" customWidth="1"/>
    <col min="6124" max="6124" width="34.625" style="1" customWidth="1"/>
    <col min="6125" max="6125" width="11.625" style="1" customWidth="1"/>
    <col min="6126" max="6127" width="6.625" style="1" customWidth="1"/>
    <col min="6128" max="6128" width="10.625" style="1" customWidth="1"/>
    <col min="6129" max="6129" width="14.625" style="1" customWidth="1"/>
    <col min="6130" max="6130" width="10.625" style="1" customWidth="1"/>
    <col min="6131" max="6131" width="14.625" style="1" customWidth="1"/>
    <col min="6132" max="6132" width="10.625" style="1" customWidth="1"/>
    <col min="6133" max="6133" width="14.625" style="1" customWidth="1"/>
    <col min="6134" max="6134" width="10.625" style="1" customWidth="1"/>
    <col min="6135" max="6135" width="18.625" style="1" customWidth="1"/>
    <col min="6136" max="6136" width="9.625" style="1" customWidth="1"/>
    <col min="6137" max="6137" width="10.5" style="1" customWidth="1"/>
    <col min="6138" max="6138" width="20.375" style="1" bestFit="1" customWidth="1"/>
    <col min="6139" max="6139" width="12.5" style="1" customWidth="1"/>
    <col min="6140" max="6140" width="13.125" style="1" customWidth="1"/>
    <col min="6141" max="6145" width="9" style="1"/>
    <col min="6146" max="6146" width="11.25" style="1" bestFit="1" customWidth="1"/>
    <col min="6147" max="6147" width="11.625" style="1" bestFit="1" customWidth="1"/>
    <col min="6148" max="6378" width="9" style="1"/>
    <col min="6379" max="6379" width="4.625" style="1" customWidth="1"/>
    <col min="6380" max="6380" width="34.625" style="1" customWidth="1"/>
    <col min="6381" max="6381" width="11.625" style="1" customWidth="1"/>
    <col min="6382" max="6383" width="6.625" style="1" customWidth="1"/>
    <col min="6384" max="6384" width="10.625" style="1" customWidth="1"/>
    <col min="6385" max="6385" width="14.625" style="1" customWidth="1"/>
    <col min="6386" max="6386" width="10.625" style="1" customWidth="1"/>
    <col min="6387" max="6387" width="14.625" style="1" customWidth="1"/>
    <col min="6388" max="6388" width="10.625" style="1" customWidth="1"/>
    <col min="6389" max="6389" width="14.625" style="1" customWidth="1"/>
    <col min="6390" max="6390" width="10.625" style="1" customWidth="1"/>
    <col min="6391" max="6391" width="18.625" style="1" customWidth="1"/>
    <col min="6392" max="6392" width="9.625" style="1" customWidth="1"/>
    <col min="6393" max="6393" width="10.5" style="1" customWidth="1"/>
    <col min="6394" max="6394" width="20.375" style="1" bestFit="1" customWidth="1"/>
    <col min="6395" max="6395" width="12.5" style="1" customWidth="1"/>
    <col min="6396" max="6396" width="13.125" style="1" customWidth="1"/>
    <col min="6397" max="6401" width="9" style="1"/>
    <col min="6402" max="6402" width="11.25" style="1" bestFit="1" customWidth="1"/>
    <col min="6403" max="6403" width="11.625" style="1" bestFit="1" customWidth="1"/>
    <col min="6404" max="6634" width="9" style="1"/>
    <col min="6635" max="6635" width="4.625" style="1" customWidth="1"/>
    <col min="6636" max="6636" width="34.625" style="1" customWidth="1"/>
    <col min="6637" max="6637" width="11.625" style="1" customWidth="1"/>
    <col min="6638" max="6639" width="6.625" style="1" customWidth="1"/>
    <col min="6640" max="6640" width="10.625" style="1" customWidth="1"/>
    <col min="6641" max="6641" width="14.625" style="1" customWidth="1"/>
    <col min="6642" max="6642" width="10.625" style="1" customWidth="1"/>
    <col min="6643" max="6643" width="14.625" style="1" customWidth="1"/>
    <col min="6644" max="6644" width="10.625" style="1" customWidth="1"/>
    <col min="6645" max="6645" width="14.625" style="1" customWidth="1"/>
    <col min="6646" max="6646" width="10.625" style="1" customWidth="1"/>
    <col min="6647" max="6647" width="18.625" style="1" customWidth="1"/>
    <col min="6648" max="6648" width="9.625" style="1" customWidth="1"/>
    <col min="6649" max="6649" width="10.5" style="1" customWidth="1"/>
    <col min="6650" max="6650" width="20.375" style="1" bestFit="1" customWidth="1"/>
    <col min="6651" max="6651" width="12.5" style="1" customWidth="1"/>
    <col min="6652" max="6652" width="13.125" style="1" customWidth="1"/>
    <col min="6653" max="6657" width="9" style="1"/>
    <col min="6658" max="6658" width="11.25" style="1" bestFit="1" customWidth="1"/>
    <col min="6659" max="6659" width="11.625" style="1" bestFit="1" customWidth="1"/>
    <col min="6660" max="6890" width="9" style="1"/>
    <col min="6891" max="6891" width="4.625" style="1" customWidth="1"/>
    <col min="6892" max="6892" width="34.625" style="1" customWidth="1"/>
    <col min="6893" max="6893" width="11.625" style="1" customWidth="1"/>
    <col min="6894" max="6895" width="6.625" style="1" customWidth="1"/>
    <col min="6896" max="6896" width="10.625" style="1" customWidth="1"/>
    <col min="6897" max="6897" width="14.625" style="1" customWidth="1"/>
    <col min="6898" max="6898" width="10.625" style="1" customWidth="1"/>
    <col min="6899" max="6899" width="14.625" style="1" customWidth="1"/>
    <col min="6900" max="6900" width="10.625" style="1" customWidth="1"/>
    <col min="6901" max="6901" width="14.625" style="1" customWidth="1"/>
    <col min="6902" max="6902" width="10.625" style="1" customWidth="1"/>
    <col min="6903" max="6903" width="18.625" style="1" customWidth="1"/>
    <col min="6904" max="6904" width="9.625" style="1" customWidth="1"/>
    <col min="6905" max="6905" width="10.5" style="1" customWidth="1"/>
    <col min="6906" max="6906" width="20.375" style="1" bestFit="1" customWidth="1"/>
    <col min="6907" max="6907" width="12.5" style="1" customWidth="1"/>
    <col min="6908" max="6908" width="13.125" style="1" customWidth="1"/>
    <col min="6909" max="6913" width="9" style="1"/>
    <col min="6914" max="6914" width="11.25" style="1" bestFit="1" customWidth="1"/>
    <col min="6915" max="6915" width="11.625" style="1" bestFit="1" customWidth="1"/>
    <col min="6916" max="7146" width="9" style="1"/>
    <col min="7147" max="7147" width="4.625" style="1" customWidth="1"/>
    <col min="7148" max="7148" width="34.625" style="1" customWidth="1"/>
    <col min="7149" max="7149" width="11.625" style="1" customWidth="1"/>
    <col min="7150" max="7151" width="6.625" style="1" customWidth="1"/>
    <col min="7152" max="7152" width="10.625" style="1" customWidth="1"/>
    <col min="7153" max="7153" width="14.625" style="1" customWidth="1"/>
    <col min="7154" max="7154" width="10.625" style="1" customWidth="1"/>
    <col min="7155" max="7155" width="14.625" style="1" customWidth="1"/>
    <col min="7156" max="7156" width="10.625" style="1" customWidth="1"/>
    <col min="7157" max="7157" width="14.625" style="1" customWidth="1"/>
    <col min="7158" max="7158" width="10.625" style="1" customWidth="1"/>
    <col min="7159" max="7159" width="18.625" style="1" customWidth="1"/>
    <col min="7160" max="7160" width="9.625" style="1" customWidth="1"/>
    <col min="7161" max="7161" width="10.5" style="1" customWidth="1"/>
    <col min="7162" max="7162" width="20.375" style="1" bestFit="1" customWidth="1"/>
    <col min="7163" max="7163" width="12.5" style="1" customWidth="1"/>
    <col min="7164" max="7164" width="13.125" style="1" customWidth="1"/>
    <col min="7165" max="7169" width="9" style="1"/>
    <col min="7170" max="7170" width="11.25" style="1" bestFit="1" customWidth="1"/>
    <col min="7171" max="7171" width="11.625" style="1" bestFit="1" customWidth="1"/>
    <col min="7172" max="7402" width="9" style="1"/>
    <col min="7403" max="7403" width="4.625" style="1" customWidth="1"/>
    <col min="7404" max="7404" width="34.625" style="1" customWidth="1"/>
    <col min="7405" max="7405" width="11.625" style="1" customWidth="1"/>
    <col min="7406" max="7407" width="6.625" style="1" customWidth="1"/>
    <col min="7408" max="7408" width="10.625" style="1" customWidth="1"/>
    <col min="7409" max="7409" width="14.625" style="1" customWidth="1"/>
    <col min="7410" max="7410" width="10.625" style="1" customWidth="1"/>
    <col min="7411" max="7411" width="14.625" style="1" customWidth="1"/>
    <col min="7412" max="7412" width="10.625" style="1" customWidth="1"/>
    <col min="7413" max="7413" width="14.625" style="1" customWidth="1"/>
    <col min="7414" max="7414" width="10.625" style="1" customWidth="1"/>
    <col min="7415" max="7415" width="18.625" style="1" customWidth="1"/>
    <col min="7416" max="7416" width="9.625" style="1" customWidth="1"/>
    <col min="7417" max="7417" width="10.5" style="1" customWidth="1"/>
    <col min="7418" max="7418" width="20.375" style="1" bestFit="1" customWidth="1"/>
    <col min="7419" max="7419" width="12.5" style="1" customWidth="1"/>
    <col min="7420" max="7420" width="13.125" style="1" customWidth="1"/>
    <col min="7421" max="7425" width="9" style="1"/>
    <col min="7426" max="7426" width="11.25" style="1" bestFit="1" customWidth="1"/>
    <col min="7427" max="7427" width="11.625" style="1" bestFit="1" customWidth="1"/>
    <col min="7428" max="7658" width="9" style="1"/>
    <col min="7659" max="7659" width="4.625" style="1" customWidth="1"/>
    <col min="7660" max="7660" width="34.625" style="1" customWidth="1"/>
    <col min="7661" max="7661" width="11.625" style="1" customWidth="1"/>
    <col min="7662" max="7663" width="6.625" style="1" customWidth="1"/>
    <col min="7664" max="7664" width="10.625" style="1" customWidth="1"/>
    <col min="7665" max="7665" width="14.625" style="1" customWidth="1"/>
    <col min="7666" max="7666" width="10.625" style="1" customWidth="1"/>
    <col min="7667" max="7667" width="14.625" style="1" customWidth="1"/>
    <col min="7668" max="7668" width="10.625" style="1" customWidth="1"/>
    <col min="7669" max="7669" width="14.625" style="1" customWidth="1"/>
    <col min="7670" max="7670" width="10.625" style="1" customWidth="1"/>
    <col min="7671" max="7671" width="18.625" style="1" customWidth="1"/>
    <col min="7672" max="7672" width="9.625" style="1" customWidth="1"/>
    <col min="7673" max="7673" width="10.5" style="1" customWidth="1"/>
    <col min="7674" max="7674" width="20.375" style="1" bestFit="1" customWidth="1"/>
    <col min="7675" max="7675" width="12.5" style="1" customWidth="1"/>
    <col min="7676" max="7676" width="13.125" style="1" customWidth="1"/>
    <col min="7677" max="7681" width="9" style="1"/>
    <col min="7682" max="7682" width="11.25" style="1" bestFit="1" customWidth="1"/>
    <col min="7683" max="7683" width="11.625" style="1" bestFit="1" customWidth="1"/>
    <col min="7684" max="7914" width="9" style="1"/>
    <col min="7915" max="7915" width="4.625" style="1" customWidth="1"/>
    <col min="7916" max="7916" width="34.625" style="1" customWidth="1"/>
    <col min="7917" max="7917" width="11.625" style="1" customWidth="1"/>
    <col min="7918" max="7919" width="6.625" style="1" customWidth="1"/>
    <col min="7920" max="7920" width="10.625" style="1" customWidth="1"/>
    <col min="7921" max="7921" width="14.625" style="1" customWidth="1"/>
    <col min="7922" max="7922" width="10.625" style="1" customWidth="1"/>
    <col min="7923" max="7923" width="14.625" style="1" customWidth="1"/>
    <col min="7924" max="7924" width="10.625" style="1" customWidth="1"/>
    <col min="7925" max="7925" width="14.625" style="1" customWidth="1"/>
    <col min="7926" max="7926" width="10.625" style="1" customWidth="1"/>
    <col min="7927" max="7927" width="18.625" style="1" customWidth="1"/>
    <col min="7928" max="7928" width="9.625" style="1" customWidth="1"/>
    <col min="7929" max="7929" width="10.5" style="1" customWidth="1"/>
    <col min="7930" max="7930" width="20.375" style="1" bestFit="1" customWidth="1"/>
    <col min="7931" max="7931" width="12.5" style="1" customWidth="1"/>
    <col min="7932" max="7932" width="13.125" style="1" customWidth="1"/>
    <col min="7933" max="7937" width="9" style="1"/>
    <col min="7938" max="7938" width="11.25" style="1" bestFit="1" customWidth="1"/>
    <col min="7939" max="7939" width="11.625" style="1" bestFit="1" customWidth="1"/>
    <col min="7940" max="8170" width="9" style="1"/>
    <col min="8171" max="8171" width="4.625" style="1" customWidth="1"/>
    <col min="8172" max="8172" width="34.625" style="1" customWidth="1"/>
    <col min="8173" max="8173" width="11.625" style="1" customWidth="1"/>
    <col min="8174" max="8175" width="6.625" style="1" customWidth="1"/>
    <col min="8176" max="8176" width="10.625" style="1" customWidth="1"/>
    <col min="8177" max="8177" width="14.625" style="1" customWidth="1"/>
    <col min="8178" max="8178" width="10.625" style="1" customWidth="1"/>
    <col min="8179" max="8179" width="14.625" style="1" customWidth="1"/>
    <col min="8180" max="8180" width="10.625" style="1" customWidth="1"/>
    <col min="8181" max="8181" width="14.625" style="1" customWidth="1"/>
    <col min="8182" max="8182" width="10.625" style="1" customWidth="1"/>
    <col min="8183" max="8183" width="18.625" style="1" customWidth="1"/>
    <col min="8184" max="8184" width="9.625" style="1" customWidth="1"/>
    <col min="8185" max="8185" width="10.5" style="1" customWidth="1"/>
    <col min="8186" max="8186" width="20.375" style="1" bestFit="1" customWidth="1"/>
    <col min="8187" max="8187" width="12.5" style="1" customWidth="1"/>
    <col min="8188" max="8188" width="13.125" style="1" customWidth="1"/>
    <col min="8189" max="8193" width="9" style="1"/>
    <col min="8194" max="8194" width="11.25" style="1" bestFit="1" customWidth="1"/>
    <col min="8195" max="8195" width="11.625" style="1" bestFit="1" customWidth="1"/>
    <col min="8196" max="8426" width="9" style="1"/>
    <col min="8427" max="8427" width="4.625" style="1" customWidth="1"/>
    <col min="8428" max="8428" width="34.625" style="1" customWidth="1"/>
    <col min="8429" max="8429" width="11.625" style="1" customWidth="1"/>
    <col min="8430" max="8431" width="6.625" style="1" customWidth="1"/>
    <col min="8432" max="8432" width="10.625" style="1" customWidth="1"/>
    <col min="8433" max="8433" width="14.625" style="1" customWidth="1"/>
    <col min="8434" max="8434" width="10.625" style="1" customWidth="1"/>
    <col min="8435" max="8435" width="14.625" style="1" customWidth="1"/>
    <col min="8436" max="8436" width="10.625" style="1" customWidth="1"/>
    <col min="8437" max="8437" width="14.625" style="1" customWidth="1"/>
    <col min="8438" max="8438" width="10.625" style="1" customWidth="1"/>
    <col min="8439" max="8439" width="18.625" style="1" customWidth="1"/>
    <col min="8440" max="8440" width="9.625" style="1" customWidth="1"/>
    <col min="8441" max="8441" width="10.5" style="1" customWidth="1"/>
    <col min="8442" max="8442" width="20.375" style="1" bestFit="1" customWidth="1"/>
    <col min="8443" max="8443" width="12.5" style="1" customWidth="1"/>
    <col min="8444" max="8444" width="13.125" style="1" customWidth="1"/>
    <col min="8445" max="8449" width="9" style="1"/>
    <col min="8450" max="8450" width="11.25" style="1" bestFit="1" customWidth="1"/>
    <col min="8451" max="8451" width="11.625" style="1" bestFit="1" customWidth="1"/>
    <col min="8452" max="8682" width="9" style="1"/>
    <col min="8683" max="8683" width="4.625" style="1" customWidth="1"/>
    <col min="8684" max="8684" width="34.625" style="1" customWidth="1"/>
    <col min="8685" max="8685" width="11.625" style="1" customWidth="1"/>
    <col min="8686" max="8687" width="6.625" style="1" customWidth="1"/>
    <col min="8688" max="8688" width="10.625" style="1" customWidth="1"/>
    <col min="8689" max="8689" width="14.625" style="1" customWidth="1"/>
    <col min="8690" max="8690" width="10.625" style="1" customWidth="1"/>
    <col min="8691" max="8691" width="14.625" style="1" customWidth="1"/>
    <col min="8692" max="8692" width="10.625" style="1" customWidth="1"/>
    <col min="8693" max="8693" width="14.625" style="1" customWidth="1"/>
    <col min="8694" max="8694" width="10.625" style="1" customWidth="1"/>
    <col min="8695" max="8695" width="18.625" style="1" customWidth="1"/>
    <col min="8696" max="8696" width="9.625" style="1" customWidth="1"/>
    <col min="8697" max="8697" width="10.5" style="1" customWidth="1"/>
    <col min="8698" max="8698" width="20.375" style="1" bestFit="1" customWidth="1"/>
    <col min="8699" max="8699" width="12.5" style="1" customWidth="1"/>
    <col min="8700" max="8700" width="13.125" style="1" customWidth="1"/>
    <col min="8701" max="8705" width="9" style="1"/>
    <col min="8706" max="8706" width="11.25" style="1" bestFit="1" customWidth="1"/>
    <col min="8707" max="8707" width="11.625" style="1" bestFit="1" customWidth="1"/>
    <col min="8708" max="8938" width="9" style="1"/>
    <col min="8939" max="8939" width="4.625" style="1" customWidth="1"/>
    <col min="8940" max="8940" width="34.625" style="1" customWidth="1"/>
    <col min="8941" max="8941" width="11.625" style="1" customWidth="1"/>
    <col min="8942" max="8943" width="6.625" style="1" customWidth="1"/>
    <col min="8944" max="8944" width="10.625" style="1" customWidth="1"/>
    <col min="8945" max="8945" width="14.625" style="1" customWidth="1"/>
    <col min="8946" max="8946" width="10.625" style="1" customWidth="1"/>
    <col min="8947" max="8947" width="14.625" style="1" customWidth="1"/>
    <col min="8948" max="8948" width="10.625" style="1" customWidth="1"/>
    <col min="8949" max="8949" width="14.625" style="1" customWidth="1"/>
    <col min="8950" max="8950" width="10.625" style="1" customWidth="1"/>
    <col min="8951" max="8951" width="18.625" style="1" customWidth="1"/>
    <col min="8952" max="8952" width="9.625" style="1" customWidth="1"/>
    <col min="8953" max="8953" width="10.5" style="1" customWidth="1"/>
    <col min="8954" max="8954" width="20.375" style="1" bestFit="1" customWidth="1"/>
    <col min="8955" max="8955" width="12.5" style="1" customWidth="1"/>
    <col min="8956" max="8956" width="13.125" style="1" customWidth="1"/>
    <col min="8957" max="8961" width="9" style="1"/>
    <col min="8962" max="8962" width="11.25" style="1" bestFit="1" customWidth="1"/>
    <col min="8963" max="8963" width="11.625" style="1" bestFit="1" customWidth="1"/>
    <col min="8964" max="9194" width="9" style="1"/>
    <col min="9195" max="9195" width="4.625" style="1" customWidth="1"/>
    <col min="9196" max="9196" width="34.625" style="1" customWidth="1"/>
    <col min="9197" max="9197" width="11.625" style="1" customWidth="1"/>
    <col min="9198" max="9199" width="6.625" style="1" customWidth="1"/>
    <col min="9200" max="9200" width="10.625" style="1" customWidth="1"/>
    <col min="9201" max="9201" width="14.625" style="1" customWidth="1"/>
    <col min="9202" max="9202" width="10.625" style="1" customWidth="1"/>
    <col min="9203" max="9203" width="14.625" style="1" customWidth="1"/>
    <col min="9204" max="9204" width="10.625" style="1" customWidth="1"/>
    <col min="9205" max="9205" width="14.625" style="1" customWidth="1"/>
    <col min="9206" max="9206" width="10.625" style="1" customWidth="1"/>
    <col min="9207" max="9207" width="18.625" style="1" customWidth="1"/>
    <col min="9208" max="9208" width="9.625" style="1" customWidth="1"/>
    <col min="9209" max="9209" width="10.5" style="1" customWidth="1"/>
    <col min="9210" max="9210" width="20.375" style="1" bestFit="1" customWidth="1"/>
    <col min="9211" max="9211" width="12.5" style="1" customWidth="1"/>
    <col min="9212" max="9212" width="13.125" style="1" customWidth="1"/>
    <col min="9213" max="9217" width="9" style="1"/>
    <col min="9218" max="9218" width="11.25" style="1" bestFit="1" customWidth="1"/>
    <col min="9219" max="9219" width="11.625" style="1" bestFit="1" customWidth="1"/>
    <col min="9220" max="9450" width="9" style="1"/>
    <col min="9451" max="9451" width="4.625" style="1" customWidth="1"/>
    <col min="9452" max="9452" width="34.625" style="1" customWidth="1"/>
    <col min="9453" max="9453" width="11.625" style="1" customWidth="1"/>
    <col min="9454" max="9455" width="6.625" style="1" customWidth="1"/>
    <col min="9456" max="9456" width="10.625" style="1" customWidth="1"/>
    <col min="9457" max="9457" width="14.625" style="1" customWidth="1"/>
    <col min="9458" max="9458" width="10.625" style="1" customWidth="1"/>
    <col min="9459" max="9459" width="14.625" style="1" customWidth="1"/>
    <col min="9460" max="9460" width="10.625" style="1" customWidth="1"/>
    <col min="9461" max="9461" width="14.625" style="1" customWidth="1"/>
    <col min="9462" max="9462" width="10.625" style="1" customWidth="1"/>
    <col min="9463" max="9463" width="18.625" style="1" customWidth="1"/>
    <col min="9464" max="9464" width="9.625" style="1" customWidth="1"/>
    <col min="9465" max="9465" width="10.5" style="1" customWidth="1"/>
    <col min="9466" max="9466" width="20.375" style="1" bestFit="1" customWidth="1"/>
    <col min="9467" max="9467" width="12.5" style="1" customWidth="1"/>
    <col min="9468" max="9468" width="13.125" style="1" customWidth="1"/>
    <col min="9469" max="9473" width="9" style="1"/>
    <col min="9474" max="9474" width="11.25" style="1" bestFit="1" customWidth="1"/>
    <col min="9475" max="9475" width="11.625" style="1" bestFit="1" customWidth="1"/>
    <col min="9476" max="9706" width="9" style="1"/>
    <col min="9707" max="9707" width="4.625" style="1" customWidth="1"/>
    <col min="9708" max="9708" width="34.625" style="1" customWidth="1"/>
    <col min="9709" max="9709" width="11.625" style="1" customWidth="1"/>
    <col min="9710" max="9711" width="6.625" style="1" customWidth="1"/>
    <col min="9712" max="9712" width="10.625" style="1" customWidth="1"/>
    <col min="9713" max="9713" width="14.625" style="1" customWidth="1"/>
    <col min="9714" max="9714" width="10.625" style="1" customWidth="1"/>
    <col min="9715" max="9715" width="14.625" style="1" customWidth="1"/>
    <col min="9716" max="9716" width="10.625" style="1" customWidth="1"/>
    <col min="9717" max="9717" width="14.625" style="1" customWidth="1"/>
    <col min="9718" max="9718" width="10.625" style="1" customWidth="1"/>
    <col min="9719" max="9719" width="18.625" style="1" customWidth="1"/>
    <col min="9720" max="9720" width="9.625" style="1" customWidth="1"/>
    <col min="9721" max="9721" width="10.5" style="1" customWidth="1"/>
    <col min="9722" max="9722" width="20.375" style="1" bestFit="1" customWidth="1"/>
    <col min="9723" max="9723" width="12.5" style="1" customWidth="1"/>
    <col min="9724" max="9724" width="13.125" style="1" customWidth="1"/>
    <col min="9725" max="9729" width="9" style="1"/>
    <col min="9730" max="9730" width="11.25" style="1" bestFit="1" customWidth="1"/>
    <col min="9731" max="9731" width="11.625" style="1" bestFit="1" customWidth="1"/>
    <col min="9732" max="9962" width="9" style="1"/>
    <col min="9963" max="9963" width="4.625" style="1" customWidth="1"/>
    <col min="9964" max="9964" width="34.625" style="1" customWidth="1"/>
    <col min="9965" max="9965" width="11.625" style="1" customWidth="1"/>
    <col min="9966" max="9967" width="6.625" style="1" customWidth="1"/>
    <col min="9968" max="9968" width="10.625" style="1" customWidth="1"/>
    <col min="9969" max="9969" width="14.625" style="1" customWidth="1"/>
    <col min="9970" max="9970" width="10.625" style="1" customWidth="1"/>
    <col min="9971" max="9971" width="14.625" style="1" customWidth="1"/>
    <col min="9972" max="9972" width="10.625" style="1" customWidth="1"/>
    <col min="9973" max="9973" width="14.625" style="1" customWidth="1"/>
    <col min="9974" max="9974" width="10.625" style="1" customWidth="1"/>
    <col min="9975" max="9975" width="18.625" style="1" customWidth="1"/>
    <col min="9976" max="9976" width="9.625" style="1" customWidth="1"/>
    <col min="9977" max="9977" width="10.5" style="1" customWidth="1"/>
    <col min="9978" max="9978" width="20.375" style="1" bestFit="1" customWidth="1"/>
    <col min="9979" max="9979" width="12.5" style="1" customWidth="1"/>
    <col min="9980" max="9980" width="13.125" style="1" customWidth="1"/>
    <col min="9981" max="9985" width="9" style="1"/>
    <col min="9986" max="9986" width="11.25" style="1" bestFit="1" customWidth="1"/>
    <col min="9987" max="9987" width="11.625" style="1" bestFit="1" customWidth="1"/>
    <col min="9988" max="10218" width="9" style="1"/>
    <col min="10219" max="10219" width="4.625" style="1" customWidth="1"/>
    <col min="10220" max="10220" width="34.625" style="1" customWidth="1"/>
    <col min="10221" max="10221" width="11.625" style="1" customWidth="1"/>
    <col min="10222" max="10223" width="6.625" style="1" customWidth="1"/>
    <col min="10224" max="10224" width="10.625" style="1" customWidth="1"/>
    <col min="10225" max="10225" width="14.625" style="1" customWidth="1"/>
    <col min="10226" max="10226" width="10.625" style="1" customWidth="1"/>
    <col min="10227" max="10227" width="14.625" style="1" customWidth="1"/>
    <col min="10228" max="10228" width="10.625" style="1" customWidth="1"/>
    <col min="10229" max="10229" width="14.625" style="1" customWidth="1"/>
    <col min="10230" max="10230" width="10.625" style="1" customWidth="1"/>
    <col min="10231" max="10231" width="18.625" style="1" customWidth="1"/>
    <col min="10232" max="10232" width="9.625" style="1" customWidth="1"/>
    <col min="10233" max="10233" width="10.5" style="1" customWidth="1"/>
    <col min="10234" max="10234" width="20.375" style="1" bestFit="1" customWidth="1"/>
    <col min="10235" max="10235" width="12.5" style="1" customWidth="1"/>
    <col min="10236" max="10236" width="13.125" style="1" customWidth="1"/>
    <col min="10237" max="10241" width="9" style="1"/>
    <col min="10242" max="10242" width="11.25" style="1" bestFit="1" customWidth="1"/>
    <col min="10243" max="10243" width="11.625" style="1" bestFit="1" customWidth="1"/>
    <col min="10244" max="10474" width="9" style="1"/>
    <col min="10475" max="10475" width="4.625" style="1" customWidth="1"/>
    <col min="10476" max="10476" width="34.625" style="1" customWidth="1"/>
    <col min="10477" max="10477" width="11.625" style="1" customWidth="1"/>
    <col min="10478" max="10479" width="6.625" style="1" customWidth="1"/>
    <col min="10480" max="10480" width="10.625" style="1" customWidth="1"/>
    <col min="10481" max="10481" width="14.625" style="1" customWidth="1"/>
    <col min="10482" max="10482" width="10.625" style="1" customWidth="1"/>
    <col min="10483" max="10483" width="14.625" style="1" customWidth="1"/>
    <col min="10484" max="10484" width="10.625" style="1" customWidth="1"/>
    <col min="10485" max="10485" width="14.625" style="1" customWidth="1"/>
    <col min="10486" max="10486" width="10.625" style="1" customWidth="1"/>
    <col min="10487" max="10487" width="18.625" style="1" customWidth="1"/>
    <col min="10488" max="10488" width="9.625" style="1" customWidth="1"/>
    <col min="10489" max="10489" width="10.5" style="1" customWidth="1"/>
    <col min="10490" max="10490" width="20.375" style="1" bestFit="1" customWidth="1"/>
    <col min="10491" max="10491" width="12.5" style="1" customWidth="1"/>
    <col min="10492" max="10492" width="13.125" style="1" customWidth="1"/>
    <col min="10493" max="10497" width="9" style="1"/>
    <col min="10498" max="10498" width="11.25" style="1" bestFit="1" customWidth="1"/>
    <col min="10499" max="10499" width="11.625" style="1" bestFit="1" customWidth="1"/>
    <col min="10500" max="10730" width="9" style="1"/>
    <col min="10731" max="10731" width="4.625" style="1" customWidth="1"/>
    <col min="10732" max="10732" width="34.625" style="1" customWidth="1"/>
    <col min="10733" max="10733" width="11.625" style="1" customWidth="1"/>
    <col min="10734" max="10735" width="6.625" style="1" customWidth="1"/>
    <col min="10736" max="10736" width="10.625" style="1" customWidth="1"/>
    <col min="10737" max="10737" width="14.625" style="1" customWidth="1"/>
    <col min="10738" max="10738" width="10.625" style="1" customWidth="1"/>
    <col min="10739" max="10739" width="14.625" style="1" customWidth="1"/>
    <col min="10740" max="10740" width="10.625" style="1" customWidth="1"/>
    <col min="10741" max="10741" width="14.625" style="1" customWidth="1"/>
    <col min="10742" max="10742" width="10.625" style="1" customWidth="1"/>
    <col min="10743" max="10743" width="18.625" style="1" customWidth="1"/>
    <col min="10744" max="10744" width="9.625" style="1" customWidth="1"/>
    <col min="10745" max="10745" width="10.5" style="1" customWidth="1"/>
    <col min="10746" max="10746" width="20.375" style="1" bestFit="1" customWidth="1"/>
    <col min="10747" max="10747" width="12.5" style="1" customWidth="1"/>
    <col min="10748" max="10748" width="13.125" style="1" customWidth="1"/>
    <col min="10749" max="10753" width="9" style="1"/>
    <col min="10754" max="10754" width="11.25" style="1" bestFit="1" customWidth="1"/>
    <col min="10755" max="10755" width="11.625" style="1" bestFit="1" customWidth="1"/>
    <col min="10756" max="10986" width="9" style="1"/>
    <col min="10987" max="10987" width="4.625" style="1" customWidth="1"/>
    <col min="10988" max="10988" width="34.625" style="1" customWidth="1"/>
    <col min="10989" max="10989" width="11.625" style="1" customWidth="1"/>
    <col min="10990" max="10991" width="6.625" style="1" customWidth="1"/>
    <col min="10992" max="10992" width="10.625" style="1" customWidth="1"/>
    <col min="10993" max="10993" width="14.625" style="1" customWidth="1"/>
    <col min="10994" max="10994" width="10.625" style="1" customWidth="1"/>
    <col min="10995" max="10995" width="14.625" style="1" customWidth="1"/>
    <col min="10996" max="10996" width="10.625" style="1" customWidth="1"/>
    <col min="10997" max="10997" width="14.625" style="1" customWidth="1"/>
    <col min="10998" max="10998" width="10.625" style="1" customWidth="1"/>
    <col min="10999" max="10999" width="18.625" style="1" customWidth="1"/>
    <col min="11000" max="11000" width="9.625" style="1" customWidth="1"/>
    <col min="11001" max="11001" width="10.5" style="1" customWidth="1"/>
    <col min="11002" max="11002" width="20.375" style="1" bestFit="1" customWidth="1"/>
    <col min="11003" max="11003" width="12.5" style="1" customWidth="1"/>
    <col min="11004" max="11004" width="13.125" style="1" customWidth="1"/>
    <col min="11005" max="11009" width="9" style="1"/>
    <col min="11010" max="11010" width="11.25" style="1" bestFit="1" customWidth="1"/>
    <col min="11011" max="11011" width="11.625" style="1" bestFit="1" customWidth="1"/>
    <col min="11012" max="11242" width="9" style="1"/>
    <col min="11243" max="11243" width="4.625" style="1" customWidth="1"/>
    <col min="11244" max="11244" width="34.625" style="1" customWidth="1"/>
    <col min="11245" max="11245" width="11.625" style="1" customWidth="1"/>
    <col min="11246" max="11247" width="6.625" style="1" customWidth="1"/>
    <col min="11248" max="11248" width="10.625" style="1" customWidth="1"/>
    <col min="11249" max="11249" width="14.625" style="1" customWidth="1"/>
    <col min="11250" max="11250" width="10.625" style="1" customWidth="1"/>
    <col min="11251" max="11251" width="14.625" style="1" customWidth="1"/>
    <col min="11252" max="11252" width="10.625" style="1" customWidth="1"/>
    <col min="11253" max="11253" width="14.625" style="1" customWidth="1"/>
    <col min="11254" max="11254" width="10.625" style="1" customWidth="1"/>
    <col min="11255" max="11255" width="18.625" style="1" customWidth="1"/>
    <col min="11256" max="11256" width="9.625" style="1" customWidth="1"/>
    <col min="11257" max="11257" width="10.5" style="1" customWidth="1"/>
    <col min="11258" max="11258" width="20.375" style="1" bestFit="1" customWidth="1"/>
    <col min="11259" max="11259" width="12.5" style="1" customWidth="1"/>
    <col min="11260" max="11260" width="13.125" style="1" customWidth="1"/>
    <col min="11261" max="11265" width="9" style="1"/>
    <col min="11266" max="11266" width="11.25" style="1" bestFit="1" customWidth="1"/>
    <col min="11267" max="11267" width="11.625" style="1" bestFit="1" customWidth="1"/>
    <col min="11268" max="11498" width="9" style="1"/>
    <col min="11499" max="11499" width="4.625" style="1" customWidth="1"/>
    <col min="11500" max="11500" width="34.625" style="1" customWidth="1"/>
    <col min="11501" max="11501" width="11.625" style="1" customWidth="1"/>
    <col min="11502" max="11503" width="6.625" style="1" customWidth="1"/>
    <col min="11504" max="11504" width="10.625" style="1" customWidth="1"/>
    <col min="11505" max="11505" width="14.625" style="1" customWidth="1"/>
    <col min="11506" max="11506" width="10.625" style="1" customWidth="1"/>
    <col min="11507" max="11507" width="14.625" style="1" customWidth="1"/>
    <col min="11508" max="11508" width="10.625" style="1" customWidth="1"/>
    <col min="11509" max="11509" width="14.625" style="1" customWidth="1"/>
    <col min="11510" max="11510" width="10.625" style="1" customWidth="1"/>
    <col min="11511" max="11511" width="18.625" style="1" customWidth="1"/>
    <col min="11512" max="11512" width="9.625" style="1" customWidth="1"/>
    <col min="11513" max="11513" width="10.5" style="1" customWidth="1"/>
    <col min="11514" max="11514" width="20.375" style="1" bestFit="1" customWidth="1"/>
    <col min="11515" max="11515" width="12.5" style="1" customWidth="1"/>
    <col min="11516" max="11516" width="13.125" style="1" customWidth="1"/>
    <col min="11517" max="11521" width="9" style="1"/>
    <col min="11522" max="11522" width="11.25" style="1" bestFit="1" customWidth="1"/>
    <col min="11523" max="11523" width="11.625" style="1" bestFit="1" customWidth="1"/>
    <col min="11524" max="11754" width="9" style="1"/>
    <col min="11755" max="11755" width="4.625" style="1" customWidth="1"/>
    <col min="11756" max="11756" width="34.625" style="1" customWidth="1"/>
    <col min="11757" max="11757" width="11.625" style="1" customWidth="1"/>
    <col min="11758" max="11759" width="6.625" style="1" customWidth="1"/>
    <col min="11760" max="11760" width="10.625" style="1" customWidth="1"/>
    <col min="11761" max="11761" width="14.625" style="1" customWidth="1"/>
    <col min="11762" max="11762" width="10.625" style="1" customWidth="1"/>
    <col min="11763" max="11763" width="14.625" style="1" customWidth="1"/>
    <col min="11764" max="11764" width="10.625" style="1" customWidth="1"/>
    <col min="11765" max="11765" width="14.625" style="1" customWidth="1"/>
    <col min="11766" max="11766" width="10.625" style="1" customWidth="1"/>
    <col min="11767" max="11767" width="18.625" style="1" customWidth="1"/>
    <col min="11768" max="11768" width="9.625" style="1" customWidth="1"/>
    <col min="11769" max="11769" width="10.5" style="1" customWidth="1"/>
    <col min="11770" max="11770" width="20.375" style="1" bestFit="1" customWidth="1"/>
    <col min="11771" max="11771" width="12.5" style="1" customWidth="1"/>
    <col min="11772" max="11772" width="13.125" style="1" customWidth="1"/>
    <col min="11773" max="11777" width="9" style="1"/>
    <col min="11778" max="11778" width="11.25" style="1" bestFit="1" customWidth="1"/>
    <col min="11779" max="11779" width="11.625" style="1" bestFit="1" customWidth="1"/>
    <col min="11780" max="12010" width="9" style="1"/>
    <col min="12011" max="12011" width="4.625" style="1" customWidth="1"/>
    <col min="12012" max="12012" width="34.625" style="1" customWidth="1"/>
    <col min="12013" max="12013" width="11.625" style="1" customWidth="1"/>
    <col min="12014" max="12015" width="6.625" style="1" customWidth="1"/>
    <col min="12016" max="12016" width="10.625" style="1" customWidth="1"/>
    <col min="12017" max="12017" width="14.625" style="1" customWidth="1"/>
    <col min="12018" max="12018" width="10.625" style="1" customWidth="1"/>
    <col min="12019" max="12019" width="14.625" style="1" customWidth="1"/>
    <col min="12020" max="12020" width="10.625" style="1" customWidth="1"/>
    <col min="12021" max="12021" width="14.625" style="1" customWidth="1"/>
    <col min="12022" max="12022" width="10.625" style="1" customWidth="1"/>
    <col min="12023" max="12023" width="18.625" style="1" customWidth="1"/>
    <col min="12024" max="12024" width="9.625" style="1" customWidth="1"/>
    <col min="12025" max="12025" width="10.5" style="1" customWidth="1"/>
    <col min="12026" max="12026" width="20.375" style="1" bestFit="1" customWidth="1"/>
    <col min="12027" max="12027" width="12.5" style="1" customWidth="1"/>
    <col min="12028" max="12028" width="13.125" style="1" customWidth="1"/>
    <col min="12029" max="12033" width="9" style="1"/>
    <col min="12034" max="12034" width="11.25" style="1" bestFit="1" customWidth="1"/>
    <col min="12035" max="12035" width="11.625" style="1" bestFit="1" customWidth="1"/>
    <col min="12036" max="12266" width="9" style="1"/>
    <col min="12267" max="12267" width="4.625" style="1" customWidth="1"/>
    <col min="12268" max="12268" width="34.625" style="1" customWidth="1"/>
    <col min="12269" max="12269" width="11.625" style="1" customWidth="1"/>
    <col min="12270" max="12271" width="6.625" style="1" customWidth="1"/>
    <col min="12272" max="12272" width="10.625" style="1" customWidth="1"/>
    <col min="12273" max="12273" width="14.625" style="1" customWidth="1"/>
    <col min="12274" max="12274" width="10.625" style="1" customWidth="1"/>
    <col min="12275" max="12275" width="14.625" style="1" customWidth="1"/>
    <col min="12276" max="12276" width="10.625" style="1" customWidth="1"/>
    <col min="12277" max="12277" width="14.625" style="1" customWidth="1"/>
    <col min="12278" max="12278" width="10.625" style="1" customWidth="1"/>
    <col min="12279" max="12279" width="18.625" style="1" customWidth="1"/>
    <col min="12280" max="12280" width="9.625" style="1" customWidth="1"/>
    <col min="12281" max="12281" width="10.5" style="1" customWidth="1"/>
    <col min="12282" max="12282" width="20.375" style="1" bestFit="1" customWidth="1"/>
    <col min="12283" max="12283" width="12.5" style="1" customWidth="1"/>
    <col min="12284" max="12284" width="13.125" style="1" customWidth="1"/>
    <col min="12285" max="12289" width="9" style="1"/>
    <col min="12290" max="12290" width="11.25" style="1" bestFit="1" customWidth="1"/>
    <col min="12291" max="12291" width="11.625" style="1" bestFit="1" customWidth="1"/>
    <col min="12292" max="12522" width="9" style="1"/>
    <col min="12523" max="12523" width="4.625" style="1" customWidth="1"/>
    <col min="12524" max="12524" width="34.625" style="1" customWidth="1"/>
    <col min="12525" max="12525" width="11.625" style="1" customWidth="1"/>
    <col min="12526" max="12527" width="6.625" style="1" customWidth="1"/>
    <col min="12528" max="12528" width="10.625" style="1" customWidth="1"/>
    <col min="12529" max="12529" width="14.625" style="1" customWidth="1"/>
    <col min="12530" max="12530" width="10.625" style="1" customWidth="1"/>
    <col min="12531" max="12531" width="14.625" style="1" customWidth="1"/>
    <col min="12532" max="12532" width="10.625" style="1" customWidth="1"/>
    <col min="12533" max="12533" width="14.625" style="1" customWidth="1"/>
    <col min="12534" max="12534" width="10.625" style="1" customWidth="1"/>
    <col min="12535" max="12535" width="18.625" style="1" customWidth="1"/>
    <col min="12536" max="12536" width="9.625" style="1" customWidth="1"/>
    <col min="12537" max="12537" width="10.5" style="1" customWidth="1"/>
    <col min="12538" max="12538" width="20.375" style="1" bestFit="1" customWidth="1"/>
    <col min="12539" max="12539" width="12.5" style="1" customWidth="1"/>
    <col min="12540" max="12540" width="13.125" style="1" customWidth="1"/>
    <col min="12541" max="12545" width="9" style="1"/>
    <col min="12546" max="12546" width="11.25" style="1" bestFit="1" customWidth="1"/>
    <col min="12547" max="12547" width="11.625" style="1" bestFit="1" customWidth="1"/>
    <col min="12548" max="12778" width="9" style="1"/>
    <col min="12779" max="12779" width="4.625" style="1" customWidth="1"/>
    <col min="12780" max="12780" width="34.625" style="1" customWidth="1"/>
    <col min="12781" max="12781" width="11.625" style="1" customWidth="1"/>
    <col min="12782" max="12783" width="6.625" style="1" customWidth="1"/>
    <col min="12784" max="12784" width="10.625" style="1" customWidth="1"/>
    <col min="12785" max="12785" width="14.625" style="1" customWidth="1"/>
    <col min="12786" max="12786" width="10.625" style="1" customWidth="1"/>
    <col min="12787" max="12787" width="14.625" style="1" customWidth="1"/>
    <col min="12788" max="12788" width="10.625" style="1" customWidth="1"/>
    <col min="12789" max="12789" width="14.625" style="1" customWidth="1"/>
    <col min="12790" max="12790" width="10.625" style="1" customWidth="1"/>
    <col min="12791" max="12791" width="18.625" style="1" customWidth="1"/>
    <col min="12792" max="12792" width="9.625" style="1" customWidth="1"/>
    <col min="12793" max="12793" width="10.5" style="1" customWidth="1"/>
    <col min="12794" max="12794" width="20.375" style="1" bestFit="1" customWidth="1"/>
    <col min="12795" max="12795" width="12.5" style="1" customWidth="1"/>
    <col min="12796" max="12796" width="13.125" style="1" customWidth="1"/>
    <col min="12797" max="12801" width="9" style="1"/>
    <col min="12802" max="12802" width="11.25" style="1" bestFit="1" customWidth="1"/>
    <col min="12803" max="12803" width="11.625" style="1" bestFit="1" customWidth="1"/>
    <col min="12804" max="13034" width="9" style="1"/>
    <col min="13035" max="13035" width="4.625" style="1" customWidth="1"/>
    <col min="13036" max="13036" width="34.625" style="1" customWidth="1"/>
    <col min="13037" max="13037" width="11.625" style="1" customWidth="1"/>
    <col min="13038" max="13039" width="6.625" style="1" customWidth="1"/>
    <col min="13040" max="13040" width="10.625" style="1" customWidth="1"/>
    <col min="13041" max="13041" width="14.625" style="1" customWidth="1"/>
    <col min="13042" max="13042" width="10.625" style="1" customWidth="1"/>
    <col min="13043" max="13043" width="14.625" style="1" customWidth="1"/>
    <col min="13044" max="13044" width="10.625" style="1" customWidth="1"/>
    <col min="13045" max="13045" width="14.625" style="1" customWidth="1"/>
    <col min="13046" max="13046" width="10.625" style="1" customWidth="1"/>
    <col min="13047" max="13047" width="18.625" style="1" customWidth="1"/>
    <col min="13048" max="13048" width="9.625" style="1" customWidth="1"/>
    <col min="13049" max="13049" width="10.5" style="1" customWidth="1"/>
    <col min="13050" max="13050" width="20.375" style="1" bestFit="1" customWidth="1"/>
    <col min="13051" max="13051" width="12.5" style="1" customWidth="1"/>
    <col min="13052" max="13052" width="13.125" style="1" customWidth="1"/>
    <col min="13053" max="13057" width="9" style="1"/>
    <col min="13058" max="13058" width="11.25" style="1" bestFit="1" customWidth="1"/>
    <col min="13059" max="13059" width="11.625" style="1" bestFit="1" customWidth="1"/>
    <col min="13060" max="13290" width="9" style="1"/>
    <col min="13291" max="13291" width="4.625" style="1" customWidth="1"/>
    <col min="13292" max="13292" width="34.625" style="1" customWidth="1"/>
    <col min="13293" max="13293" width="11.625" style="1" customWidth="1"/>
    <col min="13294" max="13295" width="6.625" style="1" customWidth="1"/>
    <col min="13296" max="13296" width="10.625" style="1" customWidth="1"/>
    <col min="13297" max="13297" width="14.625" style="1" customWidth="1"/>
    <col min="13298" max="13298" width="10.625" style="1" customWidth="1"/>
    <col min="13299" max="13299" width="14.625" style="1" customWidth="1"/>
    <col min="13300" max="13300" width="10.625" style="1" customWidth="1"/>
    <col min="13301" max="13301" width="14.625" style="1" customWidth="1"/>
    <col min="13302" max="13302" width="10.625" style="1" customWidth="1"/>
    <col min="13303" max="13303" width="18.625" style="1" customWidth="1"/>
    <col min="13304" max="13304" width="9.625" style="1" customWidth="1"/>
    <col min="13305" max="13305" width="10.5" style="1" customWidth="1"/>
    <col min="13306" max="13306" width="20.375" style="1" bestFit="1" customWidth="1"/>
    <col min="13307" max="13307" width="12.5" style="1" customWidth="1"/>
    <col min="13308" max="13308" width="13.125" style="1" customWidth="1"/>
    <col min="13309" max="13313" width="9" style="1"/>
    <col min="13314" max="13314" width="11.25" style="1" bestFit="1" customWidth="1"/>
    <col min="13315" max="13315" width="11.625" style="1" bestFit="1" customWidth="1"/>
    <col min="13316" max="13546" width="9" style="1"/>
    <col min="13547" max="13547" width="4.625" style="1" customWidth="1"/>
    <col min="13548" max="13548" width="34.625" style="1" customWidth="1"/>
    <col min="13549" max="13549" width="11.625" style="1" customWidth="1"/>
    <col min="13550" max="13551" width="6.625" style="1" customWidth="1"/>
    <col min="13552" max="13552" width="10.625" style="1" customWidth="1"/>
    <col min="13553" max="13553" width="14.625" style="1" customWidth="1"/>
    <col min="13554" max="13554" width="10.625" style="1" customWidth="1"/>
    <col min="13555" max="13555" width="14.625" style="1" customWidth="1"/>
    <col min="13556" max="13556" width="10.625" style="1" customWidth="1"/>
    <col min="13557" max="13557" width="14.625" style="1" customWidth="1"/>
    <col min="13558" max="13558" width="10.625" style="1" customWidth="1"/>
    <col min="13559" max="13559" width="18.625" style="1" customWidth="1"/>
    <col min="13560" max="13560" width="9.625" style="1" customWidth="1"/>
    <col min="13561" max="13561" width="10.5" style="1" customWidth="1"/>
    <col min="13562" max="13562" width="20.375" style="1" bestFit="1" customWidth="1"/>
    <col min="13563" max="13563" width="12.5" style="1" customWidth="1"/>
    <col min="13564" max="13564" width="13.125" style="1" customWidth="1"/>
    <col min="13565" max="13569" width="9" style="1"/>
    <col min="13570" max="13570" width="11.25" style="1" bestFit="1" customWidth="1"/>
    <col min="13571" max="13571" width="11.625" style="1" bestFit="1" customWidth="1"/>
    <col min="13572" max="13802" width="9" style="1"/>
    <col min="13803" max="13803" width="4.625" style="1" customWidth="1"/>
    <col min="13804" max="13804" width="34.625" style="1" customWidth="1"/>
    <col min="13805" max="13805" width="11.625" style="1" customWidth="1"/>
    <col min="13806" max="13807" width="6.625" style="1" customWidth="1"/>
    <col min="13808" max="13808" width="10.625" style="1" customWidth="1"/>
    <col min="13809" max="13809" width="14.625" style="1" customWidth="1"/>
    <col min="13810" max="13810" width="10.625" style="1" customWidth="1"/>
    <col min="13811" max="13811" width="14.625" style="1" customWidth="1"/>
    <col min="13812" max="13812" width="10.625" style="1" customWidth="1"/>
    <col min="13813" max="13813" width="14.625" style="1" customWidth="1"/>
    <col min="13814" max="13814" width="10.625" style="1" customWidth="1"/>
    <col min="13815" max="13815" width="18.625" style="1" customWidth="1"/>
    <col min="13816" max="13816" width="9.625" style="1" customWidth="1"/>
    <col min="13817" max="13817" width="10.5" style="1" customWidth="1"/>
    <col min="13818" max="13818" width="20.375" style="1" bestFit="1" customWidth="1"/>
    <col min="13819" max="13819" width="12.5" style="1" customWidth="1"/>
    <col min="13820" max="13820" width="13.125" style="1" customWidth="1"/>
    <col min="13821" max="13825" width="9" style="1"/>
    <col min="13826" max="13826" width="11.25" style="1" bestFit="1" customWidth="1"/>
    <col min="13827" max="13827" width="11.625" style="1" bestFit="1" customWidth="1"/>
    <col min="13828" max="14058" width="9" style="1"/>
    <col min="14059" max="14059" width="4.625" style="1" customWidth="1"/>
    <col min="14060" max="14060" width="34.625" style="1" customWidth="1"/>
    <col min="14061" max="14061" width="11.625" style="1" customWidth="1"/>
    <col min="14062" max="14063" width="6.625" style="1" customWidth="1"/>
    <col min="14064" max="14064" width="10.625" style="1" customWidth="1"/>
    <col min="14065" max="14065" width="14.625" style="1" customWidth="1"/>
    <col min="14066" max="14066" width="10.625" style="1" customWidth="1"/>
    <col min="14067" max="14067" width="14.625" style="1" customWidth="1"/>
    <col min="14068" max="14068" width="10.625" style="1" customWidth="1"/>
    <col min="14069" max="14069" width="14.625" style="1" customWidth="1"/>
    <col min="14070" max="14070" width="10.625" style="1" customWidth="1"/>
    <col min="14071" max="14071" width="18.625" style="1" customWidth="1"/>
    <col min="14072" max="14072" width="9.625" style="1" customWidth="1"/>
    <col min="14073" max="14073" width="10.5" style="1" customWidth="1"/>
    <col min="14074" max="14074" width="20.375" style="1" bestFit="1" customWidth="1"/>
    <col min="14075" max="14075" width="12.5" style="1" customWidth="1"/>
    <col min="14076" max="14076" width="13.125" style="1" customWidth="1"/>
    <col min="14077" max="14081" width="9" style="1"/>
    <col min="14082" max="14082" width="11.25" style="1" bestFit="1" customWidth="1"/>
    <col min="14083" max="14083" width="11.625" style="1" bestFit="1" customWidth="1"/>
    <col min="14084" max="14314" width="9" style="1"/>
    <col min="14315" max="14315" width="4.625" style="1" customWidth="1"/>
    <col min="14316" max="14316" width="34.625" style="1" customWidth="1"/>
    <col min="14317" max="14317" width="11.625" style="1" customWidth="1"/>
    <col min="14318" max="14319" width="6.625" style="1" customWidth="1"/>
    <col min="14320" max="14320" width="10.625" style="1" customWidth="1"/>
    <col min="14321" max="14321" width="14.625" style="1" customWidth="1"/>
    <col min="14322" max="14322" width="10.625" style="1" customWidth="1"/>
    <col min="14323" max="14323" width="14.625" style="1" customWidth="1"/>
    <col min="14324" max="14324" width="10.625" style="1" customWidth="1"/>
    <col min="14325" max="14325" width="14.625" style="1" customWidth="1"/>
    <col min="14326" max="14326" width="10.625" style="1" customWidth="1"/>
    <col min="14327" max="14327" width="18.625" style="1" customWidth="1"/>
    <col min="14328" max="14328" width="9.625" style="1" customWidth="1"/>
    <col min="14329" max="14329" width="10.5" style="1" customWidth="1"/>
    <col min="14330" max="14330" width="20.375" style="1" bestFit="1" customWidth="1"/>
    <col min="14331" max="14331" width="12.5" style="1" customWidth="1"/>
    <col min="14332" max="14332" width="13.125" style="1" customWidth="1"/>
    <col min="14333" max="14337" width="9" style="1"/>
    <col min="14338" max="14338" width="11.25" style="1" bestFit="1" customWidth="1"/>
    <col min="14339" max="14339" width="11.625" style="1" bestFit="1" customWidth="1"/>
    <col min="14340" max="14570" width="9" style="1"/>
    <col min="14571" max="14571" width="4.625" style="1" customWidth="1"/>
    <col min="14572" max="14572" width="34.625" style="1" customWidth="1"/>
    <col min="14573" max="14573" width="11.625" style="1" customWidth="1"/>
    <col min="14574" max="14575" width="6.625" style="1" customWidth="1"/>
    <col min="14576" max="14576" width="10.625" style="1" customWidth="1"/>
    <col min="14577" max="14577" width="14.625" style="1" customWidth="1"/>
    <col min="14578" max="14578" width="10.625" style="1" customWidth="1"/>
    <col min="14579" max="14579" width="14.625" style="1" customWidth="1"/>
    <col min="14580" max="14580" width="10.625" style="1" customWidth="1"/>
    <col min="14581" max="14581" width="14.625" style="1" customWidth="1"/>
    <col min="14582" max="14582" width="10.625" style="1" customWidth="1"/>
    <col min="14583" max="14583" width="18.625" style="1" customWidth="1"/>
    <col min="14584" max="14584" width="9.625" style="1" customWidth="1"/>
    <col min="14585" max="14585" width="10.5" style="1" customWidth="1"/>
    <col min="14586" max="14586" width="20.375" style="1" bestFit="1" customWidth="1"/>
    <col min="14587" max="14587" width="12.5" style="1" customWidth="1"/>
    <col min="14588" max="14588" width="13.125" style="1" customWidth="1"/>
    <col min="14589" max="14593" width="9" style="1"/>
    <col min="14594" max="14594" width="11.25" style="1" bestFit="1" customWidth="1"/>
    <col min="14595" max="14595" width="11.625" style="1" bestFit="1" customWidth="1"/>
    <col min="14596" max="14826" width="9" style="1"/>
    <col min="14827" max="14827" width="4.625" style="1" customWidth="1"/>
    <col min="14828" max="14828" width="34.625" style="1" customWidth="1"/>
    <col min="14829" max="14829" width="11.625" style="1" customWidth="1"/>
    <col min="14830" max="14831" width="6.625" style="1" customWidth="1"/>
    <col min="14832" max="14832" width="10.625" style="1" customWidth="1"/>
    <col min="14833" max="14833" width="14.625" style="1" customWidth="1"/>
    <col min="14834" max="14834" width="10.625" style="1" customWidth="1"/>
    <col min="14835" max="14835" width="14.625" style="1" customWidth="1"/>
    <col min="14836" max="14836" width="10.625" style="1" customWidth="1"/>
    <col min="14837" max="14837" width="14.625" style="1" customWidth="1"/>
    <col min="14838" max="14838" width="10.625" style="1" customWidth="1"/>
    <col min="14839" max="14839" width="18.625" style="1" customWidth="1"/>
    <col min="14840" max="14840" width="9.625" style="1" customWidth="1"/>
    <col min="14841" max="14841" width="10.5" style="1" customWidth="1"/>
    <col min="14842" max="14842" width="20.375" style="1" bestFit="1" customWidth="1"/>
    <col min="14843" max="14843" width="12.5" style="1" customWidth="1"/>
    <col min="14844" max="14844" width="13.125" style="1" customWidth="1"/>
    <col min="14845" max="14849" width="9" style="1"/>
    <col min="14850" max="14850" width="11.25" style="1" bestFit="1" customWidth="1"/>
    <col min="14851" max="14851" width="11.625" style="1" bestFit="1" customWidth="1"/>
    <col min="14852" max="15082" width="9" style="1"/>
    <col min="15083" max="15083" width="4.625" style="1" customWidth="1"/>
    <col min="15084" max="15084" width="34.625" style="1" customWidth="1"/>
    <col min="15085" max="15085" width="11.625" style="1" customWidth="1"/>
    <col min="15086" max="15087" width="6.625" style="1" customWidth="1"/>
    <col min="15088" max="15088" width="10.625" style="1" customWidth="1"/>
    <col min="15089" max="15089" width="14.625" style="1" customWidth="1"/>
    <col min="15090" max="15090" width="10.625" style="1" customWidth="1"/>
    <col min="15091" max="15091" width="14.625" style="1" customWidth="1"/>
    <col min="15092" max="15092" width="10.625" style="1" customWidth="1"/>
    <col min="15093" max="15093" width="14.625" style="1" customWidth="1"/>
    <col min="15094" max="15094" width="10.625" style="1" customWidth="1"/>
    <col min="15095" max="15095" width="18.625" style="1" customWidth="1"/>
    <col min="15096" max="15096" width="9.625" style="1" customWidth="1"/>
    <col min="15097" max="15097" width="10.5" style="1" customWidth="1"/>
    <col min="15098" max="15098" width="20.375" style="1" bestFit="1" customWidth="1"/>
    <col min="15099" max="15099" width="12.5" style="1" customWidth="1"/>
    <col min="15100" max="15100" width="13.125" style="1" customWidth="1"/>
    <col min="15101" max="15105" width="9" style="1"/>
    <col min="15106" max="15106" width="11.25" style="1" bestFit="1" customWidth="1"/>
    <col min="15107" max="15107" width="11.625" style="1" bestFit="1" customWidth="1"/>
    <col min="15108" max="15338" width="9" style="1"/>
    <col min="15339" max="15339" width="4.625" style="1" customWidth="1"/>
    <col min="15340" max="15340" width="34.625" style="1" customWidth="1"/>
    <col min="15341" max="15341" width="11.625" style="1" customWidth="1"/>
    <col min="15342" max="15343" width="6.625" style="1" customWidth="1"/>
    <col min="15344" max="15344" width="10.625" style="1" customWidth="1"/>
    <col min="15345" max="15345" width="14.625" style="1" customWidth="1"/>
    <col min="15346" max="15346" width="10.625" style="1" customWidth="1"/>
    <col min="15347" max="15347" width="14.625" style="1" customWidth="1"/>
    <col min="15348" max="15348" width="10.625" style="1" customWidth="1"/>
    <col min="15349" max="15349" width="14.625" style="1" customWidth="1"/>
    <col min="15350" max="15350" width="10.625" style="1" customWidth="1"/>
    <col min="15351" max="15351" width="18.625" style="1" customWidth="1"/>
    <col min="15352" max="15352" width="9.625" style="1" customWidth="1"/>
    <col min="15353" max="15353" width="10.5" style="1" customWidth="1"/>
    <col min="15354" max="15354" width="20.375" style="1" bestFit="1" customWidth="1"/>
    <col min="15355" max="15355" width="12.5" style="1" customWidth="1"/>
    <col min="15356" max="15356" width="13.125" style="1" customWidth="1"/>
    <col min="15357" max="15361" width="9" style="1"/>
    <col min="15362" max="15362" width="11.25" style="1" bestFit="1" customWidth="1"/>
    <col min="15363" max="15363" width="11.625" style="1" bestFit="1" customWidth="1"/>
    <col min="15364" max="15594" width="9" style="1"/>
    <col min="15595" max="15595" width="4.625" style="1" customWidth="1"/>
    <col min="15596" max="15596" width="34.625" style="1" customWidth="1"/>
    <col min="15597" max="15597" width="11.625" style="1" customWidth="1"/>
    <col min="15598" max="15599" width="6.625" style="1" customWidth="1"/>
    <col min="15600" max="15600" width="10.625" style="1" customWidth="1"/>
    <col min="15601" max="15601" width="14.625" style="1" customWidth="1"/>
    <col min="15602" max="15602" width="10.625" style="1" customWidth="1"/>
    <col min="15603" max="15603" width="14.625" style="1" customWidth="1"/>
    <col min="15604" max="15604" width="10.625" style="1" customWidth="1"/>
    <col min="15605" max="15605" width="14.625" style="1" customWidth="1"/>
    <col min="15606" max="15606" width="10.625" style="1" customWidth="1"/>
    <col min="15607" max="15607" width="18.625" style="1" customWidth="1"/>
    <col min="15608" max="15608" width="9.625" style="1" customWidth="1"/>
    <col min="15609" max="15609" width="10.5" style="1" customWidth="1"/>
    <col min="15610" max="15610" width="20.375" style="1" bestFit="1" customWidth="1"/>
    <col min="15611" max="15611" width="12.5" style="1" customWidth="1"/>
    <col min="15612" max="15612" width="13.125" style="1" customWidth="1"/>
    <col min="15613" max="15617" width="9" style="1"/>
    <col min="15618" max="15618" width="11.25" style="1" bestFit="1" customWidth="1"/>
    <col min="15619" max="15619" width="11.625" style="1" bestFit="1" customWidth="1"/>
    <col min="15620" max="15850" width="9" style="1"/>
    <col min="15851" max="15851" width="4.625" style="1" customWidth="1"/>
    <col min="15852" max="15852" width="34.625" style="1" customWidth="1"/>
    <col min="15853" max="15853" width="11.625" style="1" customWidth="1"/>
    <col min="15854" max="15855" width="6.625" style="1" customWidth="1"/>
    <col min="15856" max="15856" width="10.625" style="1" customWidth="1"/>
    <col min="15857" max="15857" width="14.625" style="1" customWidth="1"/>
    <col min="15858" max="15858" width="10.625" style="1" customWidth="1"/>
    <col min="15859" max="15859" width="14.625" style="1" customWidth="1"/>
    <col min="15860" max="15860" width="10.625" style="1" customWidth="1"/>
    <col min="15861" max="15861" width="14.625" style="1" customWidth="1"/>
    <col min="15862" max="15862" width="10.625" style="1" customWidth="1"/>
    <col min="15863" max="15863" width="18.625" style="1" customWidth="1"/>
    <col min="15864" max="15864" width="9.625" style="1" customWidth="1"/>
    <col min="15865" max="15865" width="10.5" style="1" customWidth="1"/>
    <col min="15866" max="15866" width="20.375" style="1" bestFit="1" customWidth="1"/>
    <col min="15867" max="15867" width="12.5" style="1" customWidth="1"/>
    <col min="15868" max="15868" width="13.125" style="1" customWidth="1"/>
    <col min="15869" max="15873" width="9" style="1"/>
    <col min="15874" max="15874" width="11.25" style="1" bestFit="1" customWidth="1"/>
    <col min="15875" max="15875" width="11.625" style="1" bestFit="1" customWidth="1"/>
    <col min="15876" max="16106" width="9" style="1"/>
    <col min="16107" max="16107" width="4.625" style="1" customWidth="1"/>
    <col min="16108" max="16108" width="34.625" style="1" customWidth="1"/>
    <col min="16109" max="16109" width="11.625" style="1" customWidth="1"/>
    <col min="16110" max="16111" width="6.625" style="1" customWidth="1"/>
    <col min="16112" max="16112" width="10.625" style="1" customWidth="1"/>
    <col min="16113" max="16113" width="14.625" style="1" customWidth="1"/>
    <col min="16114" max="16114" width="10.625" style="1" customWidth="1"/>
    <col min="16115" max="16115" width="14.625" style="1" customWidth="1"/>
    <col min="16116" max="16116" width="10.625" style="1" customWidth="1"/>
    <col min="16117" max="16117" width="14.625" style="1" customWidth="1"/>
    <col min="16118" max="16118" width="10.625" style="1" customWidth="1"/>
    <col min="16119" max="16119" width="18.625" style="1" customWidth="1"/>
    <col min="16120" max="16120" width="9.625" style="1" customWidth="1"/>
    <col min="16121" max="16121" width="10.5" style="1" customWidth="1"/>
    <col min="16122" max="16122" width="20.375" style="1" bestFit="1" customWidth="1"/>
    <col min="16123" max="16123" width="12.5" style="1" customWidth="1"/>
    <col min="16124" max="16124" width="13.125" style="1" customWidth="1"/>
    <col min="16125" max="16129" width="9" style="1"/>
    <col min="16130" max="16130" width="11.25" style="1" bestFit="1" customWidth="1"/>
    <col min="16131" max="16131" width="11.625" style="1" bestFit="1" customWidth="1"/>
    <col min="16132" max="16384" width="9" style="1"/>
  </cols>
  <sheetData>
    <row r="1" spans="1:119" s="207" customFormat="1" ht="35.1" customHeight="1">
      <c r="A1" s="330" t="s">
        <v>416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</row>
    <row r="2" spans="1:119" s="3" customFormat="1" ht="19.5" customHeight="1" thickBot="1">
      <c r="A2" s="331" t="s">
        <v>289</v>
      </c>
      <c r="B2" s="331"/>
      <c r="C2" s="331"/>
      <c r="D2" s="331"/>
      <c r="E2" s="331"/>
      <c r="F2" s="332"/>
      <c r="G2" s="332"/>
      <c r="H2" s="332"/>
      <c r="I2" s="332"/>
      <c r="J2" s="332"/>
      <c r="K2" s="208"/>
      <c r="L2" s="208"/>
      <c r="M2" s="208"/>
      <c r="N2" s="208"/>
    </row>
    <row r="3" spans="1:119" ht="30" customHeight="1" thickBot="1">
      <c r="A3" s="121"/>
      <c r="B3" s="180" t="s">
        <v>173</v>
      </c>
      <c r="C3" s="181" t="s">
        <v>174</v>
      </c>
      <c r="D3" s="181" t="s">
        <v>175</v>
      </c>
      <c r="E3" s="181" t="s">
        <v>176</v>
      </c>
      <c r="F3" s="333" t="s">
        <v>177</v>
      </c>
      <c r="G3" s="334"/>
      <c r="H3" s="334"/>
      <c r="I3" s="334"/>
      <c r="J3" s="209" t="s">
        <v>178</v>
      </c>
      <c r="K3" s="210" t="s">
        <v>179</v>
      </c>
      <c r="L3" s="210" t="s">
        <v>180</v>
      </c>
      <c r="M3" s="210" t="s">
        <v>181</v>
      </c>
      <c r="N3" s="211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</row>
    <row r="4" spans="1:119" ht="30" customHeight="1">
      <c r="A4" s="165" t="s">
        <v>182</v>
      </c>
      <c r="B4" s="44"/>
      <c r="C4" s="44"/>
      <c r="D4" s="44"/>
      <c r="E4" s="47"/>
      <c r="F4" s="335"/>
      <c r="G4" s="336"/>
      <c r="H4" s="336"/>
      <c r="I4" s="337"/>
      <c r="J4" s="48">
        <f>기성집계표!G61</f>
        <v>4183120378</v>
      </c>
      <c r="K4" s="48">
        <v>0</v>
      </c>
      <c r="L4" s="46">
        <f>기성집계표!K61</f>
        <v>1204732090</v>
      </c>
      <c r="M4" s="212">
        <f>L4+K4</f>
        <v>1204732090</v>
      </c>
      <c r="N4" s="166"/>
    </row>
    <row r="5" spans="1:119" s="3" customFormat="1" ht="30" customHeight="1">
      <c r="A5" s="127"/>
      <c r="B5" s="132"/>
      <c r="C5" s="129"/>
      <c r="D5" s="130"/>
      <c r="E5" s="128"/>
      <c r="F5" s="321"/>
      <c r="G5" s="322"/>
      <c r="H5" s="322"/>
      <c r="I5" s="323"/>
      <c r="J5" s="80"/>
      <c r="K5" s="80"/>
      <c r="L5" s="80"/>
      <c r="M5" s="80"/>
      <c r="N5" s="8"/>
    </row>
    <row r="6" spans="1:119" s="3" customFormat="1" ht="30" customHeight="1">
      <c r="A6" s="127"/>
      <c r="B6" s="132"/>
      <c r="C6" s="129"/>
      <c r="D6" s="130"/>
      <c r="E6" s="128"/>
      <c r="F6" s="321"/>
      <c r="G6" s="322"/>
      <c r="H6" s="322"/>
      <c r="I6" s="323"/>
      <c r="J6" s="80"/>
      <c r="K6" s="80"/>
      <c r="L6" s="80"/>
      <c r="M6" s="80"/>
      <c r="N6" s="8"/>
    </row>
    <row r="7" spans="1:119" s="3" customFormat="1" ht="30" customHeight="1" thickBot="1">
      <c r="A7" s="133"/>
      <c r="B7" s="134"/>
      <c r="C7" s="135"/>
      <c r="D7" s="62"/>
      <c r="E7" s="62"/>
      <c r="F7" s="324"/>
      <c r="G7" s="325"/>
      <c r="H7" s="325"/>
      <c r="I7" s="326"/>
      <c r="J7" s="23"/>
      <c r="K7" s="23"/>
      <c r="L7" s="23"/>
      <c r="M7" s="23"/>
      <c r="N7" s="63"/>
    </row>
    <row r="8" spans="1:119" s="52" customFormat="1" ht="30" customHeight="1" thickBot="1">
      <c r="A8" s="136"/>
      <c r="B8" s="137" t="s">
        <v>183</v>
      </c>
      <c r="C8" s="138"/>
      <c r="D8" s="139"/>
      <c r="E8" s="138"/>
      <c r="F8" s="327"/>
      <c r="G8" s="328"/>
      <c r="H8" s="328"/>
      <c r="I8" s="329"/>
      <c r="J8" s="140">
        <f>J4</f>
        <v>4183120378</v>
      </c>
      <c r="K8" s="140">
        <f t="shared" ref="K8:M8" si="0">SUM(K4:K7)</f>
        <v>0</v>
      </c>
      <c r="L8" s="140">
        <f>SUM(L4:L7)</f>
        <v>1204732090</v>
      </c>
      <c r="M8" s="140">
        <f t="shared" si="0"/>
        <v>1204732090</v>
      </c>
      <c r="N8" s="141"/>
    </row>
    <row r="9" spans="1:119" s="92" customFormat="1" ht="30" customHeight="1">
      <c r="A9" s="142"/>
      <c r="B9" s="143" t="s">
        <v>184</v>
      </c>
      <c r="C9" s="82"/>
      <c r="D9" s="83"/>
      <c r="E9" s="84"/>
      <c r="F9" s="85"/>
      <c r="G9" s="213"/>
      <c r="H9" s="213"/>
      <c r="I9" s="213"/>
      <c r="J9" s="214"/>
      <c r="K9" s="215"/>
      <c r="L9" s="216"/>
      <c r="M9" s="216"/>
      <c r="N9" s="90"/>
    </row>
    <row r="10" spans="1:119" s="3" customFormat="1" ht="30" customHeight="1">
      <c r="A10" s="144" t="s">
        <v>185</v>
      </c>
      <c r="B10" s="145" t="s">
        <v>186</v>
      </c>
      <c r="C10" s="6"/>
      <c r="D10" s="7">
        <v>1</v>
      </c>
      <c r="E10" s="6" t="s">
        <v>5</v>
      </c>
      <c r="F10" s="217"/>
      <c r="G10" s="27"/>
      <c r="H10" s="27"/>
      <c r="I10" s="27"/>
      <c r="J10" s="176">
        <v>3503522580</v>
      </c>
      <c r="K10" s="218">
        <v>0</v>
      </c>
      <c r="L10" s="30">
        <f>'기성총괄표(용인)'!M12</f>
        <v>990810756</v>
      </c>
      <c r="M10" s="30">
        <f>K10+L10</f>
        <v>990810756</v>
      </c>
      <c r="N10" s="8"/>
    </row>
    <row r="11" spans="1:119" s="3" customFormat="1" ht="30" customHeight="1">
      <c r="A11" s="144" t="s">
        <v>187</v>
      </c>
      <c r="B11" s="146" t="s">
        <v>188</v>
      </c>
      <c r="C11" s="6"/>
      <c r="D11" s="31"/>
      <c r="E11" s="32"/>
      <c r="F11" s="217"/>
      <c r="G11" s="27"/>
      <c r="H11" s="27"/>
      <c r="I11" s="27"/>
      <c r="J11" s="176">
        <v>561527501</v>
      </c>
      <c r="K11" s="218">
        <v>0</v>
      </c>
      <c r="L11" s="30">
        <f>'기성총괄표(용인)'!M13</f>
        <v>175189110</v>
      </c>
      <c r="M11" s="30">
        <f t="shared" ref="M11:M35" si="1">K11+L11</f>
        <v>175189110</v>
      </c>
      <c r="N11" s="8"/>
    </row>
    <row r="12" spans="1:119" ht="30" customHeight="1">
      <c r="A12" s="126"/>
      <c r="B12" s="145" t="s">
        <v>189</v>
      </c>
      <c r="C12" s="33"/>
      <c r="D12" s="7">
        <v>1</v>
      </c>
      <c r="E12" s="6" t="s">
        <v>5</v>
      </c>
      <c r="F12" s="219"/>
      <c r="G12" s="220"/>
      <c r="H12" s="220"/>
      <c r="I12" s="220"/>
      <c r="J12" s="221">
        <v>495611206</v>
      </c>
      <c r="K12" s="218">
        <v>0</v>
      </c>
      <c r="L12" s="30">
        <f>'기성총괄표(용인)'!M14</f>
        <v>154624108</v>
      </c>
      <c r="M12" s="30">
        <f t="shared" si="1"/>
        <v>154624108</v>
      </c>
      <c r="N12" s="8"/>
    </row>
    <row r="13" spans="1:119" ht="30" customHeight="1">
      <c r="A13" s="126"/>
      <c r="B13" s="145" t="s">
        <v>190</v>
      </c>
      <c r="C13" s="35">
        <v>0.11600000000000001</v>
      </c>
      <c r="D13" s="7">
        <v>1</v>
      </c>
      <c r="E13" s="6" t="s">
        <v>5</v>
      </c>
      <c r="F13" s="219" t="s">
        <v>191</v>
      </c>
      <c r="G13" s="220"/>
      <c r="H13" s="220"/>
      <c r="I13" s="220"/>
      <c r="J13" s="221">
        <v>65916295</v>
      </c>
      <c r="K13" s="218">
        <v>0</v>
      </c>
      <c r="L13" s="30">
        <f>'기성총괄표(용인)'!M15</f>
        <v>20565002</v>
      </c>
      <c r="M13" s="30">
        <f t="shared" si="1"/>
        <v>20565002</v>
      </c>
      <c r="N13" s="8"/>
    </row>
    <row r="14" spans="1:119" ht="30" customHeight="1">
      <c r="A14" s="144" t="s">
        <v>35</v>
      </c>
      <c r="B14" s="146" t="s">
        <v>192</v>
      </c>
      <c r="C14" s="33"/>
      <c r="D14" s="7"/>
      <c r="E14" s="6"/>
      <c r="F14" s="219"/>
      <c r="G14" s="220"/>
      <c r="H14" s="220"/>
      <c r="I14" s="220"/>
      <c r="J14" s="221">
        <v>601241493</v>
      </c>
      <c r="K14" s="218">
        <v>0</v>
      </c>
      <c r="L14" s="30">
        <f>'기성총괄표(용인)'!M16</f>
        <v>116275352</v>
      </c>
      <c r="M14" s="30">
        <f t="shared" si="1"/>
        <v>116275352</v>
      </c>
      <c r="N14" s="8"/>
    </row>
    <row r="15" spans="1:119" ht="30" customHeight="1">
      <c r="A15" s="126"/>
      <c r="B15" s="145" t="s">
        <v>193</v>
      </c>
      <c r="C15" s="33"/>
      <c r="D15" s="7">
        <v>1</v>
      </c>
      <c r="E15" s="6" t="s">
        <v>5</v>
      </c>
      <c r="F15" s="219"/>
      <c r="G15" s="220"/>
      <c r="H15" s="220"/>
      <c r="I15" s="220"/>
      <c r="J15" s="221">
        <v>190649344</v>
      </c>
      <c r="K15" s="218">
        <v>0</v>
      </c>
      <c r="L15" s="30">
        <f>'기성총괄표(용인)'!M17</f>
        <v>59297226</v>
      </c>
      <c r="M15" s="30">
        <f t="shared" si="1"/>
        <v>59297226</v>
      </c>
      <c r="N15" s="8"/>
    </row>
    <row r="16" spans="1:119" ht="30" customHeight="1">
      <c r="A16" s="126"/>
      <c r="B16" s="145" t="s">
        <v>194</v>
      </c>
      <c r="C16" s="36"/>
      <c r="D16" s="7"/>
      <c r="E16" s="6"/>
      <c r="F16" s="219"/>
      <c r="G16" s="220"/>
      <c r="H16" s="220"/>
      <c r="I16" s="220"/>
      <c r="J16" s="221"/>
      <c r="K16" s="218">
        <v>0</v>
      </c>
      <c r="L16" s="30">
        <f>'기성총괄표(용인)'!M18</f>
        <v>0</v>
      </c>
      <c r="M16" s="30">
        <f t="shared" si="1"/>
        <v>0</v>
      </c>
      <c r="N16" s="49"/>
    </row>
    <row r="17" spans="1:14" ht="30" customHeight="1">
      <c r="A17" s="126"/>
      <c r="B17" s="146" t="s">
        <v>195</v>
      </c>
      <c r="C17" s="33">
        <v>3.56E-2</v>
      </c>
      <c r="D17" s="7">
        <v>1</v>
      </c>
      <c r="E17" s="6" t="s">
        <v>5</v>
      </c>
      <c r="F17" s="219" t="s">
        <v>196</v>
      </c>
      <c r="G17" s="220"/>
      <c r="H17" s="220"/>
      <c r="I17" s="220"/>
      <c r="J17" s="221">
        <v>19990385</v>
      </c>
      <c r="K17" s="218">
        <v>0</v>
      </c>
      <c r="L17" s="30">
        <f>'기성총괄표(용인)'!M19</f>
        <v>6236729</v>
      </c>
      <c r="M17" s="30">
        <f t="shared" si="1"/>
        <v>6236729</v>
      </c>
      <c r="N17" s="8"/>
    </row>
    <row r="18" spans="1:14" ht="30" customHeight="1">
      <c r="A18" s="126"/>
      <c r="B18" s="146" t="s">
        <v>197</v>
      </c>
      <c r="C18" s="33">
        <v>1.01E-2</v>
      </c>
      <c r="D18" s="7">
        <v>1</v>
      </c>
      <c r="E18" s="6" t="s">
        <v>5</v>
      </c>
      <c r="F18" s="219" t="s">
        <v>196</v>
      </c>
      <c r="G18" s="220"/>
      <c r="H18" s="220"/>
      <c r="I18" s="220"/>
      <c r="J18" s="221">
        <v>5671431</v>
      </c>
      <c r="K18" s="218">
        <v>0</v>
      </c>
      <c r="L18" s="30">
        <f>'기성총괄표(용인)'!M20</f>
        <v>1769407</v>
      </c>
      <c r="M18" s="30">
        <f t="shared" si="1"/>
        <v>1769407</v>
      </c>
      <c r="N18" s="8"/>
    </row>
    <row r="19" spans="1:14" ht="30" customHeight="1">
      <c r="A19" s="126"/>
      <c r="B19" s="146" t="s">
        <v>198</v>
      </c>
      <c r="C19" s="33">
        <v>4.4999999999999998E-2</v>
      </c>
      <c r="D19" s="7">
        <v>1</v>
      </c>
      <c r="E19" s="6" t="s">
        <v>5</v>
      </c>
      <c r="F19" s="219" t="s">
        <v>191</v>
      </c>
      <c r="G19" s="220"/>
      <c r="H19" s="220"/>
      <c r="I19" s="220"/>
      <c r="J19" s="221">
        <v>23374814</v>
      </c>
      <c r="K19" s="218">
        <v>0</v>
      </c>
      <c r="L19" s="30">
        <f>'기성총괄표(용인)'!M21</f>
        <v>0</v>
      </c>
      <c r="M19" s="30">
        <f t="shared" si="1"/>
        <v>0</v>
      </c>
      <c r="N19" s="54" t="s">
        <v>199</v>
      </c>
    </row>
    <row r="20" spans="1:14" ht="30" customHeight="1">
      <c r="A20" s="126"/>
      <c r="B20" s="146" t="s">
        <v>200</v>
      </c>
      <c r="C20" s="172">
        <v>3.5450000000000002E-2</v>
      </c>
      <c r="D20" s="7">
        <v>1</v>
      </c>
      <c r="E20" s="6" t="s">
        <v>5</v>
      </c>
      <c r="F20" s="219" t="s">
        <v>191</v>
      </c>
      <c r="G20" s="220"/>
      <c r="H20" s="220"/>
      <c r="I20" s="220"/>
      <c r="J20" s="221">
        <v>18414158</v>
      </c>
      <c r="K20" s="218">
        <v>0</v>
      </c>
      <c r="L20" s="30">
        <f>'기성총괄표(용인)'!M22</f>
        <v>0</v>
      </c>
      <c r="M20" s="30">
        <f t="shared" si="1"/>
        <v>0</v>
      </c>
      <c r="N20" s="54" t="s">
        <v>199</v>
      </c>
    </row>
    <row r="21" spans="1:14" ht="30" customHeight="1">
      <c r="A21" s="126"/>
      <c r="B21" s="146" t="s">
        <v>201</v>
      </c>
      <c r="C21" s="33">
        <v>0.1295</v>
      </c>
      <c r="D21" s="7">
        <v>1</v>
      </c>
      <c r="E21" s="6" t="s">
        <v>5</v>
      </c>
      <c r="F21" s="219" t="s">
        <v>202</v>
      </c>
      <c r="G21" s="220"/>
      <c r="H21" s="220"/>
      <c r="I21" s="220"/>
      <c r="J21" s="221">
        <v>2384638</v>
      </c>
      <c r="K21" s="218">
        <v>0</v>
      </c>
      <c r="L21" s="30">
        <f>'기성총괄표(용인)'!M23</f>
        <v>0</v>
      </c>
      <c r="M21" s="30">
        <f t="shared" si="1"/>
        <v>0</v>
      </c>
      <c r="N21" s="54" t="s">
        <v>199</v>
      </c>
    </row>
    <row r="22" spans="1:14" ht="30" customHeight="1">
      <c r="A22" s="126"/>
      <c r="B22" s="145" t="s">
        <v>203</v>
      </c>
      <c r="C22" s="35">
        <v>2.3E-2</v>
      </c>
      <c r="D22" s="7">
        <v>1</v>
      </c>
      <c r="E22" s="6" t="s">
        <v>5</v>
      </c>
      <c r="F22" s="219" t="s">
        <v>204</v>
      </c>
      <c r="G22" s="220"/>
      <c r="H22" s="220"/>
      <c r="I22" s="220"/>
      <c r="J22" s="221">
        <v>11947128</v>
      </c>
      <c r="K22" s="218">
        <v>0</v>
      </c>
      <c r="L22" s="30">
        <f>'기성총괄표(용인)'!M24</f>
        <v>0</v>
      </c>
      <c r="M22" s="30">
        <f t="shared" si="1"/>
        <v>0</v>
      </c>
      <c r="N22" s="54" t="s">
        <v>199</v>
      </c>
    </row>
    <row r="23" spans="1:14" s="52" customFormat="1" ht="30" customHeight="1">
      <c r="A23" s="126"/>
      <c r="B23" s="145" t="s">
        <v>205</v>
      </c>
      <c r="C23" s="33">
        <v>1.9900000000000001E-2</v>
      </c>
      <c r="D23" s="7">
        <v>1</v>
      </c>
      <c r="E23" s="6" t="s">
        <v>5</v>
      </c>
      <c r="F23" s="153" t="s">
        <v>206</v>
      </c>
      <c r="G23" s="222"/>
      <c r="H23" s="222"/>
      <c r="I23" s="222"/>
      <c r="J23" s="223">
        <v>120369428</v>
      </c>
      <c r="K23" s="218">
        <v>0</v>
      </c>
      <c r="L23" s="30">
        <f>'기성총괄표(용인)'!M25</f>
        <v>0</v>
      </c>
      <c r="M23" s="30">
        <f t="shared" si="1"/>
        <v>0</v>
      </c>
      <c r="N23" s="54" t="s">
        <v>199</v>
      </c>
    </row>
    <row r="24" spans="1:14" ht="30" customHeight="1">
      <c r="A24" s="126"/>
      <c r="B24" s="145" t="s">
        <v>207</v>
      </c>
      <c r="C24" s="35">
        <v>4.8000000000000001E-2</v>
      </c>
      <c r="D24" s="7">
        <v>1</v>
      </c>
      <c r="E24" s="6" t="s">
        <v>5</v>
      </c>
      <c r="F24" s="219" t="s">
        <v>208</v>
      </c>
      <c r="G24" s="220"/>
      <c r="H24" s="220"/>
      <c r="I24" s="220"/>
      <c r="J24" s="221">
        <v>170732109</v>
      </c>
      <c r="K24" s="218">
        <v>0</v>
      </c>
      <c r="L24" s="30">
        <f>'기성총괄표(용인)'!M26</f>
        <v>48971990</v>
      </c>
      <c r="M24" s="30">
        <f t="shared" si="1"/>
        <v>48971990</v>
      </c>
      <c r="N24" s="8"/>
    </row>
    <row r="25" spans="1:14" ht="30" customHeight="1">
      <c r="A25" s="126"/>
      <c r="B25" s="145" t="s">
        <v>209</v>
      </c>
      <c r="C25" s="35">
        <v>5.0000000000000001E-3</v>
      </c>
      <c r="D25" s="7">
        <v>1</v>
      </c>
      <c r="E25" s="6" t="s">
        <v>5</v>
      </c>
      <c r="F25" s="219" t="s">
        <v>210</v>
      </c>
      <c r="G25" s="220"/>
      <c r="H25" s="220"/>
      <c r="I25" s="220"/>
      <c r="J25" s="221">
        <v>20948919</v>
      </c>
      <c r="K25" s="218">
        <v>0</v>
      </c>
      <c r="L25" s="30">
        <f>'기성총괄표(용인)'!M27</f>
        <v>0</v>
      </c>
      <c r="M25" s="30">
        <f t="shared" si="1"/>
        <v>0</v>
      </c>
      <c r="N25" s="49" t="s">
        <v>199</v>
      </c>
    </row>
    <row r="26" spans="1:14" ht="30" customHeight="1">
      <c r="A26" s="148"/>
      <c r="B26" s="149" t="s">
        <v>211</v>
      </c>
      <c r="C26" s="150"/>
      <c r="D26" s="64"/>
      <c r="E26" s="61"/>
      <c r="F26" s="219"/>
      <c r="G26" s="220"/>
      <c r="H26" s="220"/>
      <c r="I26" s="220"/>
      <c r="J26" s="221"/>
      <c r="K26" s="218">
        <v>0</v>
      </c>
      <c r="L26" s="30">
        <f>'기성총괄표(용인)'!M28</f>
        <v>0</v>
      </c>
      <c r="M26" s="30">
        <f t="shared" si="1"/>
        <v>0</v>
      </c>
      <c r="N26" s="151"/>
    </row>
    <row r="27" spans="1:14" ht="30" customHeight="1">
      <c r="A27" s="148"/>
      <c r="B27" s="146" t="s">
        <v>212</v>
      </c>
      <c r="C27" s="152">
        <v>8.0999999999999996E-4</v>
      </c>
      <c r="D27" s="64">
        <v>1</v>
      </c>
      <c r="E27" s="61" t="s">
        <v>5</v>
      </c>
      <c r="F27" s="219" t="s">
        <v>210</v>
      </c>
      <c r="G27" s="220"/>
      <c r="H27" s="220"/>
      <c r="I27" s="220"/>
      <c r="J27" s="221">
        <v>3351829</v>
      </c>
      <c r="K27" s="218">
        <v>0</v>
      </c>
      <c r="L27" s="30">
        <f>'기성총괄표(용인)'!M29</f>
        <v>0</v>
      </c>
      <c r="M27" s="30">
        <f t="shared" si="1"/>
        <v>0</v>
      </c>
      <c r="N27" s="151" t="s">
        <v>213</v>
      </c>
    </row>
    <row r="28" spans="1:14" ht="30" customHeight="1">
      <c r="A28" s="126"/>
      <c r="B28" s="146" t="s">
        <v>214</v>
      </c>
      <c r="C28" s="33">
        <v>3.2000000000000002E-3</v>
      </c>
      <c r="D28" s="7">
        <v>1</v>
      </c>
      <c r="E28" s="6" t="s">
        <v>5</v>
      </c>
      <c r="F28" s="219" t="s">
        <v>210</v>
      </c>
      <c r="G28" s="220"/>
      <c r="H28" s="220"/>
      <c r="I28" s="220"/>
      <c r="J28" s="221">
        <v>13407310</v>
      </c>
      <c r="K28" s="218">
        <v>0</v>
      </c>
      <c r="L28" s="30">
        <f>'기성총괄표(용인)'!M30</f>
        <v>0</v>
      </c>
      <c r="M28" s="30">
        <f t="shared" si="1"/>
        <v>0</v>
      </c>
      <c r="N28" s="49" t="s">
        <v>199</v>
      </c>
    </row>
    <row r="29" spans="1:14" s="57" customFormat="1" ht="30" customHeight="1">
      <c r="A29" s="154"/>
      <c r="B29" s="155" t="s">
        <v>215</v>
      </c>
      <c r="C29" s="75"/>
      <c r="D29" s="76"/>
      <c r="E29" s="75"/>
      <c r="F29" s="224"/>
      <c r="G29" s="225"/>
      <c r="H29" s="225"/>
      <c r="I29" s="225"/>
      <c r="J29" s="226">
        <v>4666291574</v>
      </c>
      <c r="K29" s="227">
        <v>0</v>
      </c>
      <c r="L29" s="228">
        <f>'기성총괄표(용인)'!M31</f>
        <v>1282275218</v>
      </c>
      <c r="M29" s="228">
        <f t="shared" si="1"/>
        <v>1282275218</v>
      </c>
      <c r="N29" s="81"/>
    </row>
    <row r="30" spans="1:14" ht="30" customHeight="1">
      <c r="A30" s="144" t="s">
        <v>216</v>
      </c>
      <c r="B30" s="146" t="s">
        <v>217</v>
      </c>
      <c r="C30" s="35">
        <v>0.04</v>
      </c>
      <c r="D30" s="7">
        <v>1</v>
      </c>
      <c r="E30" s="6" t="s">
        <v>5</v>
      </c>
      <c r="F30" s="219" t="s">
        <v>218</v>
      </c>
      <c r="G30" s="220"/>
      <c r="H30" s="220"/>
      <c r="I30" s="220"/>
      <c r="J30" s="221">
        <v>163320208</v>
      </c>
      <c r="K30" s="218">
        <v>0</v>
      </c>
      <c r="L30" s="30">
        <f>'기성총괄표(용인)'!M32</f>
        <v>44879629</v>
      </c>
      <c r="M30" s="30">
        <f t="shared" si="1"/>
        <v>44879629</v>
      </c>
      <c r="N30" s="8"/>
    </row>
    <row r="31" spans="1:14" ht="30" customHeight="1">
      <c r="A31" s="144" t="s">
        <v>219</v>
      </c>
      <c r="B31" s="146" t="s">
        <v>220</v>
      </c>
      <c r="C31" s="35">
        <v>0.05</v>
      </c>
      <c r="D31" s="7">
        <v>1</v>
      </c>
      <c r="E31" s="6" t="s">
        <v>5</v>
      </c>
      <c r="F31" s="219" t="s">
        <v>221</v>
      </c>
      <c r="G31" s="220"/>
      <c r="H31" s="220"/>
      <c r="I31" s="220"/>
      <c r="J31" s="221">
        <v>57021799</v>
      </c>
      <c r="K31" s="218">
        <v>0</v>
      </c>
      <c r="L31" s="30">
        <f>'기성총괄표(용인)'!M33</f>
        <v>14435153</v>
      </c>
      <c r="M31" s="30">
        <f t="shared" si="1"/>
        <v>14435153</v>
      </c>
      <c r="N31" s="49"/>
    </row>
    <row r="32" spans="1:14" s="57" customFormat="1" ht="30" customHeight="1">
      <c r="A32" s="154"/>
      <c r="B32" s="155" t="s">
        <v>222</v>
      </c>
      <c r="C32" s="75"/>
      <c r="D32" s="76"/>
      <c r="E32" s="75"/>
      <c r="F32" s="224"/>
      <c r="G32" s="225"/>
      <c r="H32" s="225"/>
      <c r="I32" s="225"/>
      <c r="J32" s="226">
        <v>4886633581</v>
      </c>
      <c r="K32" s="227">
        <v>0</v>
      </c>
      <c r="L32" s="228">
        <f>'기성총괄표(용인)'!M34</f>
        <v>1341590000</v>
      </c>
      <c r="M32" s="228">
        <f t="shared" si="1"/>
        <v>1341590000</v>
      </c>
      <c r="N32" s="81"/>
    </row>
    <row r="33" spans="1:119" s="57" customFormat="1" ht="30" customHeight="1">
      <c r="A33" s="229"/>
      <c r="B33" s="230" t="s">
        <v>223</v>
      </c>
      <c r="C33" s="231"/>
      <c r="D33" s="232"/>
      <c r="E33" s="231"/>
      <c r="F33" s="224"/>
      <c r="G33" s="225"/>
      <c r="H33" s="225"/>
      <c r="I33" s="225"/>
      <c r="J33" s="226">
        <v>4886633581</v>
      </c>
      <c r="K33" s="227">
        <v>0</v>
      </c>
      <c r="L33" s="228">
        <f>'기성총괄표(용인)'!M35</f>
        <v>1341590000</v>
      </c>
      <c r="M33" s="228">
        <f t="shared" si="1"/>
        <v>1341590000</v>
      </c>
      <c r="N33" s="233"/>
    </row>
    <row r="34" spans="1:119" s="57" customFormat="1" ht="30" customHeight="1">
      <c r="A34" s="154"/>
      <c r="B34" s="155" t="s">
        <v>224</v>
      </c>
      <c r="C34" s="75"/>
      <c r="D34" s="76"/>
      <c r="E34" s="75"/>
      <c r="F34" s="224"/>
      <c r="G34" s="225"/>
      <c r="H34" s="225"/>
      <c r="I34" s="225"/>
      <c r="J34" s="226">
        <v>488663358.10000002</v>
      </c>
      <c r="K34" s="227">
        <v>0</v>
      </c>
      <c r="L34" s="228">
        <f>'기성총괄표(용인)'!M36</f>
        <v>134159000</v>
      </c>
      <c r="M34" s="228">
        <f t="shared" si="1"/>
        <v>134159000</v>
      </c>
      <c r="N34" s="81"/>
    </row>
    <row r="35" spans="1:119" s="57" customFormat="1" ht="30" customHeight="1" thickBot="1">
      <c r="A35" s="156"/>
      <c r="B35" s="157" t="s">
        <v>225</v>
      </c>
      <c r="C35" s="158"/>
      <c r="D35" s="159"/>
      <c r="E35" s="158"/>
      <c r="F35" s="234"/>
      <c r="G35" s="235"/>
      <c r="H35" s="235"/>
      <c r="I35" s="235"/>
      <c r="J35" s="236">
        <v>5375296939.1000004</v>
      </c>
      <c r="K35" s="237">
        <v>0</v>
      </c>
      <c r="L35" s="228">
        <f>'기성총괄표(용인)'!M37</f>
        <v>1475749000</v>
      </c>
      <c r="M35" s="238">
        <f t="shared" si="1"/>
        <v>1475749000</v>
      </c>
      <c r="N35" s="164"/>
    </row>
    <row r="36" spans="1:119" s="2" customFormat="1" ht="33" customHeight="1">
      <c r="A36" s="1"/>
      <c r="B36" s="1"/>
      <c r="D36" s="38"/>
      <c r="E36" s="5"/>
      <c r="F36" s="39"/>
      <c r="G36" s="38"/>
      <c r="H36" s="40"/>
      <c r="I36" s="38"/>
      <c r="J36" s="40"/>
      <c r="K36" s="38"/>
      <c r="L36" s="40"/>
      <c r="M36" s="40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</row>
    <row r="37" spans="1:119" s="2" customFormat="1" ht="30" customHeight="1">
      <c r="A37" s="1"/>
      <c r="B37" s="1"/>
      <c r="D37" s="38"/>
      <c r="E37" s="5"/>
      <c r="F37" s="39"/>
      <c r="G37" s="38"/>
      <c r="H37" s="40"/>
      <c r="I37" s="38"/>
      <c r="J37" s="40"/>
      <c r="K37" s="38"/>
      <c r="L37" s="40"/>
      <c r="M37" s="40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</row>
    <row r="41" spans="1:119" s="2" customFormat="1" ht="34.700000000000003" customHeight="1">
      <c r="A41" s="1"/>
      <c r="B41" s="1"/>
      <c r="D41" s="38"/>
      <c r="E41" s="5"/>
      <c r="F41" s="39"/>
      <c r="G41" s="38"/>
      <c r="H41" s="40"/>
      <c r="I41" s="38"/>
      <c r="J41" s="40"/>
      <c r="K41" s="38"/>
      <c r="L41" s="40"/>
      <c r="M41" s="40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</row>
    <row r="46" spans="1:119" ht="34.700000000000003" customHeight="1">
      <c r="J46" s="40">
        <v>1604455902</v>
      </c>
    </row>
    <row r="47" spans="1:119" ht="34.700000000000003" customHeight="1">
      <c r="J47" s="40">
        <v>0</v>
      </c>
    </row>
    <row r="48" spans="1:119" ht="34.700000000000003" customHeight="1">
      <c r="J48" s="40">
        <v>1604455902</v>
      </c>
    </row>
    <row r="49" spans="10:10" ht="34.700000000000003" customHeight="1">
      <c r="J49" s="40">
        <v>160445590.20000002</v>
      </c>
    </row>
    <row r="50" spans="10:10" ht="34.700000000000003" customHeight="1">
      <c r="J50" s="40">
        <v>1764901492.2</v>
      </c>
    </row>
  </sheetData>
  <mergeCells count="9">
    <mergeCell ref="F6:I6"/>
    <mergeCell ref="F7:I7"/>
    <mergeCell ref="F8:I8"/>
    <mergeCell ref="A1:N1"/>
    <mergeCell ref="A2:E2"/>
    <mergeCell ref="F2:J2"/>
    <mergeCell ref="F3:I3"/>
    <mergeCell ref="F4:I4"/>
    <mergeCell ref="F5:I5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r:id="rId1"/>
  <headerFooter alignWithMargins="0">
    <oddFooter>&amp;C&amp;"굴림체,보통"한 국 지 역 난 방 공 사&amp;R-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2"/>
  <sheetViews>
    <sheetView showZeros="0" view="pageBreakPreview" zoomScaleNormal="100" zoomScaleSheetLayoutView="100" workbookViewId="0">
      <pane xSplit="5" ySplit="4" topLeftCell="F5" activePane="bottomRight" state="frozen"/>
      <selection activeCell="A2" sqref="A2:E2"/>
      <selection pane="topRight" activeCell="A2" sqref="A2:E2"/>
      <selection pane="bottomLeft" activeCell="A2" sqref="A2:E2"/>
      <selection pane="bottomRight" activeCell="G9" sqref="G9"/>
    </sheetView>
  </sheetViews>
  <sheetFormatPr defaultColWidth="8" defaultRowHeight="14.25"/>
  <cols>
    <col min="1" max="1" width="10.5" customWidth="1"/>
    <col min="2" max="2" width="29.875" customWidth="1"/>
    <col min="3" max="3" width="18.75" customWidth="1"/>
    <col min="4" max="4" width="10.5" customWidth="1"/>
    <col min="5" max="5" width="5.25" customWidth="1"/>
    <col min="6" max="6" width="10.5" customWidth="1"/>
    <col min="7" max="7" width="15.125" bestFit="1" customWidth="1"/>
    <col min="8" max="8" width="10.5" customWidth="1"/>
    <col min="9" max="9" width="14" customWidth="1"/>
    <col min="10" max="10" width="10.5" customWidth="1"/>
    <col min="11" max="11" width="15.25" customWidth="1"/>
    <col min="12" max="12" width="10.5" customWidth="1"/>
    <col min="13" max="13" width="15.25" customWidth="1"/>
    <col min="14" max="14" width="10.5" customWidth="1"/>
  </cols>
  <sheetData>
    <row r="1" spans="1:16" s="239" customFormat="1" ht="35.1" customHeight="1">
      <c r="A1" s="338" t="s">
        <v>417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</row>
    <row r="2" spans="1:16" s="240" customFormat="1" ht="19.5" customHeight="1">
      <c r="A2" s="339" t="s">
        <v>289</v>
      </c>
      <c r="B2" s="339"/>
      <c r="C2" s="339"/>
      <c r="D2" s="339"/>
      <c r="E2" s="339"/>
      <c r="F2" s="195"/>
      <c r="G2" s="195"/>
      <c r="H2" s="195"/>
      <c r="I2" s="195"/>
      <c r="J2" s="195"/>
      <c r="K2" s="195"/>
      <c r="L2" s="195"/>
      <c r="M2" s="195"/>
      <c r="N2" s="195"/>
    </row>
    <row r="3" spans="1:16" ht="19.5" customHeight="1">
      <c r="A3" s="340" t="s">
        <v>11</v>
      </c>
      <c r="B3" s="340" t="s">
        <v>12</v>
      </c>
      <c r="C3" s="340" t="s">
        <v>13</v>
      </c>
      <c r="D3" s="340" t="s">
        <v>226</v>
      </c>
      <c r="E3" s="340" t="s">
        <v>6</v>
      </c>
      <c r="F3" s="241" t="s">
        <v>227</v>
      </c>
      <c r="G3" s="242"/>
      <c r="H3" s="241" t="s">
        <v>228</v>
      </c>
      <c r="I3" s="242"/>
      <c r="J3" s="241" t="s">
        <v>229</v>
      </c>
      <c r="K3" s="242"/>
      <c r="L3" s="241" t="s">
        <v>230</v>
      </c>
      <c r="M3" s="242"/>
      <c r="N3" s="243" t="s">
        <v>44</v>
      </c>
    </row>
    <row r="4" spans="1:16" ht="19.5" customHeight="1">
      <c r="A4" s="341"/>
      <c r="B4" s="341"/>
      <c r="C4" s="341"/>
      <c r="D4" s="341"/>
      <c r="E4" s="341"/>
      <c r="F4" s="101" t="s">
        <v>231</v>
      </c>
      <c r="G4" s="101" t="s">
        <v>18</v>
      </c>
      <c r="H4" s="101" t="s">
        <v>231</v>
      </c>
      <c r="I4" s="101" t="s">
        <v>18</v>
      </c>
      <c r="J4" s="101" t="s">
        <v>232</v>
      </c>
      <c r="K4" s="101" t="s">
        <v>18</v>
      </c>
      <c r="L4" s="101" t="s">
        <v>231</v>
      </c>
      <c r="M4" s="101" t="s">
        <v>18</v>
      </c>
      <c r="N4" s="244"/>
    </row>
    <row r="5" spans="1:16" ht="22.5" customHeight="1">
      <c r="A5" s="245" t="s">
        <v>10</v>
      </c>
      <c r="B5" s="245" t="s">
        <v>19</v>
      </c>
      <c r="C5" s="245" t="s">
        <v>10</v>
      </c>
      <c r="D5" s="246">
        <v>0</v>
      </c>
      <c r="E5" s="101" t="s">
        <v>10</v>
      </c>
      <c r="F5" s="107"/>
      <c r="G5" s="107" t="s">
        <v>10</v>
      </c>
      <c r="H5" s="107"/>
      <c r="I5" s="107" t="s">
        <v>10</v>
      </c>
      <c r="J5" s="107"/>
      <c r="K5" s="107" t="s">
        <v>10</v>
      </c>
      <c r="L5" s="107" t="s">
        <v>10</v>
      </c>
      <c r="M5" s="107" t="s">
        <v>10</v>
      </c>
      <c r="N5" s="247" t="s">
        <v>10</v>
      </c>
    </row>
    <row r="6" spans="1:16" ht="22.5" customHeight="1">
      <c r="A6" s="245" t="s">
        <v>20</v>
      </c>
      <c r="B6" s="245" t="s">
        <v>233</v>
      </c>
      <c r="C6" s="245" t="s">
        <v>10</v>
      </c>
      <c r="D6" s="246">
        <v>0</v>
      </c>
      <c r="E6" s="101" t="s">
        <v>10</v>
      </c>
      <c r="F6" s="107"/>
      <c r="G6" s="107" t="s">
        <v>10</v>
      </c>
      <c r="H6" s="107"/>
      <c r="I6" s="107" t="s">
        <v>10</v>
      </c>
      <c r="J6" s="107"/>
      <c r="K6" s="107" t="s">
        <v>10</v>
      </c>
      <c r="L6" s="107" t="s">
        <v>10</v>
      </c>
      <c r="M6" s="107" t="s">
        <v>10</v>
      </c>
      <c r="N6" s="247" t="s">
        <v>10</v>
      </c>
    </row>
    <row r="7" spans="1:16" ht="22.5" customHeight="1">
      <c r="A7" s="56" t="s">
        <v>234</v>
      </c>
      <c r="B7" s="56" t="s">
        <v>235</v>
      </c>
      <c r="C7" s="101" t="s">
        <v>236</v>
      </c>
      <c r="D7" s="107">
        <v>850951</v>
      </c>
      <c r="E7" s="101" t="s">
        <v>237</v>
      </c>
      <c r="F7" s="169">
        <v>2</v>
      </c>
      <c r="G7" s="107">
        <f>D7*F7</f>
        <v>1701902</v>
      </c>
      <c r="H7" s="107"/>
      <c r="I7" s="107">
        <f>D7*H7</f>
        <v>0</v>
      </c>
      <c r="J7" s="107">
        <f>'기성내역서(용인)'!D7</f>
        <v>0</v>
      </c>
      <c r="K7" s="107">
        <f>D7*J7</f>
        <v>0</v>
      </c>
      <c r="L7" s="107">
        <f>H7+J7</f>
        <v>0</v>
      </c>
      <c r="M7" s="107">
        <f>D7*L7</f>
        <v>0</v>
      </c>
      <c r="N7" s="247" t="s">
        <v>10</v>
      </c>
      <c r="P7" s="248"/>
    </row>
    <row r="8" spans="1:16" ht="22.5" customHeight="1">
      <c r="A8" s="56" t="s">
        <v>382</v>
      </c>
      <c r="B8" s="56" t="s">
        <v>238</v>
      </c>
      <c r="C8" s="101" t="s">
        <v>239</v>
      </c>
      <c r="D8" s="107">
        <v>2808567</v>
      </c>
      <c r="E8" s="101" t="s">
        <v>237</v>
      </c>
      <c r="F8" s="169"/>
      <c r="G8" s="107">
        <f t="shared" ref="G8" si="0">D8*F8</f>
        <v>0</v>
      </c>
      <c r="H8" s="107"/>
      <c r="I8" s="107">
        <f t="shared" ref="I8" si="1">D8*H8</f>
        <v>0</v>
      </c>
      <c r="J8" s="107">
        <f>'기성내역서(용인)'!D8</f>
        <v>0</v>
      </c>
      <c r="K8" s="107">
        <f t="shared" ref="K8" si="2">D8*J8</f>
        <v>0</v>
      </c>
      <c r="L8" s="107">
        <f t="shared" ref="L8" si="3">H8+J8</f>
        <v>0</v>
      </c>
      <c r="M8" s="107">
        <f t="shared" ref="M8" si="4">D8*L8</f>
        <v>0</v>
      </c>
      <c r="N8" s="247" t="s">
        <v>10</v>
      </c>
      <c r="P8" s="248"/>
    </row>
    <row r="9" spans="1:16" ht="22.5" customHeight="1">
      <c r="A9" s="56" t="s">
        <v>240</v>
      </c>
      <c r="B9" s="56" t="s">
        <v>49</v>
      </c>
      <c r="C9" s="101" t="s">
        <v>241</v>
      </c>
      <c r="D9" s="107">
        <v>3322411</v>
      </c>
      <c r="E9" s="101" t="s">
        <v>242</v>
      </c>
      <c r="F9" s="169"/>
      <c r="G9" s="107">
        <f>D9*F9</f>
        <v>0</v>
      </c>
      <c r="H9" s="107"/>
      <c r="I9" s="107">
        <f>D9*H9</f>
        <v>0</v>
      </c>
      <c r="J9" s="107">
        <f>'기성내역서(용인)'!D9</f>
        <v>0</v>
      </c>
      <c r="K9" s="107">
        <f>D9*J9</f>
        <v>0</v>
      </c>
      <c r="L9" s="107">
        <f>H9+J9</f>
        <v>0</v>
      </c>
      <c r="M9" s="107">
        <f>D9*L9</f>
        <v>0</v>
      </c>
      <c r="N9" s="247" t="s">
        <v>10</v>
      </c>
      <c r="P9" s="248"/>
    </row>
    <row r="10" spans="1:16" ht="22.5" customHeight="1">
      <c r="A10" s="56" t="s">
        <v>383</v>
      </c>
      <c r="B10" s="56" t="s">
        <v>243</v>
      </c>
      <c r="C10" s="101" t="s">
        <v>244</v>
      </c>
      <c r="D10" s="107">
        <v>4103409</v>
      </c>
      <c r="E10" s="101" t="s">
        <v>242</v>
      </c>
      <c r="F10" s="169"/>
      <c r="G10" s="107">
        <f t="shared" ref="G10:G27" si="5">D10*F10</f>
        <v>0</v>
      </c>
      <c r="H10" s="107"/>
      <c r="I10" s="107">
        <f t="shared" ref="I10:I50" si="6">D10*H10</f>
        <v>0</v>
      </c>
      <c r="J10" s="107">
        <f>'기성내역서(용인)'!D10</f>
        <v>0</v>
      </c>
      <c r="K10" s="107">
        <f t="shared" ref="K10:K50" si="7">D10*J10</f>
        <v>0</v>
      </c>
      <c r="L10" s="107">
        <f t="shared" ref="L10:L50" si="8">H10+J10</f>
        <v>0</v>
      </c>
      <c r="M10" s="107">
        <f t="shared" ref="M10:M50" si="9">D10*L10</f>
        <v>0</v>
      </c>
      <c r="N10" s="247" t="s">
        <v>10</v>
      </c>
      <c r="P10" s="248"/>
    </row>
    <row r="11" spans="1:16" ht="22.5" customHeight="1">
      <c r="A11" s="56" t="s">
        <v>245</v>
      </c>
      <c r="B11" s="56" t="s">
        <v>238</v>
      </c>
      <c r="C11" s="101" t="s">
        <v>246</v>
      </c>
      <c r="D11" s="107">
        <v>4728620</v>
      </c>
      <c r="E11" s="101" t="s">
        <v>237</v>
      </c>
      <c r="F11" s="169"/>
      <c r="G11" s="107">
        <f t="shared" si="5"/>
        <v>0</v>
      </c>
      <c r="H11" s="107"/>
      <c r="I11" s="107">
        <f t="shared" si="6"/>
        <v>0</v>
      </c>
      <c r="J11" s="107">
        <f>'기성내역서(용인)'!D11</f>
        <v>0</v>
      </c>
      <c r="K11" s="107">
        <f t="shared" si="7"/>
        <v>0</v>
      </c>
      <c r="L11" s="107">
        <f t="shared" si="8"/>
        <v>0</v>
      </c>
      <c r="M11" s="107">
        <f t="shared" si="9"/>
        <v>0</v>
      </c>
      <c r="N11" s="247"/>
      <c r="P11" s="248"/>
    </row>
    <row r="12" spans="1:16" ht="22.5" customHeight="1">
      <c r="A12" s="56" t="s">
        <v>384</v>
      </c>
      <c r="B12" s="56" t="s">
        <v>235</v>
      </c>
      <c r="C12" s="101" t="s">
        <v>247</v>
      </c>
      <c r="D12" s="107">
        <v>5760152</v>
      </c>
      <c r="E12" s="101" t="s">
        <v>237</v>
      </c>
      <c r="F12" s="169">
        <v>10</v>
      </c>
      <c r="G12" s="107">
        <f t="shared" si="5"/>
        <v>57601520</v>
      </c>
      <c r="H12" s="107"/>
      <c r="I12" s="107">
        <f t="shared" si="6"/>
        <v>0</v>
      </c>
      <c r="J12" s="107">
        <f>'기성내역서(용인)'!D12</f>
        <v>6</v>
      </c>
      <c r="K12" s="107">
        <f t="shared" si="7"/>
        <v>34560912</v>
      </c>
      <c r="L12" s="107">
        <f t="shared" si="8"/>
        <v>6</v>
      </c>
      <c r="M12" s="107">
        <f t="shared" si="9"/>
        <v>34560912</v>
      </c>
      <c r="N12" s="247"/>
      <c r="P12" s="248"/>
    </row>
    <row r="13" spans="1:16" ht="22.5" customHeight="1">
      <c r="A13" s="56" t="s">
        <v>248</v>
      </c>
      <c r="B13" s="56" t="s">
        <v>235</v>
      </c>
      <c r="C13" s="101" t="s">
        <v>249</v>
      </c>
      <c r="D13" s="107">
        <v>8775745</v>
      </c>
      <c r="E13" s="101" t="s">
        <v>237</v>
      </c>
      <c r="F13" s="169">
        <v>10</v>
      </c>
      <c r="G13" s="107">
        <f t="shared" si="5"/>
        <v>87757450</v>
      </c>
      <c r="H13" s="107"/>
      <c r="I13" s="107">
        <f t="shared" si="6"/>
        <v>0</v>
      </c>
      <c r="J13" s="107">
        <f>'기성내역서(용인)'!D13</f>
        <v>2</v>
      </c>
      <c r="K13" s="107">
        <f t="shared" si="7"/>
        <v>17551490</v>
      </c>
      <c r="L13" s="107">
        <f t="shared" si="8"/>
        <v>2</v>
      </c>
      <c r="M13" s="107">
        <f t="shared" si="9"/>
        <v>17551490</v>
      </c>
      <c r="N13" s="247" t="s">
        <v>10</v>
      </c>
      <c r="P13" s="248"/>
    </row>
    <row r="14" spans="1:16" ht="22.5" customHeight="1">
      <c r="A14" s="56" t="s">
        <v>385</v>
      </c>
      <c r="B14" s="56" t="s">
        <v>238</v>
      </c>
      <c r="C14" s="101" t="s">
        <v>23</v>
      </c>
      <c r="D14" s="107">
        <v>11452846</v>
      </c>
      <c r="E14" s="101" t="s">
        <v>237</v>
      </c>
      <c r="F14" s="169">
        <v>8</v>
      </c>
      <c r="G14" s="107">
        <f t="shared" si="5"/>
        <v>91622768</v>
      </c>
      <c r="H14" s="107"/>
      <c r="I14" s="107">
        <f t="shared" si="6"/>
        <v>0</v>
      </c>
      <c r="J14" s="107">
        <f>'기성내역서(용인)'!D14</f>
        <v>0</v>
      </c>
      <c r="K14" s="107">
        <f t="shared" si="7"/>
        <v>0</v>
      </c>
      <c r="L14" s="107">
        <f t="shared" si="8"/>
        <v>0</v>
      </c>
      <c r="M14" s="107">
        <f t="shared" si="9"/>
        <v>0</v>
      </c>
      <c r="N14" s="247" t="s">
        <v>10</v>
      </c>
      <c r="P14" s="248"/>
    </row>
    <row r="15" spans="1:16" ht="22.5" customHeight="1">
      <c r="A15" s="56" t="s">
        <v>250</v>
      </c>
      <c r="B15" s="56" t="s">
        <v>238</v>
      </c>
      <c r="C15" s="101" t="s">
        <v>22</v>
      </c>
      <c r="D15" s="107">
        <v>14159994</v>
      </c>
      <c r="E15" s="101" t="s">
        <v>251</v>
      </c>
      <c r="F15" s="169">
        <v>14</v>
      </c>
      <c r="G15" s="107">
        <f t="shared" si="5"/>
        <v>198239916</v>
      </c>
      <c r="H15" s="107"/>
      <c r="I15" s="107">
        <f t="shared" si="6"/>
        <v>0</v>
      </c>
      <c r="J15" s="107">
        <f>'기성내역서(용인)'!D15</f>
        <v>0</v>
      </c>
      <c r="K15" s="107">
        <f t="shared" si="7"/>
        <v>0</v>
      </c>
      <c r="L15" s="107">
        <f t="shared" si="8"/>
        <v>0</v>
      </c>
      <c r="M15" s="107">
        <f t="shared" si="9"/>
        <v>0</v>
      </c>
      <c r="N15" s="247" t="s">
        <v>10</v>
      </c>
      <c r="P15" s="248"/>
    </row>
    <row r="16" spans="1:16" ht="22.5" customHeight="1">
      <c r="A16" s="56" t="s">
        <v>386</v>
      </c>
      <c r="B16" s="56" t="s">
        <v>243</v>
      </c>
      <c r="C16" s="101" t="s">
        <v>26</v>
      </c>
      <c r="D16" s="107">
        <v>20841373</v>
      </c>
      <c r="E16" s="101" t="s">
        <v>251</v>
      </c>
      <c r="F16" s="169">
        <v>18</v>
      </c>
      <c r="G16" s="107">
        <f t="shared" si="5"/>
        <v>375144714</v>
      </c>
      <c r="H16" s="107"/>
      <c r="I16" s="107">
        <f t="shared" si="6"/>
        <v>0</v>
      </c>
      <c r="J16" s="107">
        <f>'기성내역서(용인)'!D16</f>
        <v>0</v>
      </c>
      <c r="K16" s="107">
        <f t="shared" si="7"/>
        <v>0</v>
      </c>
      <c r="L16" s="107">
        <f t="shared" si="8"/>
        <v>0</v>
      </c>
      <c r="M16" s="107">
        <f t="shared" si="9"/>
        <v>0</v>
      </c>
      <c r="N16" s="247"/>
      <c r="P16" s="248"/>
    </row>
    <row r="17" spans="1:16" ht="22.5" customHeight="1">
      <c r="A17" s="56" t="s">
        <v>252</v>
      </c>
      <c r="B17" s="56" t="s">
        <v>243</v>
      </c>
      <c r="C17" s="101" t="s">
        <v>33</v>
      </c>
      <c r="D17" s="107">
        <v>21749251</v>
      </c>
      <c r="E17" s="101" t="s">
        <v>253</v>
      </c>
      <c r="F17" s="169">
        <v>8</v>
      </c>
      <c r="G17" s="107">
        <f t="shared" si="5"/>
        <v>173994008</v>
      </c>
      <c r="H17" s="107"/>
      <c r="I17" s="107">
        <f t="shared" si="6"/>
        <v>0</v>
      </c>
      <c r="J17" s="107">
        <f>'기성내역서(용인)'!D17</f>
        <v>0</v>
      </c>
      <c r="K17" s="107">
        <f t="shared" si="7"/>
        <v>0</v>
      </c>
      <c r="L17" s="107">
        <f t="shared" si="8"/>
        <v>0</v>
      </c>
      <c r="M17" s="107">
        <f t="shared" si="9"/>
        <v>0</v>
      </c>
      <c r="N17" s="247" t="s">
        <v>10</v>
      </c>
      <c r="P17" s="248"/>
    </row>
    <row r="18" spans="1:16" ht="22.5" customHeight="1">
      <c r="A18" s="56" t="s">
        <v>387</v>
      </c>
      <c r="B18" s="56" t="s">
        <v>243</v>
      </c>
      <c r="C18" s="101" t="s">
        <v>32</v>
      </c>
      <c r="D18" s="107">
        <v>25578231</v>
      </c>
      <c r="E18" s="101" t="s">
        <v>253</v>
      </c>
      <c r="F18" s="169">
        <v>4</v>
      </c>
      <c r="G18" s="107">
        <f t="shared" si="5"/>
        <v>102312924</v>
      </c>
      <c r="H18" s="107"/>
      <c r="I18" s="107">
        <f t="shared" si="6"/>
        <v>0</v>
      </c>
      <c r="J18" s="107">
        <f>'기성내역서(용인)'!D18</f>
        <v>0</v>
      </c>
      <c r="K18" s="107">
        <f t="shared" si="7"/>
        <v>0</v>
      </c>
      <c r="L18" s="107">
        <f t="shared" si="8"/>
        <v>0</v>
      </c>
      <c r="M18" s="107">
        <f t="shared" si="9"/>
        <v>0</v>
      </c>
      <c r="N18" s="247"/>
      <c r="P18" s="248"/>
    </row>
    <row r="19" spans="1:16" ht="22.5" customHeight="1">
      <c r="A19" s="56" t="s">
        <v>254</v>
      </c>
      <c r="B19" s="56" t="s">
        <v>243</v>
      </c>
      <c r="C19" s="101" t="s">
        <v>31</v>
      </c>
      <c r="D19" s="107">
        <v>29546894</v>
      </c>
      <c r="E19" s="101" t="s">
        <v>237</v>
      </c>
      <c r="F19" s="169">
        <v>16</v>
      </c>
      <c r="G19" s="107">
        <f t="shared" si="5"/>
        <v>472750304</v>
      </c>
      <c r="H19" s="107"/>
      <c r="I19" s="107">
        <f t="shared" si="6"/>
        <v>0</v>
      </c>
      <c r="J19" s="107">
        <f>'기성내역서(용인)'!D19</f>
        <v>2</v>
      </c>
      <c r="K19" s="107">
        <f t="shared" si="7"/>
        <v>59093788</v>
      </c>
      <c r="L19" s="107">
        <f t="shared" si="8"/>
        <v>2</v>
      </c>
      <c r="M19" s="107">
        <f t="shared" si="9"/>
        <v>59093788</v>
      </c>
      <c r="N19" s="247"/>
      <c r="P19" s="248"/>
    </row>
    <row r="20" spans="1:16" ht="22.5" customHeight="1">
      <c r="A20" s="56" t="s">
        <v>388</v>
      </c>
      <c r="B20" s="56" t="s">
        <v>238</v>
      </c>
      <c r="C20" s="101" t="s">
        <v>30</v>
      </c>
      <c r="D20" s="107">
        <v>31886354</v>
      </c>
      <c r="E20" s="101" t="s">
        <v>237</v>
      </c>
      <c r="F20" s="169"/>
      <c r="G20" s="107">
        <f t="shared" si="5"/>
        <v>0</v>
      </c>
      <c r="H20" s="107"/>
      <c r="I20" s="107">
        <f t="shared" si="6"/>
        <v>0</v>
      </c>
      <c r="J20" s="107">
        <f>'기성내역서(용인)'!D20</f>
        <v>0</v>
      </c>
      <c r="K20" s="107">
        <f t="shared" si="7"/>
        <v>0</v>
      </c>
      <c r="L20" s="107">
        <f t="shared" si="8"/>
        <v>0</v>
      </c>
      <c r="M20" s="107">
        <f t="shared" si="9"/>
        <v>0</v>
      </c>
      <c r="N20" s="247"/>
      <c r="P20" s="248"/>
    </row>
    <row r="21" spans="1:16" ht="22.5" customHeight="1">
      <c r="A21" s="56" t="s">
        <v>255</v>
      </c>
      <c r="B21" s="56" t="s">
        <v>235</v>
      </c>
      <c r="C21" s="101" t="s">
        <v>24</v>
      </c>
      <c r="D21" s="107">
        <v>39994404</v>
      </c>
      <c r="E21" s="101" t="s">
        <v>253</v>
      </c>
      <c r="F21" s="169">
        <v>10</v>
      </c>
      <c r="G21" s="107">
        <f t="shared" si="5"/>
        <v>399944040</v>
      </c>
      <c r="H21" s="107"/>
      <c r="I21" s="107">
        <f t="shared" si="6"/>
        <v>0</v>
      </c>
      <c r="J21" s="107">
        <f>'기성내역서(용인)'!D21</f>
        <v>0</v>
      </c>
      <c r="K21" s="107">
        <f t="shared" si="7"/>
        <v>0</v>
      </c>
      <c r="L21" s="107">
        <f t="shared" si="8"/>
        <v>0</v>
      </c>
      <c r="M21" s="107">
        <f t="shared" si="9"/>
        <v>0</v>
      </c>
      <c r="N21" s="247"/>
      <c r="P21" s="248"/>
    </row>
    <row r="22" spans="1:16" ht="22.5" customHeight="1">
      <c r="A22" s="56" t="s">
        <v>389</v>
      </c>
      <c r="B22" s="56" t="s">
        <v>256</v>
      </c>
      <c r="C22" s="101" t="s">
        <v>29</v>
      </c>
      <c r="D22" s="107">
        <v>42987637</v>
      </c>
      <c r="E22" s="101" t="s">
        <v>251</v>
      </c>
      <c r="F22" s="169"/>
      <c r="G22" s="107">
        <f t="shared" si="5"/>
        <v>0</v>
      </c>
      <c r="H22" s="107"/>
      <c r="I22" s="107">
        <f t="shared" si="6"/>
        <v>0</v>
      </c>
      <c r="J22" s="107">
        <f>'기성내역서(용인)'!D22</f>
        <v>0</v>
      </c>
      <c r="K22" s="107">
        <f t="shared" si="7"/>
        <v>0</v>
      </c>
      <c r="L22" s="107">
        <f t="shared" si="8"/>
        <v>0</v>
      </c>
      <c r="M22" s="107">
        <f t="shared" si="9"/>
        <v>0</v>
      </c>
      <c r="N22" s="247"/>
      <c r="P22" s="248"/>
    </row>
    <row r="23" spans="1:16" ht="22.5" customHeight="1">
      <c r="A23" s="56" t="s">
        <v>257</v>
      </c>
      <c r="B23" s="56" t="s">
        <v>235</v>
      </c>
      <c r="C23" s="101" t="s">
        <v>258</v>
      </c>
      <c r="D23" s="107">
        <v>47404740</v>
      </c>
      <c r="E23" s="101" t="s">
        <v>237</v>
      </c>
      <c r="F23" s="169">
        <v>24</v>
      </c>
      <c r="G23" s="107">
        <f t="shared" si="5"/>
        <v>1137713760</v>
      </c>
      <c r="H23" s="107"/>
      <c r="I23" s="107">
        <f t="shared" si="6"/>
        <v>0</v>
      </c>
      <c r="J23" s="107">
        <f>'기성내역서(용인)'!D23</f>
        <v>14</v>
      </c>
      <c r="K23" s="107">
        <f t="shared" si="7"/>
        <v>663666360</v>
      </c>
      <c r="L23" s="107">
        <f t="shared" si="8"/>
        <v>14</v>
      </c>
      <c r="M23" s="107">
        <f t="shared" si="9"/>
        <v>663666360</v>
      </c>
      <c r="N23" s="247"/>
      <c r="P23" s="248"/>
    </row>
    <row r="24" spans="1:16" ht="22.5" customHeight="1">
      <c r="A24" s="56" t="s">
        <v>390</v>
      </c>
      <c r="B24" s="56" t="s">
        <v>238</v>
      </c>
      <c r="C24" s="101" t="s">
        <v>28</v>
      </c>
      <c r="D24" s="107">
        <v>55399674</v>
      </c>
      <c r="E24" s="101" t="s">
        <v>237</v>
      </c>
      <c r="F24" s="169"/>
      <c r="G24" s="107">
        <f t="shared" si="5"/>
        <v>0</v>
      </c>
      <c r="H24" s="107"/>
      <c r="I24" s="107">
        <f t="shared" si="6"/>
        <v>0</v>
      </c>
      <c r="J24" s="107">
        <f>'기성내역서(용인)'!D24</f>
        <v>0</v>
      </c>
      <c r="K24" s="107">
        <f t="shared" si="7"/>
        <v>0</v>
      </c>
      <c r="L24" s="107">
        <f t="shared" si="8"/>
        <v>0</v>
      </c>
      <c r="M24" s="107">
        <f t="shared" si="9"/>
        <v>0</v>
      </c>
      <c r="N24" s="247"/>
      <c r="P24" s="248"/>
    </row>
    <row r="25" spans="1:16" ht="22.5" customHeight="1">
      <c r="A25" s="56" t="s">
        <v>259</v>
      </c>
      <c r="B25" s="56" t="s">
        <v>235</v>
      </c>
      <c r="C25" s="101" t="s">
        <v>27</v>
      </c>
      <c r="D25" s="107">
        <v>58689420</v>
      </c>
      <c r="E25" s="101" t="s">
        <v>237</v>
      </c>
      <c r="F25" s="169"/>
      <c r="G25" s="107">
        <f t="shared" si="5"/>
        <v>0</v>
      </c>
      <c r="H25" s="107"/>
      <c r="I25" s="107">
        <f t="shared" si="6"/>
        <v>0</v>
      </c>
      <c r="J25" s="107">
        <f>'기성내역서(용인)'!D25</f>
        <v>0</v>
      </c>
      <c r="K25" s="107">
        <f t="shared" si="7"/>
        <v>0</v>
      </c>
      <c r="L25" s="107">
        <f t="shared" si="8"/>
        <v>0</v>
      </c>
      <c r="M25" s="107">
        <f t="shared" si="9"/>
        <v>0</v>
      </c>
      <c r="N25" s="247"/>
      <c r="P25" s="248"/>
    </row>
    <row r="26" spans="1:16" ht="22.5" customHeight="1">
      <c r="A26" s="56" t="s">
        <v>391</v>
      </c>
      <c r="B26" s="56" t="s">
        <v>256</v>
      </c>
      <c r="C26" s="101" t="s">
        <v>25</v>
      </c>
      <c r="D26" s="107">
        <v>68673718</v>
      </c>
      <c r="E26" s="101" t="s">
        <v>242</v>
      </c>
      <c r="F26" s="169"/>
      <c r="G26" s="107">
        <f t="shared" si="5"/>
        <v>0</v>
      </c>
      <c r="H26" s="107"/>
      <c r="I26" s="107">
        <f t="shared" si="6"/>
        <v>0</v>
      </c>
      <c r="J26" s="107">
        <f>'기성내역서(용인)'!D26</f>
        <v>0</v>
      </c>
      <c r="K26" s="107">
        <f t="shared" si="7"/>
        <v>0</v>
      </c>
      <c r="L26" s="107">
        <f t="shared" si="8"/>
        <v>0</v>
      </c>
      <c r="M26" s="107">
        <f t="shared" si="9"/>
        <v>0</v>
      </c>
      <c r="N26" s="247"/>
      <c r="P26" s="248"/>
    </row>
    <row r="27" spans="1:16" ht="22.5" customHeight="1">
      <c r="A27" s="56" t="s">
        <v>392</v>
      </c>
      <c r="B27" s="56" t="s">
        <v>256</v>
      </c>
      <c r="C27" s="101" t="s">
        <v>260</v>
      </c>
      <c r="D27" s="107">
        <v>80265941</v>
      </c>
      <c r="E27" s="101" t="s">
        <v>251</v>
      </c>
      <c r="F27" s="169"/>
      <c r="G27" s="107">
        <f t="shared" si="5"/>
        <v>0</v>
      </c>
      <c r="H27" s="107"/>
      <c r="I27" s="107">
        <f t="shared" si="6"/>
        <v>0</v>
      </c>
      <c r="J27" s="107">
        <f>'기성내역서(용인)'!D27</f>
        <v>0</v>
      </c>
      <c r="K27" s="107">
        <f t="shared" si="7"/>
        <v>0</v>
      </c>
      <c r="L27" s="107">
        <f t="shared" si="8"/>
        <v>0</v>
      </c>
      <c r="M27" s="107">
        <f t="shared" si="9"/>
        <v>0</v>
      </c>
      <c r="N27" s="247"/>
      <c r="P27" s="248"/>
    </row>
    <row r="28" spans="1:16" ht="22.5" customHeight="1">
      <c r="A28" s="56"/>
      <c r="B28" s="56" t="s">
        <v>349</v>
      </c>
      <c r="C28" s="101"/>
      <c r="D28" s="107"/>
      <c r="E28" s="101"/>
      <c r="F28" s="169">
        <f>SUM(F7:F27)</f>
        <v>124</v>
      </c>
      <c r="G28" s="169">
        <f t="shared" ref="G28:M28" si="10">SUM(G7:G27)</f>
        <v>3098783306</v>
      </c>
      <c r="H28" s="169">
        <f t="shared" si="10"/>
        <v>0</v>
      </c>
      <c r="I28" s="169">
        <f t="shared" si="10"/>
        <v>0</v>
      </c>
      <c r="J28" s="107">
        <f>'기성내역서(용인)'!D28</f>
        <v>24</v>
      </c>
      <c r="K28" s="169">
        <f t="shared" si="10"/>
        <v>774872550</v>
      </c>
      <c r="L28" s="169">
        <f t="shared" si="10"/>
        <v>24</v>
      </c>
      <c r="M28" s="169">
        <f t="shared" si="10"/>
        <v>774872550</v>
      </c>
      <c r="N28" s="247"/>
      <c r="P28" s="248"/>
    </row>
    <row r="29" spans="1:16" ht="22.5" customHeight="1">
      <c r="A29" s="245" t="s">
        <v>261</v>
      </c>
      <c r="B29" s="245" t="s">
        <v>262</v>
      </c>
      <c r="C29" s="245" t="s">
        <v>10</v>
      </c>
      <c r="D29" s="246"/>
      <c r="E29" s="101"/>
      <c r="F29" s="107"/>
      <c r="G29" s="107"/>
      <c r="H29" s="107"/>
      <c r="I29" s="107"/>
      <c r="J29" s="107"/>
      <c r="K29" s="107"/>
      <c r="L29" s="107"/>
      <c r="M29" s="107"/>
      <c r="N29" s="247"/>
      <c r="P29" s="248"/>
    </row>
    <row r="30" spans="1:16" ht="22.5" customHeight="1">
      <c r="A30" s="101" t="s">
        <v>263</v>
      </c>
      <c r="B30" s="56" t="s">
        <v>243</v>
      </c>
      <c r="C30" s="101" t="s">
        <v>345</v>
      </c>
      <c r="D30" s="169">
        <v>1118925</v>
      </c>
      <c r="E30" s="101" t="s">
        <v>237</v>
      </c>
      <c r="F30" s="169">
        <v>0</v>
      </c>
      <c r="G30" s="107">
        <f t="shared" ref="G30:G50" si="11">D30*F30</f>
        <v>0</v>
      </c>
      <c r="H30" s="119">
        <v>0</v>
      </c>
      <c r="I30" s="107">
        <f t="shared" si="6"/>
        <v>0</v>
      </c>
      <c r="J30" s="107">
        <f>'기성내역서(용인)'!D30</f>
        <v>0</v>
      </c>
      <c r="K30" s="107">
        <f t="shared" si="7"/>
        <v>0</v>
      </c>
      <c r="L30" s="107">
        <f t="shared" si="8"/>
        <v>0</v>
      </c>
      <c r="M30" s="107">
        <f t="shared" si="9"/>
        <v>0</v>
      </c>
      <c r="N30" s="247" t="s">
        <v>10</v>
      </c>
      <c r="P30" s="248"/>
    </row>
    <row r="31" spans="1:16" ht="22.5" customHeight="1">
      <c r="A31" s="101" t="s">
        <v>362</v>
      </c>
      <c r="B31" s="56" t="s">
        <v>243</v>
      </c>
      <c r="C31" s="101" t="s">
        <v>344</v>
      </c>
      <c r="D31" s="169">
        <v>3333888</v>
      </c>
      <c r="E31" s="101" t="s">
        <v>53</v>
      </c>
      <c r="F31" s="169">
        <v>0</v>
      </c>
      <c r="G31" s="107">
        <f t="shared" si="11"/>
        <v>0</v>
      </c>
      <c r="H31" s="119">
        <v>0</v>
      </c>
      <c r="I31" s="107">
        <f t="shared" ref="I31:I41" si="12">D31*H31</f>
        <v>0</v>
      </c>
      <c r="J31" s="107">
        <f>'기성내역서(용인)'!D31</f>
        <v>0</v>
      </c>
      <c r="K31" s="107">
        <f t="shared" ref="K31:K41" si="13">D31*J31</f>
        <v>0</v>
      </c>
      <c r="L31" s="107">
        <f t="shared" ref="L31:L41" si="14">H31+J31</f>
        <v>0</v>
      </c>
      <c r="M31" s="107">
        <f t="shared" ref="M31:M41" si="15">D31*L31</f>
        <v>0</v>
      </c>
      <c r="N31" s="247"/>
      <c r="P31" s="248"/>
    </row>
    <row r="32" spans="1:16" ht="22.5" customHeight="1">
      <c r="A32" s="101" t="s">
        <v>265</v>
      </c>
      <c r="B32" s="56" t="s">
        <v>243</v>
      </c>
      <c r="C32" s="101" t="s">
        <v>264</v>
      </c>
      <c r="D32" s="169">
        <v>6519805</v>
      </c>
      <c r="E32" s="101" t="s">
        <v>53</v>
      </c>
      <c r="F32" s="169">
        <v>4</v>
      </c>
      <c r="G32" s="107">
        <f t="shared" si="11"/>
        <v>26079220</v>
      </c>
      <c r="H32" s="119">
        <v>0</v>
      </c>
      <c r="I32" s="107">
        <f t="shared" si="12"/>
        <v>0</v>
      </c>
      <c r="J32" s="107">
        <f>'기성내역서(용인)'!D32</f>
        <v>0</v>
      </c>
      <c r="K32" s="107">
        <f t="shared" si="13"/>
        <v>0</v>
      </c>
      <c r="L32" s="107">
        <f t="shared" si="14"/>
        <v>0</v>
      </c>
      <c r="M32" s="107">
        <f t="shared" si="15"/>
        <v>0</v>
      </c>
      <c r="N32" s="247"/>
      <c r="P32" s="248"/>
    </row>
    <row r="33" spans="1:16" ht="22.5" customHeight="1">
      <c r="A33" s="101" t="s">
        <v>266</v>
      </c>
      <c r="B33" s="56" t="s">
        <v>243</v>
      </c>
      <c r="C33" s="101" t="s">
        <v>346</v>
      </c>
      <c r="D33" s="169">
        <v>9824497</v>
      </c>
      <c r="E33" s="101" t="s">
        <v>53</v>
      </c>
      <c r="F33" s="169">
        <v>4</v>
      </c>
      <c r="G33" s="107">
        <f t="shared" si="11"/>
        <v>39297988</v>
      </c>
      <c r="H33" s="119">
        <v>0</v>
      </c>
      <c r="I33" s="107">
        <f t="shared" si="12"/>
        <v>0</v>
      </c>
      <c r="J33" s="107">
        <f>'기성내역서(용인)'!D33</f>
        <v>4</v>
      </c>
      <c r="K33" s="107">
        <f t="shared" si="13"/>
        <v>39297988</v>
      </c>
      <c r="L33" s="107">
        <f t="shared" si="14"/>
        <v>4</v>
      </c>
      <c r="M33" s="107">
        <f t="shared" si="15"/>
        <v>39297988</v>
      </c>
      <c r="N33" s="247"/>
      <c r="P33" s="248"/>
    </row>
    <row r="34" spans="1:16" ht="22.5" customHeight="1">
      <c r="A34" s="101" t="s">
        <v>363</v>
      </c>
      <c r="B34" s="56" t="s">
        <v>243</v>
      </c>
      <c r="C34" s="101" t="s">
        <v>23</v>
      </c>
      <c r="D34" s="169">
        <v>12614703</v>
      </c>
      <c r="E34" s="101" t="s">
        <v>53</v>
      </c>
      <c r="F34" s="169">
        <v>0</v>
      </c>
      <c r="G34" s="107">
        <f t="shared" si="11"/>
        <v>0</v>
      </c>
      <c r="H34" s="119">
        <v>0</v>
      </c>
      <c r="I34" s="107">
        <f t="shared" si="12"/>
        <v>0</v>
      </c>
      <c r="J34" s="107">
        <f>'기성내역서(용인)'!D34</f>
        <v>0</v>
      </c>
      <c r="K34" s="107">
        <f t="shared" si="13"/>
        <v>0</v>
      </c>
      <c r="L34" s="107">
        <f t="shared" si="14"/>
        <v>0</v>
      </c>
      <c r="M34" s="107">
        <f t="shared" si="15"/>
        <v>0</v>
      </c>
      <c r="N34" s="247"/>
      <c r="P34" s="248"/>
    </row>
    <row r="35" spans="1:16" ht="22.5" customHeight="1">
      <c r="A35" s="101" t="s">
        <v>364</v>
      </c>
      <c r="B35" s="56" t="s">
        <v>243</v>
      </c>
      <c r="C35" s="101" t="s">
        <v>22</v>
      </c>
      <c r="D35" s="169">
        <v>15451255</v>
      </c>
      <c r="E35" s="101" t="s">
        <v>53</v>
      </c>
      <c r="F35" s="169">
        <v>0</v>
      </c>
      <c r="G35" s="107">
        <f t="shared" si="11"/>
        <v>0</v>
      </c>
      <c r="H35" s="119">
        <v>0</v>
      </c>
      <c r="I35" s="107">
        <f t="shared" si="12"/>
        <v>0</v>
      </c>
      <c r="J35" s="107">
        <f>'기성내역서(용인)'!D35</f>
        <v>0</v>
      </c>
      <c r="K35" s="107">
        <f t="shared" si="13"/>
        <v>0</v>
      </c>
      <c r="L35" s="107">
        <f t="shared" si="14"/>
        <v>0</v>
      </c>
      <c r="M35" s="107">
        <f t="shared" si="15"/>
        <v>0</v>
      </c>
      <c r="N35" s="247"/>
      <c r="P35" s="248"/>
    </row>
    <row r="36" spans="1:16" ht="22.5" customHeight="1">
      <c r="A36" s="101" t="s">
        <v>365</v>
      </c>
      <c r="B36" s="56" t="s">
        <v>243</v>
      </c>
      <c r="C36" s="101" t="s">
        <v>26</v>
      </c>
      <c r="D36" s="169">
        <v>22636931</v>
      </c>
      <c r="E36" s="101" t="s">
        <v>53</v>
      </c>
      <c r="F36" s="169">
        <v>8</v>
      </c>
      <c r="G36" s="107">
        <f t="shared" si="11"/>
        <v>181095448</v>
      </c>
      <c r="H36" s="119">
        <v>0</v>
      </c>
      <c r="I36" s="107">
        <f t="shared" si="12"/>
        <v>0</v>
      </c>
      <c r="J36" s="107">
        <f>'기성내역서(용인)'!D36</f>
        <v>8</v>
      </c>
      <c r="K36" s="107">
        <f t="shared" si="13"/>
        <v>181095448</v>
      </c>
      <c r="L36" s="107">
        <f t="shared" si="14"/>
        <v>8</v>
      </c>
      <c r="M36" s="107">
        <f t="shared" si="15"/>
        <v>181095448</v>
      </c>
      <c r="N36" s="247"/>
      <c r="P36" s="248"/>
    </row>
    <row r="37" spans="1:16" ht="22.5" customHeight="1">
      <c r="A37" s="101" t="s">
        <v>366</v>
      </c>
      <c r="B37" s="56" t="s">
        <v>243</v>
      </c>
      <c r="C37" s="101" t="s">
        <v>33</v>
      </c>
      <c r="D37" s="169">
        <v>23875966</v>
      </c>
      <c r="E37" s="101" t="s">
        <v>53</v>
      </c>
      <c r="F37" s="169">
        <v>0</v>
      </c>
      <c r="G37" s="107">
        <f t="shared" si="11"/>
        <v>0</v>
      </c>
      <c r="H37" s="119">
        <v>0</v>
      </c>
      <c r="I37" s="107">
        <f t="shared" si="12"/>
        <v>0</v>
      </c>
      <c r="J37" s="107">
        <f>'기성내역서(용인)'!D37</f>
        <v>0</v>
      </c>
      <c r="K37" s="107">
        <f t="shared" si="13"/>
        <v>0</v>
      </c>
      <c r="L37" s="107">
        <f t="shared" si="14"/>
        <v>0</v>
      </c>
      <c r="M37" s="107">
        <f t="shared" si="15"/>
        <v>0</v>
      </c>
      <c r="N37" s="247"/>
      <c r="P37" s="248"/>
    </row>
    <row r="38" spans="1:16" ht="22.5" customHeight="1">
      <c r="A38" s="101" t="s">
        <v>367</v>
      </c>
      <c r="B38" s="56" t="s">
        <v>243</v>
      </c>
      <c r="C38" s="101" t="s">
        <v>31</v>
      </c>
      <c r="D38" s="169">
        <v>32628494</v>
      </c>
      <c r="E38" s="101" t="s">
        <v>53</v>
      </c>
      <c r="F38" s="169">
        <v>0</v>
      </c>
      <c r="G38" s="107">
        <f t="shared" si="11"/>
        <v>0</v>
      </c>
      <c r="H38" s="119">
        <v>0</v>
      </c>
      <c r="I38" s="107">
        <f t="shared" si="12"/>
        <v>0</v>
      </c>
      <c r="J38" s="107">
        <f>'기성내역서(용인)'!D38</f>
        <v>0</v>
      </c>
      <c r="K38" s="107">
        <f t="shared" si="13"/>
        <v>0</v>
      </c>
      <c r="L38" s="107">
        <f t="shared" si="14"/>
        <v>0</v>
      </c>
      <c r="M38" s="107">
        <f t="shared" si="15"/>
        <v>0</v>
      </c>
      <c r="N38" s="247"/>
      <c r="P38" s="248"/>
    </row>
    <row r="39" spans="1:16" ht="22.5" customHeight="1">
      <c r="A39" s="101" t="s">
        <v>271</v>
      </c>
      <c r="B39" s="56" t="s">
        <v>243</v>
      </c>
      <c r="C39" s="101" t="s">
        <v>30</v>
      </c>
      <c r="D39" s="169">
        <v>35302904</v>
      </c>
      <c r="E39" s="101" t="s">
        <v>53</v>
      </c>
      <c r="F39" s="169">
        <v>0</v>
      </c>
      <c r="G39" s="107">
        <f t="shared" si="11"/>
        <v>0</v>
      </c>
      <c r="H39" s="119">
        <v>0</v>
      </c>
      <c r="I39" s="107">
        <f t="shared" si="12"/>
        <v>0</v>
      </c>
      <c r="J39" s="107">
        <f>'기성내역서(용인)'!D39</f>
        <v>0</v>
      </c>
      <c r="K39" s="107">
        <f t="shared" si="13"/>
        <v>0</v>
      </c>
      <c r="L39" s="107">
        <f t="shared" si="14"/>
        <v>0</v>
      </c>
      <c r="M39" s="107">
        <f t="shared" si="15"/>
        <v>0</v>
      </c>
      <c r="N39" s="247"/>
      <c r="P39" s="248"/>
    </row>
    <row r="40" spans="1:16" ht="22.5" customHeight="1">
      <c r="A40" s="101" t="s">
        <v>275</v>
      </c>
      <c r="B40" s="56" t="s">
        <v>243</v>
      </c>
      <c r="C40" s="101" t="s">
        <v>24</v>
      </c>
      <c r="D40" s="169">
        <v>44094659</v>
      </c>
      <c r="E40" s="101" t="s">
        <v>53</v>
      </c>
      <c r="F40" s="169">
        <v>0</v>
      </c>
      <c r="G40" s="107">
        <f t="shared" si="11"/>
        <v>0</v>
      </c>
      <c r="H40" s="119">
        <v>0</v>
      </c>
      <c r="I40" s="107">
        <f t="shared" si="12"/>
        <v>0</v>
      </c>
      <c r="J40" s="107">
        <f>'기성내역서(용인)'!D40</f>
        <v>0</v>
      </c>
      <c r="K40" s="107">
        <f t="shared" si="13"/>
        <v>0</v>
      </c>
      <c r="L40" s="107">
        <f t="shared" si="14"/>
        <v>0</v>
      </c>
      <c r="M40" s="107">
        <f t="shared" si="15"/>
        <v>0</v>
      </c>
      <c r="N40" s="247"/>
      <c r="P40" s="248"/>
    </row>
    <row r="41" spans="1:16" ht="22.5" customHeight="1">
      <c r="A41" s="101" t="s">
        <v>278</v>
      </c>
      <c r="B41" s="56" t="s">
        <v>243</v>
      </c>
      <c r="C41" s="101" t="s">
        <v>28</v>
      </c>
      <c r="D41" s="169">
        <v>60539007</v>
      </c>
      <c r="E41" s="101" t="s">
        <v>53</v>
      </c>
      <c r="F41" s="169">
        <v>0</v>
      </c>
      <c r="G41" s="107">
        <f t="shared" si="11"/>
        <v>0</v>
      </c>
      <c r="H41" s="119">
        <v>0</v>
      </c>
      <c r="I41" s="107">
        <f t="shared" si="12"/>
        <v>0</v>
      </c>
      <c r="J41" s="107">
        <f>'기성내역서(용인)'!D41</f>
        <v>0</v>
      </c>
      <c r="K41" s="107">
        <f t="shared" si="13"/>
        <v>0</v>
      </c>
      <c r="L41" s="107">
        <f t="shared" si="14"/>
        <v>0</v>
      </c>
      <c r="M41" s="107">
        <f t="shared" si="15"/>
        <v>0</v>
      </c>
      <c r="N41" s="247"/>
      <c r="P41" s="248"/>
    </row>
    <row r="42" spans="1:16" ht="22.5" customHeight="1">
      <c r="A42" s="101" t="s">
        <v>368</v>
      </c>
      <c r="B42" s="56" t="s">
        <v>243</v>
      </c>
      <c r="C42" s="101" t="s">
        <v>27</v>
      </c>
      <c r="D42" s="169">
        <v>64095623</v>
      </c>
      <c r="E42" s="101" t="s">
        <v>53</v>
      </c>
      <c r="F42" s="169">
        <v>0</v>
      </c>
      <c r="G42" s="107">
        <f t="shared" si="11"/>
        <v>0</v>
      </c>
      <c r="H42" s="119">
        <v>0</v>
      </c>
      <c r="I42" s="107">
        <f t="shared" si="6"/>
        <v>0</v>
      </c>
      <c r="J42" s="107">
        <f>'기성내역서(용인)'!D42</f>
        <v>0</v>
      </c>
      <c r="K42" s="107">
        <f t="shared" si="7"/>
        <v>0</v>
      </c>
      <c r="L42" s="107">
        <f t="shared" si="8"/>
        <v>0</v>
      </c>
      <c r="M42" s="107">
        <f t="shared" si="9"/>
        <v>0</v>
      </c>
      <c r="N42" s="247"/>
      <c r="P42" s="248"/>
    </row>
    <row r="43" spans="1:16" ht="22.5" customHeight="1">
      <c r="A43" s="101" t="s">
        <v>369</v>
      </c>
      <c r="B43" s="56" t="s">
        <v>243</v>
      </c>
      <c r="C43" s="101" t="s">
        <v>25</v>
      </c>
      <c r="D43" s="169">
        <v>74398244</v>
      </c>
      <c r="E43" s="101" t="s">
        <v>53</v>
      </c>
      <c r="F43" s="169">
        <v>0</v>
      </c>
      <c r="G43" s="107">
        <f t="shared" si="11"/>
        <v>0</v>
      </c>
      <c r="H43" s="119">
        <v>0</v>
      </c>
      <c r="I43" s="107">
        <f t="shared" si="6"/>
        <v>0</v>
      </c>
      <c r="J43" s="107">
        <f>'기성내역서(용인)'!D43</f>
        <v>0</v>
      </c>
      <c r="K43" s="107">
        <f t="shared" si="7"/>
        <v>0</v>
      </c>
      <c r="L43" s="107">
        <f t="shared" si="8"/>
        <v>0</v>
      </c>
      <c r="M43" s="107">
        <f t="shared" si="9"/>
        <v>0</v>
      </c>
      <c r="N43" s="247"/>
      <c r="P43" s="248"/>
    </row>
    <row r="44" spans="1:16" ht="22.5" customHeight="1">
      <c r="A44" s="56"/>
      <c r="B44" s="56" t="s">
        <v>349</v>
      </c>
      <c r="C44" s="101"/>
      <c r="D44" s="107"/>
      <c r="E44" s="101"/>
      <c r="F44" s="169">
        <f>SUM(F30:F43)</f>
        <v>16</v>
      </c>
      <c r="G44" s="169">
        <f>SUM(G30:G43)</f>
        <v>246472656</v>
      </c>
      <c r="H44" s="169">
        <f t="shared" ref="H44:M44" si="16">SUM(H30:H43)</f>
        <v>0</v>
      </c>
      <c r="I44" s="169">
        <f t="shared" si="16"/>
        <v>0</v>
      </c>
      <c r="J44" s="107">
        <f>'기성내역서(용인)'!D44</f>
        <v>12</v>
      </c>
      <c r="K44" s="169">
        <f t="shared" si="16"/>
        <v>220393436</v>
      </c>
      <c r="L44" s="169">
        <f t="shared" si="16"/>
        <v>12</v>
      </c>
      <c r="M44" s="169">
        <f t="shared" si="16"/>
        <v>220393436</v>
      </c>
      <c r="N44" s="247"/>
      <c r="P44" s="248"/>
    </row>
    <row r="45" spans="1:16" ht="22.5" customHeight="1">
      <c r="A45" s="245" t="s">
        <v>267</v>
      </c>
      <c r="B45" s="245" t="s">
        <v>268</v>
      </c>
      <c r="C45" s="245" t="s">
        <v>10</v>
      </c>
      <c r="D45" s="246"/>
      <c r="E45" s="101"/>
      <c r="F45" s="250"/>
      <c r="G45" s="107"/>
      <c r="H45" s="119"/>
      <c r="I45" s="107"/>
      <c r="J45" s="107"/>
      <c r="K45" s="107"/>
      <c r="L45" s="107"/>
      <c r="M45" s="107"/>
      <c r="N45" s="247"/>
      <c r="P45" s="248"/>
    </row>
    <row r="46" spans="1:16" ht="22.5" customHeight="1">
      <c r="A46" s="101" t="s">
        <v>370</v>
      </c>
      <c r="B46" s="56" t="s">
        <v>268</v>
      </c>
      <c r="C46" s="101" t="s">
        <v>269</v>
      </c>
      <c r="D46" s="169">
        <v>28502244</v>
      </c>
      <c r="E46" s="101" t="s">
        <v>251</v>
      </c>
      <c r="F46" s="169">
        <v>0</v>
      </c>
      <c r="G46" s="107">
        <f t="shared" si="11"/>
        <v>0</v>
      </c>
      <c r="H46" s="119">
        <v>0</v>
      </c>
      <c r="I46" s="107">
        <f t="shared" si="6"/>
        <v>0</v>
      </c>
      <c r="J46" s="107">
        <f>'기성내역서(용인)'!D46</f>
        <v>0</v>
      </c>
      <c r="K46" s="107">
        <f t="shared" si="7"/>
        <v>0</v>
      </c>
      <c r="L46" s="107">
        <f t="shared" si="8"/>
        <v>0</v>
      </c>
      <c r="M46" s="107">
        <f t="shared" si="9"/>
        <v>0</v>
      </c>
      <c r="N46" s="247"/>
      <c r="P46" s="248"/>
    </row>
    <row r="47" spans="1:16" ht="22.5" customHeight="1">
      <c r="A47" s="101" t="s">
        <v>285</v>
      </c>
      <c r="B47" s="56" t="s">
        <v>268</v>
      </c>
      <c r="C47" s="101" t="s">
        <v>270</v>
      </c>
      <c r="D47" s="169">
        <v>65976554</v>
      </c>
      <c r="E47" s="101" t="s">
        <v>237</v>
      </c>
      <c r="F47" s="169">
        <v>0</v>
      </c>
      <c r="G47" s="107">
        <f t="shared" si="11"/>
        <v>0</v>
      </c>
      <c r="H47" s="119">
        <v>0</v>
      </c>
      <c r="I47" s="107">
        <f t="shared" si="6"/>
        <v>0</v>
      </c>
      <c r="J47" s="107">
        <f>'기성내역서(용인)'!D47</f>
        <v>0</v>
      </c>
      <c r="K47" s="107">
        <f t="shared" si="7"/>
        <v>0</v>
      </c>
      <c r="L47" s="107">
        <f t="shared" si="8"/>
        <v>0</v>
      </c>
      <c r="M47" s="107">
        <f t="shared" si="9"/>
        <v>0</v>
      </c>
      <c r="N47" s="247"/>
      <c r="P47" s="248"/>
    </row>
    <row r="48" spans="1:16" ht="22.5" customHeight="1">
      <c r="A48" s="101" t="s">
        <v>371</v>
      </c>
      <c r="B48" s="56" t="s">
        <v>272</v>
      </c>
      <c r="C48" s="101" t="s">
        <v>273</v>
      </c>
      <c r="D48" s="169">
        <v>78226055</v>
      </c>
      <c r="E48" s="101" t="s">
        <v>274</v>
      </c>
      <c r="F48" s="169">
        <v>0</v>
      </c>
      <c r="G48" s="107">
        <f t="shared" si="11"/>
        <v>0</v>
      </c>
      <c r="H48" s="119">
        <v>0</v>
      </c>
      <c r="I48" s="107">
        <f t="shared" si="6"/>
        <v>0</v>
      </c>
      <c r="J48" s="107">
        <f>'기성내역서(용인)'!D48</f>
        <v>0</v>
      </c>
      <c r="K48" s="107">
        <f t="shared" si="7"/>
        <v>0</v>
      </c>
      <c r="L48" s="107">
        <f t="shared" si="8"/>
        <v>0</v>
      </c>
      <c r="M48" s="107">
        <f t="shared" si="9"/>
        <v>0</v>
      </c>
      <c r="N48" s="247"/>
      <c r="P48" s="248"/>
    </row>
    <row r="49" spans="1:22" ht="22.5" customHeight="1">
      <c r="A49" s="101" t="s">
        <v>372</v>
      </c>
      <c r="B49" s="56" t="s">
        <v>276</v>
      </c>
      <c r="C49" s="101" t="s">
        <v>277</v>
      </c>
      <c r="D49" s="169">
        <v>104733052</v>
      </c>
      <c r="E49" s="101" t="s">
        <v>274</v>
      </c>
      <c r="F49" s="169">
        <v>8</v>
      </c>
      <c r="G49" s="107">
        <f t="shared" si="11"/>
        <v>837864416</v>
      </c>
      <c r="H49" s="119">
        <v>0</v>
      </c>
      <c r="I49" s="107">
        <f t="shared" si="6"/>
        <v>0</v>
      </c>
      <c r="J49" s="107">
        <f>'기성내역서(용인)'!D49</f>
        <v>2</v>
      </c>
      <c r="K49" s="107">
        <f t="shared" si="7"/>
        <v>209466104</v>
      </c>
      <c r="L49" s="107">
        <f t="shared" si="8"/>
        <v>2</v>
      </c>
      <c r="M49" s="107">
        <f t="shared" si="9"/>
        <v>209466104</v>
      </c>
      <c r="N49" s="247"/>
      <c r="P49" s="248"/>
    </row>
    <row r="50" spans="1:22" ht="22.5" customHeight="1">
      <c r="A50" s="101" t="s">
        <v>373</v>
      </c>
      <c r="B50" s="56" t="s">
        <v>272</v>
      </c>
      <c r="C50" s="101" t="s">
        <v>279</v>
      </c>
      <c r="D50" s="169">
        <v>115855741</v>
      </c>
      <c r="E50" s="101" t="s">
        <v>274</v>
      </c>
      <c r="F50" s="169">
        <v>0</v>
      </c>
      <c r="G50" s="107">
        <f t="shared" si="11"/>
        <v>0</v>
      </c>
      <c r="H50" s="119">
        <v>0</v>
      </c>
      <c r="I50" s="107">
        <f t="shared" si="6"/>
        <v>0</v>
      </c>
      <c r="J50" s="107">
        <f>'기성내역서(용인)'!D50</f>
        <v>0</v>
      </c>
      <c r="K50" s="107">
        <f t="shared" si="7"/>
        <v>0</v>
      </c>
      <c r="L50" s="107">
        <f t="shared" si="8"/>
        <v>0</v>
      </c>
      <c r="M50" s="107">
        <f t="shared" si="9"/>
        <v>0</v>
      </c>
      <c r="N50" s="247" t="s">
        <v>10</v>
      </c>
      <c r="P50" s="248"/>
    </row>
    <row r="51" spans="1:22" ht="22.5" customHeight="1">
      <c r="A51" s="101"/>
      <c r="B51" s="56" t="s">
        <v>349</v>
      </c>
      <c r="C51" s="101"/>
      <c r="D51" s="169"/>
      <c r="E51" s="101"/>
      <c r="F51" s="249">
        <f>SUM(F46:F50)</f>
        <v>8</v>
      </c>
      <c r="G51" s="293">
        <f t="shared" ref="G51:M51" si="17">SUM(G46:G50)</f>
        <v>837864416</v>
      </c>
      <c r="H51" s="249">
        <f t="shared" si="17"/>
        <v>0</v>
      </c>
      <c r="I51" s="249">
        <f t="shared" si="17"/>
        <v>0</v>
      </c>
      <c r="J51" s="107">
        <f>'기성내역서(용인)'!D51</f>
        <v>2</v>
      </c>
      <c r="K51" s="293">
        <f t="shared" si="17"/>
        <v>209466104</v>
      </c>
      <c r="L51" s="249">
        <f t="shared" si="17"/>
        <v>2</v>
      </c>
      <c r="M51" s="293">
        <f t="shared" si="17"/>
        <v>209466104</v>
      </c>
      <c r="N51" s="247"/>
      <c r="P51" s="248"/>
    </row>
    <row r="52" spans="1:22" ht="22.5" customHeight="1">
      <c r="A52" s="245" t="s">
        <v>347</v>
      </c>
      <c r="B52" s="245" t="s">
        <v>348</v>
      </c>
      <c r="C52" s="245" t="s">
        <v>10</v>
      </c>
      <c r="D52" s="246"/>
      <c r="E52" s="101"/>
      <c r="F52" s="250"/>
      <c r="G52" s="107"/>
      <c r="H52" s="119"/>
      <c r="I52" s="107"/>
      <c r="J52" s="107"/>
      <c r="K52" s="107"/>
      <c r="L52" s="107"/>
      <c r="M52" s="107"/>
      <c r="N52" s="247"/>
      <c r="P52" s="248"/>
    </row>
    <row r="53" spans="1:22" ht="22.5" customHeight="1">
      <c r="A53" s="101" t="s">
        <v>374</v>
      </c>
      <c r="B53" s="56" t="s">
        <v>268</v>
      </c>
      <c r="C53" s="101" t="s">
        <v>279</v>
      </c>
      <c r="D53" s="169">
        <v>28502244</v>
      </c>
      <c r="E53" s="101" t="s">
        <v>251</v>
      </c>
      <c r="F53" s="249"/>
      <c r="G53" s="107">
        <f t="shared" ref="G53" si="18">D53*F53</f>
        <v>0</v>
      </c>
      <c r="H53" s="119">
        <v>0</v>
      </c>
      <c r="I53" s="107">
        <f t="shared" ref="I53" si="19">D53*H53</f>
        <v>0</v>
      </c>
      <c r="J53" s="107">
        <f>'기성내역서(용인)'!D53</f>
        <v>0</v>
      </c>
      <c r="K53" s="107">
        <f t="shared" ref="K53" si="20">D53*J53</f>
        <v>0</v>
      </c>
      <c r="L53" s="107">
        <f t="shared" ref="L53" si="21">H53+J53</f>
        <v>0</v>
      </c>
      <c r="M53" s="107">
        <f t="shared" ref="M53" si="22">D53*L53</f>
        <v>0</v>
      </c>
      <c r="N53" s="247"/>
      <c r="P53" s="248"/>
    </row>
    <row r="54" spans="1:22" ht="22.5" customHeight="1">
      <c r="A54" s="101"/>
      <c r="B54" s="56" t="s">
        <v>349</v>
      </c>
      <c r="C54" s="101"/>
      <c r="D54" s="169"/>
      <c r="E54" s="101"/>
      <c r="F54" s="249">
        <f>SUM(F53)</f>
        <v>0</v>
      </c>
      <c r="G54" s="249">
        <f t="shared" ref="G54:M54" si="23">SUM(G53)</f>
        <v>0</v>
      </c>
      <c r="H54" s="249">
        <f t="shared" si="23"/>
        <v>0</v>
      </c>
      <c r="I54" s="249">
        <f t="shared" si="23"/>
        <v>0</v>
      </c>
      <c r="J54" s="107">
        <f>'기성내역서(용인)'!D54</f>
        <v>0</v>
      </c>
      <c r="K54" s="249">
        <f t="shared" si="23"/>
        <v>0</v>
      </c>
      <c r="L54" s="249">
        <f t="shared" si="23"/>
        <v>0</v>
      </c>
      <c r="M54" s="249">
        <f t="shared" si="23"/>
        <v>0</v>
      </c>
      <c r="N54" s="247"/>
      <c r="P54" s="248"/>
    </row>
    <row r="55" spans="1:22" ht="22.5" customHeight="1">
      <c r="A55" s="245" t="s">
        <v>139</v>
      </c>
      <c r="B55" s="245" t="s">
        <v>280</v>
      </c>
      <c r="C55" s="245" t="s">
        <v>10</v>
      </c>
      <c r="D55" s="246"/>
      <c r="E55" s="101"/>
      <c r="F55" s="250"/>
      <c r="G55" s="107"/>
      <c r="H55" s="107"/>
      <c r="I55" s="107"/>
      <c r="J55" s="107"/>
      <c r="K55" s="107"/>
      <c r="L55" s="107"/>
      <c r="M55" s="107"/>
      <c r="N55" s="247"/>
      <c r="P55" s="248"/>
    </row>
    <row r="56" spans="1:22" ht="22.5" customHeight="1">
      <c r="A56" s="101" t="s">
        <v>375</v>
      </c>
      <c r="B56" s="56" t="s">
        <v>21</v>
      </c>
      <c r="C56" s="101" t="s">
        <v>281</v>
      </c>
      <c r="D56" s="169">
        <v>32</v>
      </c>
      <c r="E56" s="101" t="s">
        <v>282</v>
      </c>
      <c r="F56" s="169">
        <f>'기성내역서(수지-수원_시티_건가)'!D56+'기성내역서(2025열수송관_시티_건가)'!D56+'기성내역서(2024용인_지성_제조)'!D56</f>
        <v>0</v>
      </c>
      <c r="G56" s="107">
        <f t="shared" ref="G56:G59" si="24">D56*F56</f>
        <v>0</v>
      </c>
      <c r="H56" s="107"/>
      <c r="I56" s="107">
        <f>D56*H56</f>
        <v>0</v>
      </c>
      <c r="J56" s="107">
        <f>'기성내역서(용인)'!D56</f>
        <v>0</v>
      </c>
      <c r="K56" s="107">
        <f>D56*J56</f>
        <v>0</v>
      </c>
      <c r="L56" s="107"/>
      <c r="M56" s="107">
        <f>D56*L56</f>
        <v>0</v>
      </c>
      <c r="N56" s="247"/>
      <c r="P56" s="248"/>
      <c r="R56" s="251"/>
      <c r="T56" s="251"/>
      <c r="V56" s="251"/>
    </row>
    <row r="57" spans="1:22" ht="22.5" customHeight="1">
      <c r="A57" s="101" t="s">
        <v>376</v>
      </c>
      <c r="B57" s="56" t="s">
        <v>283</v>
      </c>
      <c r="C57" s="101" t="s">
        <v>281</v>
      </c>
      <c r="D57" s="169">
        <v>32</v>
      </c>
      <c r="E57" s="101" t="s">
        <v>282</v>
      </c>
      <c r="F57" s="169">
        <f>'기성내역서(수지-수원_시티_건가)'!D57+'기성내역서(2025열수송관_시티_건가)'!D57+'기성내역서(2024용인_지성_제조)'!D57</f>
        <v>0</v>
      </c>
      <c r="G57" s="107">
        <f t="shared" si="24"/>
        <v>0</v>
      </c>
      <c r="H57" s="107"/>
      <c r="I57" s="107">
        <f>D57*H57</f>
        <v>0</v>
      </c>
      <c r="J57" s="107">
        <f>'기성내역서(용인)'!D57</f>
        <v>0</v>
      </c>
      <c r="K57" s="107">
        <f>D57*J57</f>
        <v>0</v>
      </c>
      <c r="L57" s="107"/>
      <c r="M57" s="107">
        <f t="shared" ref="M57:M59" si="25">D57*L57</f>
        <v>0</v>
      </c>
      <c r="N57" s="247"/>
      <c r="P57" s="248"/>
      <c r="R57" s="251"/>
      <c r="T57" s="251"/>
      <c r="V57" s="251"/>
    </row>
    <row r="58" spans="1:22" ht="22.5" customHeight="1">
      <c r="A58" s="101" t="s">
        <v>377</v>
      </c>
      <c r="B58" s="56" t="s">
        <v>284</v>
      </c>
      <c r="C58" s="101" t="s">
        <v>281</v>
      </c>
      <c r="D58" s="169">
        <v>32</v>
      </c>
      <c r="E58" s="101" t="s">
        <v>282</v>
      </c>
      <c r="F58" s="169">
        <f>'기성내역서(수지-수원_시티_건가)'!D58+'기성내역서(2025열수송관_시티_건가)'!D58+'기성내역서(2024용인_지성_제조)'!D58</f>
        <v>0</v>
      </c>
      <c r="G58" s="107">
        <f t="shared" si="24"/>
        <v>0</v>
      </c>
      <c r="H58" s="107"/>
      <c r="I58" s="107">
        <f>D58*H58</f>
        <v>0</v>
      </c>
      <c r="J58" s="107">
        <f>'기성내역서(용인)'!D58</f>
        <v>0</v>
      </c>
      <c r="K58" s="107">
        <f>D58*J58</f>
        <v>0</v>
      </c>
      <c r="L58" s="107"/>
      <c r="M58" s="107">
        <f t="shared" si="25"/>
        <v>0</v>
      </c>
      <c r="N58" s="247" t="s">
        <v>10</v>
      </c>
      <c r="P58" s="248"/>
      <c r="R58" s="251"/>
      <c r="T58" s="251"/>
      <c r="V58" s="251"/>
    </row>
    <row r="59" spans="1:22" ht="22.5" customHeight="1">
      <c r="A59" s="101" t="s">
        <v>378</v>
      </c>
      <c r="B59" s="56" t="s">
        <v>286</v>
      </c>
      <c r="C59" s="101" t="s">
        <v>281</v>
      </c>
      <c r="D59" s="169">
        <v>32</v>
      </c>
      <c r="E59" s="101" t="s">
        <v>287</v>
      </c>
      <c r="F59" s="169">
        <f>'기성내역서(수지-수원_시티_건가)'!D59+'기성내역서(2025열수송관_시티_건가)'!D59+'기성내역서(2024용인_지성_제조)'!D59</f>
        <v>0</v>
      </c>
      <c r="G59" s="107">
        <f t="shared" si="24"/>
        <v>0</v>
      </c>
      <c r="H59" s="107"/>
      <c r="I59" s="107">
        <f>D59*H59</f>
        <v>0</v>
      </c>
      <c r="J59" s="107">
        <f>'기성내역서(용인)'!D59</f>
        <v>0</v>
      </c>
      <c r="K59" s="107">
        <f>D59*J59</f>
        <v>0</v>
      </c>
      <c r="L59" s="107"/>
      <c r="M59" s="107">
        <f t="shared" si="25"/>
        <v>0</v>
      </c>
      <c r="N59" s="247" t="s">
        <v>10</v>
      </c>
      <c r="P59" s="248"/>
      <c r="R59" s="251"/>
      <c r="T59" s="251"/>
      <c r="V59" s="251"/>
    </row>
    <row r="60" spans="1:22" ht="22.5" customHeight="1">
      <c r="A60" s="101"/>
      <c r="B60" s="56" t="s">
        <v>349</v>
      </c>
      <c r="C60" s="101"/>
      <c r="D60" s="169">
        <f>SUM(D56:D59)</f>
        <v>128</v>
      </c>
      <c r="E60" s="101"/>
      <c r="F60" s="169">
        <f t="shared" ref="F60:M60" si="26">SUM(F56:F59)</f>
        <v>0</v>
      </c>
      <c r="G60" s="169">
        <f t="shared" si="26"/>
        <v>0</v>
      </c>
      <c r="H60" s="169">
        <f t="shared" si="26"/>
        <v>0</v>
      </c>
      <c r="I60" s="169">
        <f t="shared" si="26"/>
        <v>0</v>
      </c>
      <c r="J60" s="107">
        <f>'기성내역서(용인)'!D60</f>
        <v>0</v>
      </c>
      <c r="K60" s="169">
        <f t="shared" si="26"/>
        <v>0</v>
      </c>
      <c r="L60" s="169">
        <f t="shared" si="26"/>
        <v>0</v>
      </c>
      <c r="M60" s="169">
        <f t="shared" si="26"/>
        <v>0</v>
      </c>
      <c r="N60" s="247"/>
      <c r="P60" s="248"/>
      <c r="R60" s="251"/>
      <c r="T60" s="251"/>
      <c r="V60" s="251"/>
    </row>
    <row r="61" spans="1:22" s="256" customFormat="1" ht="22.5" customHeight="1">
      <c r="A61" s="245" t="s">
        <v>45</v>
      </c>
      <c r="B61" s="245" t="s">
        <v>10</v>
      </c>
      <c r="C61" s="245" t="s">
        <v>10</v>
      </c>
      <c r="D61" s="252"/>
      <c r="E61" s="253" t="s">
        <v>10</v>
      </c>
      <c r="F61" s="254">
        <f>F28+F44+F51+F54+F60</f>
        <v>148</v>
      </c>
      <c r="G61" s="254">
        <f t="shared" ref="G61:M61" si="27">G28+G44+G51+G54+G60</f>
        <v>4183120378</v>
      </c>
      <c r="H61" s="254">
        <f t="shared" si="27"/>
        <v>0</v>
      </c>
      <c r="I61" s="254">
        <f t="shared" si="27"/>
        <v>0</v>
      </c>
      <c r="J61" s="254">
        <f t="shared" si="27"/>
        <v>38</v>
      </c>
      <c r="K61" s="254">
        <f t="shared" si="27"/>
        <v>1204732090</v>
      </c>
      <c r="L61" s="254">
        <f t="shared" si="27"/>
        <v>38</v>
      </c>
      <c r="M61" s="254">
        <f t="shared" si="27"/>
        <v>1204732090</v>
      </c>
      <c r="N61" s="255" t="s">
        <v>10</v>
      </c>
      <c r="P61" s="248"/>
    </row>
    <row r="62" spans="1:22">
      <c r="K62" s="257"/>
      <c r="M62" s="257"/>
    </row>
  </sheetData>
  <mergeCells count="7">
    <mergeCell ref="A1:N1"/>
    <mergeCell ref="A2:E2"/>
    <mergeCell ref="A3:A4"/>
    <mergeCell ref="B3:B4"/>
    <mergeCell ref="C3:C4"/>
    <mergeCell ref="D3:D4"/>
    <mergeCell ref="E3:E4"/>
  </mergeCells>
  <phoneticPr fontId="14" type="noConversion"/>
  <printOptions horizontalCentered="1"/>
  <pageMargins left="0.51181102362204722" right="0.51181102362204722" top="0.82677165354330717" bottom="0.86614173228346458" header="0.51181102362204722" footer="0.59055118110236227"/>
  <pageSetup paperSize="9" scale="68" fitToHeight="0" orientation="landscape" r:id="rId1"/>
  <headerFooter alignWithMargins="0">
    <oddFooter>&amp;C&amp;"굴림체,보통"한 국 지 역 난 방 공 사&amp;R- &amp;P -</oddFooter>
  </headerFooter>
  <rowBreaks count="1" manualBreakCount="1">
    <brk id="28" max="1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249977111117893"/>
  </sheetPr>
  <dimension ref="A1:DI45"/>
  <sheetViews>
    <sheetView view="pageBreakPreview" topLeftCell="A22" zoomScale="85" zoomScaleNormal="85" zoomScaleSheetLayoutView="85" workbookViewId="0">
      <selection activeCell="M33" sqref="M33"/>
    </sheetView>
  </sheetViews>
  <sheetFormatPr defaultRowHeight="34.700000000000003" customHeight="1"/>
  <cols>
    <col min="1" max="1" width="4.625" style="1" customWidth="1"/>
    <col min="2" max="2" width="34.62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6.5" style="38" bestFit="1" customWidth="1"/>
    <col min="8" max="8" width="10.625" style="40" customWidth="1"/>
    <col min="9" max="9" width="14.625" style="38" customWidth="1"/>
    <col min="10" max="10" width="10.625" style="40" customWidth="1"/>
    <col min="11" max="11" width="14.625" style="38" customWidth="1"/>
    <col min="12" max="12" width="10.625" style="40" customWidth="1"/>
    <col min="13" max="13" width="18.625" style="40" customWidth="1"/>
    <col min="14" max="14" width="13" style="5" bestFit="1" customWidth="1"/>
    <col min="15" max="15" width="10.5" style="5" customWidth="1"/>
    <col min="16" max="228" width="9" style="1"/>
    <col min="229" max="229" width="4.625" style="1" customWidth="1"/>
    <col min="230" max="230" width="34.625" style="1" customWidth="1"/>
    <col min="231" max="231" width="11.625" style="1" customWidth="1"/>
    <col min="232" max="233" width="6.625" style="1" customWidth="1"/>
    <col min="234" max="234" width="10.625" style="1" customWidth="1"/>
    <col min="235" max="235" width="14.625" style="1" customWidth="1"/>
    <col min="236" max="236" width="10.625" style="1" customWidth="1"/>
    <col min="237" max="237" width="14.625" style="1" customWidth="1"/>
    <col min="238" max="238" width="10.625" style="1" customWidth="1"/>
    <col min="239" max="239" width="14.625" style="1" customWidth="1"/>
    <col min="240" max="240" width="10.625" style="1" customWidth="1"/>
    <col min="241" max="241" width="18.625" style="1" customWidth="1"/>
    <col min="242" max="242" width="9.625" style="1" customWidth="1"/>
    <col min="243" max="243" width="10.5" style="1" customWidth="1"/>
    <col min="244" max="244" width="20.375" style="1" bestFit="1" customWidth="1"/>
    <col min="245" max="245" width="12.5" style="1" customWidth="1"/>
    <col min="246" max="246" width="13.125" style="1" customWidth="1"/>
    <col min="247" max="251" width="9" style="1"/>
    <col min="252" max="252" width="11.25" style="1" bestFit="1" customWidth="1"/>
    <col min="253" max="253" width="11.625" style="1" bestFit="1" customWidth="1"/>
    <col min="254" max="484" width="9" style="1"/>
    <col min="485" max="485" width="4.625" style="1" customWidth="1"/>
    <col min="486" max="486" width="34.625" style="1" customWidth="1"/>
    <col min="487" max="487" width="11.625" style="1" customWidth="1"/>
    <col min="488" max="489" width="6.625" style="1" customWidth="1"/>
    <col min="490" max="490" width="10.625" style="1" customWidth="1"/>
    <col min="491" max="491" width="14.625" style="1" customWidth="1"/>
    <col min="492" max="492" width="10.625" style="1" customWidth="1"/>
    <col min="493" max="493" width="14.625" style="1" customWidth="1"/>
    <col min="494" max="494" width="10.625" style="1" customWidth="1"/>
    <col min="495" max="495" width="14.625" style="1" customWidth="1"/>
    <col min="496" max="496" width="10.625" style="1" customWidth="1"/>
    <col min="497" max="497" width="18.625" style="1" customWidth="1"/>
    <col min="498" max="498" width="9.625" style="1" customWidth="1"/>
    <col min="499" max="499" width="10.5" style="1" customWidth="1"/>
    <col min="500" max="500" width="20.375" style="1" bestFit="1" customWidth="1"/>
    <col min="501" max="501" width="12.5" style="1" customWidth="1"/>
    <col min="502" max="502" width="13.125" style="1" customWidth="1"/>
    <col min="503" max="507" width="9" style="1"/>
    <col min="508" max="508" width="11.25" style="1" bestFit="1" customWidth="1"/>
    <col min="509" max="509" width="11.625" style="1" bestFit="1" customWidth="1"/>
    <col min="510" max="740" width="9" style="1"/>
    <col min="741" max="741" width="4.625" style="1" customWidth="1"/>
    <col min="742" max="742" width="34.625" style="1" customWidth="1"/>
    <col min="743" max="743" width="11.625" style="1" customWidth="1"/>
    <col min="744" max="745" width="6.625" style="1" customWidth="1"/>
    <col min="746" max="746" width="10.625" style="1" customWidth="1"/>
    <col min="747" max="747" width="14.625" style="1" customWidth="1"/>
    <col min="748" max="748" width="10.625" style="1" customWidth="1"/>
    <col min="749" max="749" width="14.625" style="1" customWidth="1"/>
    <col min="750" max="750" width="10.625" style="1" customWidth="1"/>
    <col min="751" max="751" width="14.625" style="1" customWidth="1"/>
    <col min="752" max="752" width="10.625" style="1" customWidth="1"/>
    <col min="753" max="753" width="18.625" style="1" customWidth="1"/>
    <col min="754" max="754" width="9.625" style="1" customWidth="1"/>
    <col min="755" max="755" width="10.5" style="1" customWidth="1"/>
    <col min="756" max="756" width="20.375" style="1" bestFit="1" customWidth="1"/>
    <col min="757" max="757" width="12.5" style="1" customWidth="1"/>
    <col min="758" max="758" width="13.125" style="1" customWidth="1"/>
    <col min="759" max="763" width="9" style="1"/>
    <col min="764" max="764" width="11.25" style="1" bestFit="1" customWidth="1"/>
    <col min="765" max="765" width="11.625" style="1" bestFit="1" customWidth="1"/>
    <col min="766" max="996" width="9" style="1"/>
    <col min="997" max="997" width="4.625" style="1" customWidth="1"/>
    <col min="998" max="998" width="34.625" style="1" customWidth="1"/>
    <col min="999" max="999" width="11.625" style="1" customWidth="1"/>
    <col min="1000" max="1001" width="6.625" style="1" customWidth="1"/>
    <col min="1002" max="1002" width="10.625" style="1" customWidth="1"/>
    <col min="1003" max="1003" width="14.625" style="1" customWidth="1"/>
    <col min="1004" max="1004" width="10.625" style="1" customWidth="1"/>
    <col min="1005" max="1005" width="14.625" style="1" customWidth="1"/>
    <col min="1006" max="1006" width="10.625" style="1" customWidth="1"/>
    <col min="1007" max="1007" width="14.625" style="1" customWidth="1"/>
    <col min="1008" max="1008" width="10.625" style="1" customWidth="1"/>
    <col min="1009" max="1009" width="18.625" style="1" customWidth="1"/>
    <col min="1010" max="1010" width="9.625" style="1" customWidth="1"/>
    <col min="1011" max="1011" width="10.5" style="1" customWidth="1"/>
    <col min="1012" max="1012" width="20.375" style="1" bestFit="1" customWidth="1"/>
    <col min="1013" max="1013" width="12.5" style="1" customWidth="1"/>
    <col min="1014" max="1014" width="13.125" style="1" customWidth="1"/>
    <col min="1015" max="1019" width="9" style="1"/>
    <col min="1020" max="1020" width="11.25" style="1" bestFit="1" customWidth="1"/>
    <col min="1021" max="1021" width="11.625" style="1" bestFit="1" customWidth="1"/>
    <col min="1022" max="1252" width="9" style="1"/>
    <col min="1253" max="1253" width="4.625" style="1" customWidth="1"/>
    <col min="1254" max="1254" width="34.625" style="1" customWidth="1"/>
    <col min="1255" max="1255" width="11.625" style="1" customWidth="1"/>
    <col min="1256" max="1257" width="6.625" style="1" customWidth="1"/>
    <col min="1258" max="1258" width="10.625" style="1" customWidth="1"/>
    <col min="1259" max="1259" width="14.625" style="1" customWidth="1"/>
    <col min="1260" max="1260" width="10.625" style="1" customWidth="1"/>
    <col min="1261" max="1261" width="14.625" style="1" customWidth="1"/>
    <col min="1262" max="1262" width="10.625" style="1" customWidth="1"/>
    <col min="1263" max="1263" width="14.625" style="1" customWidth="1"/>
    <col min="1264" max="1264" width="10.625" style="1" customWidth="1"/>
    <col min="1265" max="1265" width="18.625" style="1" customWidth="1"/>
    <col min="1266" max="1266" width="9.625" style="1" customWidth="1"/>
    <col min="1267" max="1267" width="10.5" style="1" customWidth="1"/>
    <col min="1268" max="1268" width="20.375" style="1" bestFit="1" customWidth="1"/>
    <col min="1269" max="1269" width="12.5" style="1" customWidth="1"/>
    <col min="1270" max="1270" width="13.125" style="1" customWidth="1"/>
    <col min="1271" max="1275" width="9" style="1"/>
    <col min="1276" max="1276" width="11.25" style="1" bestFit="1" customWidth="1"/>
    <col min="1277" max="1277" width="11.625" style="1" bestFit="1" customWidth="1"/>
    <col min="1278" max="1508" width="9" style="1"/>
    <col min="1509" max="1509" width="4.625" style="1" customWidth="1"/>
    <col min="1510" max="1510" width="34.625" style="1" customWidth="1"/>
    <col min="1511" max="1511" width="11.625" style="1" customWidth="1"/>
    <col min="1512" max="1513" width="6.625" style="1" customWidth="1"/>
    <col min="1514" max="1514" width="10.625" style="1" customWidth="1"/>
    <col min="1515" max="1515" width="14.625" style="1" customWidth="1"/>
    <col min="1516" max="1516" width="10.625" style="1" customWidth="1"/>
    <col min="1517" max="1517" width="14.625" style="1" customWidth="1"/>
    <col min="1518" max="1518" width="10.625" style="1" customWidth="1"/>
    <col min="1519" max="1519" width="14.625" style="1" customWidth="1"/>
    <col min="1520" max="1520" width="10.625" style="1" customWidth="1"/>
    <col min="1521" max="1521" width="18.625" style="1" customWidth="1"/>
    <col min="1522" max="1522" width="9.625" style="1" customWidth="1"/>
    <col min="1523" max="1523" width="10.5" style="1" customWidth="1"/>
    <col min="1524" max="1524" width="20.375" style="1" bestFit="1" customWidth="1"/>
    <col min="1525" max="1525" width="12.5" style="1" customWidth="1"/>
    <col min="1526" max="1526" width="13.125" style="1" customWidth="1"/>
    <col min="1527" max="1531" width="9" style="1"/>
    <col min="1532" max="1532" width="11.25" style="1" bestFit="1" customWidth="1"/>
    <col min="1533" max="1533" width="11.625" style="1" bestFit="1" customWidth="1"/>
    <col min="1534" max="1764" width="9" style="1"/>
    <col min="1765" max="1765" width="4.625" style="1" customWidth="1"/>
    <col min="1766" max="1766" width="34.625" style="1" customWidth="1"/>
    <col min="1767" max="1767" width="11.625" style="1" customWidth="1"/>
    <col min="1768" max="1769" width="6.625" style="1" customWidth="1"/>
    <col min="1770" max="1770" width="10.625" style="1" customWidth="1"/>
    <col min="1771" max="1771" width="14.625" style="1" customWidth="1"/>
    <col min="1772" max="1772" width="10.625" style="1" customWidth="1"/>
    <col min="1773" max="1773" width="14.625" style="1" customWidth="1"/>
    <col min="1774" max="1774" width="10.625" style="1" customWidth="1"/>
    <col min="1775" max="1775" width="14.625" style="1" customWidth="1"/>
    <col min="1776" max="1776" width="10.625" style="1" customWidth="1"/>
    <col min="1777" max="1777" width="18.625" style="1" customWidth="1"/>
    <col min="1778" max="1778" width="9.625" style="1" customWidth="1"/>
    <col min="1779" max="1779" width="10.5" style="1" customWidth="1"/>
    <col min="1780" max="1780" width="20.375" style="1" bestFit="1" customWidth="1"/>
    <col min="1781" max="1781" width="12.5" style="1" customWidth="1"/>
    <col min="1782" max="1782" width="13.125" style="1" customWidth="1"/>
    <col min="1783" max="1787" width="9" style="1"/>
    <col min="1788" max="1788" width="11.25" style="1" bestFit="1" customWidth="1"/>
    <col min="1789" max="1789" width="11.625" style="1" bestFit="1" customWidth="1"/>
    <col min="1790" max="2020" width="9" style="1"/>
    <col min="2021" max="2021" width="4.625" style="1" customWidth="1"/>
    <col min="2022" max="2022" width="34.625" style="1" customWidth="1"/>
    <col min="2023" max="2023" width="11.625" style="1" customWidth="1"/>
    <col min="2024" max="2025" width="6.625" style="1" customWidth="1"/>
    <col min="2026" max="2026" width="10.625" style="1" customWidth="1"/>
    <col min="2027" max="2027" width="14.625" style="1" customWidth="1"/>
    <col min="2028" max="2028" width="10.625" style="1" customWidth="1"/>
    <col min="2029" max="2029" width="14.625" style="1" customWidth="1"/>
    <col min="2030" max="2030" width="10.625" style="1" customWidth="1"/>
    <col min="2031" max="2031" width="14.625" style="1" customWidth="1"/>
    <col min="2032" max="2032" width="10.625" style="1" customWidth="1"/>
    <col min="2033" max="2033" width="18.625" style="1" customWidth="1"/>
    <col min="2034" max="2034" width="9.625" style="1" customWidth="1"/>
    <col min="2035" max="2035" width="10.5" style="1" customWidth="1"/>
    <col min="2036" max="2036" width="20.375" style="1" bestFit="1" customWidth="1"/>
    <col min="2037" max="2037" width="12.5" style="1" customWidth="1"/>
    <col min="2038" max="2038" width="13.125" style="1" customWidth="1"/>
    <col min="2039" max="2043" width="9" style="1"/>
    <col min="2044" max="2044" width="11.25" style="1" bestFit="1" customWidth="1"/>
    <col min="2045" max="2045" width="11.625" style="1" bestFit="1" customWidth="1"/>
    <col min="2046" max="2276" width="9" style="1"/>
    <col min="2277" max="2277" width="4.625" style="1" customWidth="1"/>
    <col min="2278" max="2278" width="34.625" style="1" customWidth="1"/>
    <col min="2279" max="2279" width="11.625" style="1" customWidth="1"/>
    <col min="2280" max="2281" width="6.625" style="1" customWidth="1"/>
    <col min="2282" max="2282" width="10.625" style="1" customWidth="1"/>
    <col min="2283" max="2283" width="14.625" style="1" customWidth="1"/>
    <col min="2284" max="2284" width="10.625" style="1" customWidth="1"/>
    <col min="2285" max="2285" width="14.625" style="1" customWidth="1"/>
    <col min="2286" max="2286" width="10.625" style="1" customWidth="1"/>
    <col min="2287" max="2287" width="14.625" style="1" customWidth="1"/>
    <col min="2288" max="2288" width="10.625" style="1" customWidth="1"/>
    <col min="2289" max="2289" width="18.625" style="1" customWidth="1"/>
    <col min="2290" max="2290" width="9.625" style="1" customWidth="1"/>
    <col min="2291" max="2291" width="10.5" style="1" customWidth="1"/>
    <col min="2292" max="2292" width="20.375" style="1" bestFit="1" customWidth="1"/>
    <col min="2293" max="2293" width="12.5" style="1" customWidth="1"/>
    <col min="2294" max="2294" width="13.125" style="1" customWidth="1"/>
    <col min="2295" max="2299" width="9" style="1"/>
    <col min="2300" max="2300" width="11.25" style="1" bestFit="1" customWidth="1"/>
    <col min="2301" max="2301" width="11.625" style="1" bestFit="1" customWidth="1"/>
    <col min="2302" max="2532" width="9" style="1"/>
    <col min="2533" max="2533" width="4.625" style="1" customWidth="1"/>
    <col min="2534" max="2534" width="34.625" style="1" customWidth="1"/>
    <col min="2535" max="2535" width="11.625" style="1" customWidth="1"/>
    <col min="2536" max="2537" width="6.625" style="1" customWidth="1"/>
    <col min="2538" max="2538" width="10.625" style="1" customWidth="1"/>
    <col min="2539" max="2539" width="14.625" style="1" customWidth="1"/>
    <col min="2540" max="2540" width="10.625" style="1" customWidth="1"/>
    <col min="2541" max="2541" width="14.625" style="1" customWidth="1"/>
    <col min="2542" max="2542" width="10.625" style="1" customWidth="1"/>
    <col min="2543" max="2543" width="14.625" style="1" customWidth="1"/>
    <col min="2544" max="2544" width="10.625" style="1" customWidth="1"/>
    <col min="2545" max="2545" width="18.625" style="1" customWidth="1"/>
    <col min="2546" max="2546" width="9.625" style="1" customWidth="1"/>
    <col min="2547" max="2547" width="10.5" style="1" customWidth="1"/>
    <col min="2548" max="2548" width="20.375" style="1" bestFit="1" customWidth="1"/>
    <col min="2549" max="2549" width="12.5" style="1" customWidth="1"/>
    <col min="2550" max="2550" width="13.125" style="1" customWidth="1"/>
    <col min="2551" max="2555" width="9" style="1"/>
    <col min="2556" max="2556" width="11.25" style="1" bestFit="1" customWidth="1"/>
    <col min="2557" max="2557" width="11.625" style="1" bestFit="1" customWidth="1"/>
    <col min="2558" max="2788" width="9" style="1"/>
    <col min="2789" max="2789" width="4.625" style="1" customWidth="1"/>
    <col min="2790" max="2790" width="34.625" style="1" customWidth="1"/>
    <col min="2791" max="2791" width="11.625" style="1" customWidth="1"/>
    <col min="2792" max="2793" width="6.625" style="1" customWidth="1"/>
    <col min="2794" max="2794" width="10.625" style="1" customWidth="1"/>
    <col min="2795" max="2795" width="14.625" style="1" customWidth="1"/>
    <col min="2796" max="2796" width="10.625" style="1" customWidth="1"/>
    <col min="2797" max="2797" width="14.625" style="1" customWidth="1"/>
    <col min="2798" max="2798" width="10.625" style="1" customWidth="1"/>
    <col min="2799" max="2799" width="14.625" style="1" customWidth="1"/>
    <col min="2800" max="2800" width="10.625" style="1" customWidth="1"/>
    <col min="2801" max="2801" width="18.625" style="1" customWidth="1"/>
    <col min="2802" max="2802" width="9.625" style="1" customWidth="1"/>
    <col min="2803" max="2803" width="10.5" style="1" customWidth="1"/>
    <col min="2804" max="2804" width="20.375" style="1" bestFit="1" customWidth="1"/>
    <col min="2805" max="2805" width="12.5" style="1" customWidth="1"/>
    <col min="2806" max="2806" width="13.125" style="1" customWidth="1"/>
    <col min="2807" max="2811" width="9" style="1"/>
    <col min="2812" max="2812" width="11.25" style="1" bestFit="1" customWidth="1"/>
    <col min="2813" max="2813" width="11.625" style="1" bestFit="1" customWidth="1"/>
    <col min="2814" max="3044" width="9" style="1"/>
    <col min="3045" max="3045" width="4.625" style="1" customWidth="1"/>
    <col min="3046" max="3046" width="34.625" style="1" customWidth="1"/>
    <col min="3047" max="3047" width="11.625" style="1" customWidth="1"/>
    <col min="3048" max="3049" width="6.625" style="1" customWidth="1"/>
    <col min="3050" max="3050" width="10.625" style="1" customWidth="1"/>
    <col min="3051" max="3051" width="14.625" style="1" customWidth="1"/>
    <col min="3052" max="3052" width="10.625" style="1" customWidth="1"/>
    <col min="3053" max="3053" width="14.625" style="1" customWidth="1"/>
    <col min="3054" max="3054" width="10.625" style="1" customWidth="1"/>
    <col min="3055" max="3055" width="14.625" style="1" customWidth="1"/>
    <col min="3056" max="3056" width="10.625" style="1" customWidth="1"/>
    <col min="3057" max="3057" width="18.625" style="1" customWidth="1"/>
    <col min="3058" max="3058" width="9.625" style="1" customWidth="1"/>
    <col min="3059" max="3059" width="10.5" style="1" customWidth="1"/>
    <col min="3060" max="3060" width="20.375" style="1" bestFit="1" customWidth="1"/>
    <col min="3061" max="3061" width="12.5" style="1" customWidth="1"/>
    <col min="3062" max="3062" width="13.125" style="1" customWidth="1"/>
    <col min="3063" max="3067" width="9" style="1"/>
    <col min="3068" max="3068" width="11.25" style="1" bestFit="1" customWidth="1"/>
    <col min="3069" max="3069" width="11.625" style="1" bestFit="1" customWidth="1"/>
    <col min="3070" max="3300" width="9" style="1"/>
    <col min="3301" max="3301" width="4.625" style="1" customWidth="1"/>
    <col min="3302" max="3302" width="34.625" style="1" customWidth="1"/>
    <col min="3303" max="3303" width="11.625" style="1" customWidth="1"/>
    <col min="3304" max="3305" width="6.625" style="1" customWidth="1"/>
    <col min="3306" max="3306" width="10.625" style="1" customWidth="1"/>
    <col min="3307" max="3307" width="14.625" style="1" customWidth="1"/>
    <col min="3308" max="3308" width="10.625" style="1" customWidth="1"/>
    <col min="3309" max="3309" width="14.625" style="1" customWidth="1"/>
    <col min="3310" max="3310" width="10.625" style="1" customWidth="1"/>
    <col min="3311" max="3311" width="14.625" style="1" customWidth="1"/>
    <col min="3312" max="3312" width="10.625" style="1" customWidth="1"/>
    <col min="3313" max="3313" width="18.625" style="1" customWidth="1"/>
    <col min="3314" max="3314" width="9.625" style="1" customWidth="1"/>
    <col min="3315" max="3315" width="10.5" style="1" customWidth="1"/>
    <col min="3316" max="3316" width="20.375" style="1" bestFit="1" customWidth="1"/>
    <col min="3317" max="3317" width="12.5" style="1" customWidth="1"/>
    <col min="3318" max="3318" width="13.125" style="1" customWidth="1"/>
    <col min="3319" max="3323" width="9" style="1"/>
    <col min="3324" max="3324" width="11.25" style="1" bestFit="1" customWidth="1"/>
    <col min="3325" max="3325" width="11.625" style="1" bestFit="1" customWidth="1"/>
    <col min="3326" max="3556" width="9" style="1"/>
    <col min="3557" max="3557" width="4.625" style="1" customWidth="1"/>
    <col min="3558" max="3558" width="34.625" style="1" customWidth="1"/>
    <col min="3559" max="3559" width="11.625" style="1" customWidth="1"/>
    <col min="3560" max="3561" width="6.625" style="1" customWidth="1"/>
    <col min="3562" max="3562" width="10.625" style="1" customWidth="1"/>
    <col min="3563" max="3563" width="14.625" style="1" customWidth="1"/>
    <col min="3564" max="3564" width="10.625" style="1" customWidth="1"/>
    <col min="3565" max="3565" width="14.625" style="1" customWidth="1"/>
    <col min="3566" max="3566" width="10.625" style="1" customWidth="1"/>
    <col min="3567" max="3567" width="14.625" style="1" customWidth="1"/>
    <col min="3568" max="3568" width="10.625" style="1" customWidth="1"/>
    <col min="3569" max="3569" width="18.625" style="1" customWidth="1"/>
    <col min="3570" max="3570" width="9.625" style="1" customWidth="1"/>
    <col min="3571" max="3571" width="10.5" style="1" customWidth="1"/>
    <col min="3572" max="3572" width="20.375" style="1" bestFit="1" customWidth="1"/>
    <col min="3573" max="3573" width="12.5" style="1" customWidth="1"/>
    <col min="3574" max="3574" width="13.125" style="1" customWidth="1"/>
    <col min="3575" max="3579" width="9" style="1"/>
    <col min="3580" max="3580" width="11.25" style="1" bestFit="1" customWidth="1"/>
    <col min="3581" max="3581" width="11.625" style="1" bestFit="1" customWidth="1"/>
    <col min="3582" max="3812" width="9" style="1"/>
    <col min="3813" max="3813" width="4.625" style="1" customWidth="1"/>
    <col min="3814" max="3814" width="34.625" style="1" customWidth="1"/>
    <col min="3815" max="3815" width="11.625" style="1" customWidth="1"/>
    <col min="3816" max="3817" width="6.625" style="1" customWidth="1"/>
    <col min="3818" max="3818" width="10.625" style="1" customWidth="1"/>
    <col min="3819" max="3819" width="14.625" style="1" customWidth="1"/>
    <col min="3820" max="3820" width="10.625" style="1" customWidth="1"/>
    <col min="3821" max="3821" width="14.625" style="1" customWidth="1"/>
    <col min="3822" max="3822" width="10.625" style="1" customWidth="1"/>
    <col min="3823" max="3823" width="14.625" style="1" customWidth="1"/>
    <col min="3824" max="3824" width="10.625" style="1" customWidth="1"/>
    <col min="3825" max="3825" width="18.625" style="1" customWidth="1"/>
    <col min="3826" max="3826" width="9.625" style="1" customWidth="1"/>
    <col min="3827" max="3827" width="10.5" style="1" customWidth="1"/>
    <col min="3828" max="3828" width="20.375" style="1" bestFit="1" customWidth="1"/>
    <col min="3829" max="3829" width="12.5" style="1" customWidth="1"/>
    <col min="3830" max="3830" width="13.125" style="1" customWidth="1"/>
    <col min="3831" max="3835" width="9" style="1"/>
    <col min="3836" max="3836" width="11.25" style="1" bestFit="1" customWidth="1"/>
    <col min="3837" max="3837" width="11.625" style="1" bestFit="1" customWidth="1"/>
    <col min="3838" max="4068" width="9" style="1"/>
    <col min="4069" max="4069" width="4.625" style="1" customWidth="1"/>
    <col min="4070" max="4070" width="34.625" style="1" customWidth="1"/>
    <col min="4071" max="4071" width="11.625" style="1" customWidth="1"/>
    <col min="4072" max="4073" width="6.625" style="1" customWidth="1"/>
    <col min="4074" max="4074" width="10.625" style="1" customWidth="1"/>
    <col min="4075" max="4075" width="14.625" style="1" customWidth="1"/>
    <col min="4076" max="4076" width="10.625" style="1" customWidth="1"/>
    <col min="4077" max="4077" width="14.625" style="1" customWidth="1"/>
    <col min="4078" max="4078" width="10.625" style="1" customWidth="1"/>
    <col min="4079" max="4079" width="14.625" style="1" customWidth="1"/>
    <col min="4080" max="4080" width="10.625" style="1" customWidth="1"/>
    <col min="4081" max="4081" width="18.625" style="1" customWidth="1"/>
    <col min="4082" max="4082" width="9.625" style="1" customWidth="1"/>
    <col min="4083" max="4083" width="10.5" style="1" customWidth="1"/>
    <col min="4084" max="4084" width="20.375" style="1" bestFit="1" customWidth="1"/>
    <col min="4085" max="4085" width="12.5" style="1" customWidth="1"/>
    <col min="4086" max="4086" width="13.125" style="1" customWidth="1"/>
    <col min="4087" max="4091" width="9" style="1"/>
    <col min="4092" max="4092" width="11.25" style="1" bestFit="1" customWidth="1"/>
    <col min="4093" max="4093" width="11.625" style="1" bestFit="1" customWidth="1"/>
    <col min="4094" max="4324" width="9" style="1"/>
    <col min="4325" max="4325" width="4.625" style="1" customWidth="1"/>
    <col min="4326" max="4326" width="34.625" style="1" customWidth="1"/>
    <col min="4327" max="4327" width="11.625" style="1" customWidth="1"/>
    <col min="4328" max="4329" width="6.625" style="1" customWidth="1"/>
    <col min="4330" max="4330" width="10.625" style="1" customWidth="1"/>
    <col min="4331" max="4331" width="14.625" style="1" customWidth="1"/>
    <col min="4332" max="4332" width="10.625" style="1" customWidth="1"/>
    <col min="4333" max="4333" width="14.625" style="1" customWidth="1"/>
    <col min="4334" max="4334" width="10.625" style="1" customWidth="1"/>
    <col min="4335" max="4335" width="14.625" style="1" customWidth="1"/>
    <col min="4336" max="4336" width="10.625" style="1" customWidth="1"/>
    <col min="4337" max="4337" width="18.625" style="1" customWidth="1"/>
    <col min="4338" max="4338" width="9.625" style="1" customWidth="1"/>
    <col min="4339" max="4339" width="10.5" style="1" customWidth="1"/>
    <col min="4340" max="4340" width="20.375" style="1" bestFit="1" customWidth="1"/>
    <col min="4341" max="4341" width="12.5" style="1" customWidth="1"/>
    <col min="4342" max="4342" width="13.125" style="1" customWidth="1"/>
    <col min="4343" max="4347" width="9" style="1"/>
    <col min="4348" max="4348" width="11.25" style="1" bestFit="1" customWidth="1"/>
    <col min="4349" max="4349" width="11.625" style="1" bestFit="1" customWidth="1"/>
    <col min="4350" max="4580" width="9" style="1"/>
    <col min="4581" max="4581" width="4.625" style="1" customWidth="1"/>
    <col min="4582" max="4582" width="34.625" style="1" customWidth="1"/>
    <col min="4583" max="4583" width="11.625" style="1" customWidth="1"/>
    <col min="4584" max="4585" width="6.625" style="1" customWidth="1"/>
    <col min="4586" max="4586" width="10.625" style="1" customWidth="1"/>
    <col min="4587" max="4587" width="14.625" style="1" customWidth="1"/>
    <col min="4588" max="4588" width="10.625" style="1" customWidth="1"/>
    <col min="4589" max="4589" width="14.625" style="1" customWidth="1"/>
    <col min="4590" max="4590" width="10.625" style="1" customWidth="1"/>
    <col min="4591" max="4591" width="14.625" style="1" customWidth="1"/>
    <col min="4592" max="4592" width="10.625" style="1" customWidth="1"/>
    <col min="4593" max="4593" width="18.625" style="1" customWidth="1"/>
    <col min="4594" max="4594" width="9.625" style="1" customWidth="1"/>
    <col min="4595" max="4595" width="10.5" style="1" customWidth="1"/>
    <col min="4596" max="4596" width="20.375" style="1" bestFit="1" customWidth="1"/>
    <col min="4597" max="4597" width="12.5" style="1" customWidth="1"/>
    <col min="4598" max="4598" width="13.125" style="1" customWidth="1"/>
    <col min="4599" max="4603" width="9" style="1"/>
    <col min="4604" max="4604" width="11.25" style="1" bestFit="1" customWidth="1"/>
    <col min="4605" max="4605" width="11.625" style="1" bestFit="1" customWidth="1"/>
    <col min="4606" max="4836" width="9" style="1"/>
    <col min="4837" max="4837" width="4.625" style="1" customWidth="1"/>
    <col min="4838" max="4838" width="34.625" style="1" customWidth="1"/>
    <col min="4839" max="4839" width="11.625" style="1" customWidth="1"/>
    <col min="4840" max="4841" width="6.625" style="1" customWidth="1"/>
    <col min="4842" max="4842" width="10.625" style="1" customWidth="1"/>
    <col min="4843" max="4843" width="14.625" style="1" customWidth="1"/>
    <col min="4844" max="4844" width="10.625" style="1" customWidth="1"/>
    <col min="4845" max="4845" width="14.625" style="1" customWidth="1"/>
    <col min="4846" max="4846" width="10.625" style="1" customWidth="1"/>
    <col min="4847" max="4847" width="14.625" style="1" customWidth="1"/>
    <col min="4848" max="4848" width="10.625" style="1" customWidth="1"/>
    <col min="4849" max="4849" width="18.625" style="1" customWidth="1"/>
    <col min="4850" max="4850" width="9.625" style="1" customWidth="1"/>
    <col min="4851" max="4851" width="10.5" style="1" customWidth="1"/>
    <col min="4852" max="4852" width="20.375" style="1" bestFit="1" customWidth="1"/>
    <col min="4853" max="4853" width="12.5" style="1" customWidth="1"/>
    <col min="4854" max="4854" width="13.125" style="1" customWidth="1"/>
    <col min="4855" max="4859" width="9" style="1"/>
    <col min="4860" max="4860" width="11.25" style="1" bestFit="1" customWidth="1"/>
    <col min="4861" max="4861" width="11.625" style="1" bestFit="1" customWidth="1"/>
    <col min="4862" max="5092" width="9" style="1"/>
    <col min="5093" max="5093" width="4.625" style="1" customWidth="1"/>
    <col min="5094" max="5094" width="34.625" style="1" customWidth="1"/>
    <col min="5095" max="5095" width="11.625" style="1" customWidth="1"/>
    <col min="5096" max="5097" width="6.625" style="1" customWidth="1"/>
    <col min="5098" max="5098" width="10.625" style="1" customWidth="1"/>
    <col min="5099" max="5099" width="14.625" style="1" customWidth="1"/>
    <col min="5100" max="5100" width="10.625" style="1" customWidth="1"/>
    <col min="5101" max="5101" width="14.625" style="1" customWidth="1"/>
    <col min="5102" max="5102" width="10.625" style="1" customWidth="1"/>
    <col min="5103" max="5103" width="14.625" style="1" customWidth="1"/>
    <col min="5104" max="5104" width="10.625" style="1" customWidth="1"/>
    <col min="5105" max="5105" width="18.625" style="1" customWidth="1"/>
    <col min="5106" max="5106" width="9.625" style="1" customWidth="1"/>
    <col min="5107" max="5107" width="10.5" style="1" customWidth="1"/>
    <col min="5108" max="5108" width="20.375" style="1" bestFit="1" customWidth="1"/>
    <col min="5109" max="5109" width="12.5" style="1" customWidth="1"/>
    <col min="5110" max="5110" width="13.125" style="1" customWidth="1"/>
    <col min="5111" max="5115" width="9" style="1"/>
    <col min="5116" max="5116" width="11.25" style="1" bestFit="1" customWidth="1"/>
    <col min="5117" max="5117" width="11.625" style="1" bestFit="1" customWidth="1"/>
    <col min="5118" max="5348" width="9" style="1"/>
    <col min="5349" max="5349" width="4.625" style="1" customWidth="1"/>
    <col min="5350" max="5350" width="34.625" style="1" customWidth="1"/>
    <col min="5351" max="5351" width="11.625" style="1" customWidth="1"/>
    <col min="5352" max="5353" width="6.625" style="1" customWidth="1"/>
    <col min="5354" max="5354" width="10.625" style="1" customWidth="1"/>
    <col min="5355" max="5355" width="14.625" style="1" customWidth="1"/>
    <col min="5356" max="5356" width="10.625" style="1" customWidth="1"/>
    <col min="5357" max="5357" width="14.625" style="1" customWidth="1"/>
    <col min="5358" max="5358" width="10.625" style="1" customWidth="1"/>
    <col min="5359" max="5359" width="14.625" style="1" customWidth="1"/>
    <col min="5360" max="5360" width="10.625" style="1" customWidth="1"/>
    <col min="5361" max="5361" width="18.625" style="1" customWidth="1"/>
    <col min="5362" max="5362" width="9.625" style="1" customWidth="1"/>
    <col min="5363" max="5363" width="10.5" style="1" customWidth="1"/>
    <col min="5364" max="5364" width="20.375" style="1" bestFit="1" customWidth="1"/>
    <col min="5365" max="5365" width="12.5" style="1" customWidth="1"/>
    <col min="5366" max="5366" width="13.125" style="1" customWidth="1"/>
    <col min="5367" max="5371" width="9" style="1"/>
    <col min="5372" max="5372" width="11.25" style="1" bestFit="1" customWidth="1"/>
    <col min="5373" max="5373" width="11.625" style="1" bestFit="1" customWidth="1"/>
    <col min="5374" max="5604" width="9" style="1"/>
    <col min="5605" max="5605" width="4.625" style="1" customWidth="1"/>
    <col min="5606" max="5606" width="34.625" style="1" customWidth="1"/>
    <col min="5607" max="5607" width="11.625" style="1" customWidth="1"/>
    <col min="5608" max="5609" width="6.625" style="1" customWidth="1"/>
    <col min="5610" max="5610" width="10.625" style="1" customWidth="1"/>
    <col min="5611" max="5611" width="14.625" style="1" customWidth="1"/>
    <col min="5612" max="5612" width="10.625" style="1" customWidth="1"/>
    <col min="5613" max="5613" width="14.625" style="1" customWidth="1"/>
    <col min="5614" max="5614" width="10.625" style="1" customWidth="1"/>
    <col min="5615" max="5615" width="14.625" style="1" customWidth="1"/>
    <col min="5616" max="5616" width="10.625" style="1" customWidth="1"/>
    <col min="5617" max="5617" width="18.625" style="1" customWidth="1"/>
    <col min="5618" max="5618" width="9.625" style="1" customWidth="1"/>
    <col min="5619" max="5619" width="10.5" style="1" customWidth="1"/>
    <col min="5620" max="5620" width="20.375" style="1" bestFit="1" customWidth="1"/>
    <col min="5621" max="5621" width="12.5" style="1" customWidth="1"/>
    <col min="5622" max="5622" width="13.125" style="1" customWidth="1"/>
    <col min="5623" max="5627" width="9" style="1"/>
    <col min="5628" max="5628" width="11.25" style="1" bestFit="1" customWidth="1"/>
    <col min="5629" max="5629" width="11.625" style="1" bestFit="1" customWidth="1"/>
    <col min="5630" max="5860" width="9" style="1"/>
    <col min="5861" max="5861" width="4.625" style="1" customWidth="1"/>
    <col min="5862" max="5862" width="34.625" style="1" customWidth="1"/>
    <col min="5863" max="5863" width="11.625" style="1" customWidth="1"/>
    <col min="5864" max="5865" width="6.625" style="1" customWidth="1"/>
    <col min="5866" max="5866" width="10.625" style="1" customWidth="1"/>
    <col min="5867" max="5867" width="14.625" style="1" customWidth="1"/>
    <col min="5868" max="5868" width="10.625" style="1" customWidth="1"/>
    <col min="5869" max="5869" width="14.625" style="1" customWidth="1"/>
    <col min="5870" max="5870" width="10.625" style="1" customWidth="1"/>
    <col min="5871" max="5871" width="14.625" style="1" customWidth="1"/>
    <col min="5872" max="5872" width="10.625" style="1" customWidth="1"/>
    <col min="5873" max="5873" width="18.625" style="1" customWidth="1"/>
    <col min="5874" max="5874" width="9.625" style="1" customWidth="1"/>
    <col min="5875" max="5875" width="10.5" style="1" customWidth="1"/>
    <col min="5876" max="5876" width="20.375" style="1" bestFit="1" customWidth="1"/>
    <col min="5877" max="5877" width="12.5" style="1" customWidth="1"/>
    <col min="5878" max="5878" width="13.125" style="1" customWidth="1"/>
    <col min="5879" max="5883" width="9" style="1"/>
    <col min="5884" max="5884" width="11.25" style="1" bestFit="1" customWidth="1"/>
    <col min="5885" max="5885" width="11.625" style="1" bestFit="1" customWidth="1"/>
    <col min="5886" max="6116" width="9" style="1"/>
    <col min="6117" max="6117" width="4.625" style="1" customWidth="1"/>
    <col min="6118" max="6118" width="34.625" style="1" customWidth="1"/>
    <col min="6119" max="6119" width="11.625" style="1" customWidth="1"/>
    <col min="6120" max="6121" width="6.625" style="1" customWidth="1"/>
    <col min="6122" max="6122" width="10.625" style="1" customWidth="1"/>
    <col min="6123" max="6123" width="14.625" style="1" customWidth="1"/>
    <col min="6124" max="6124" width="10.625" style="1" customWidth="1"/>
    <col min="6125" max="6125" width="14.625" style="1" customWidth="1"/>
    <col min="6126" max="6126" width="10.625" style="1" customWidth="1"/>
    <col min="6127" max="6127" width="14.625" style="1" customWidth="1"/>
    <col min="6128" max="6128" width="10.625" style="1" customWidth="1"/>
    <col min="6129" max="6129" width="18.625" style="1" customWidth="1"/>
    <col min="6130" max="6130" width="9.625" style="1" customWidth="1"/>
    <col min="6131" max="6131" width="10.5" style="1" customWidth="1"/>
    <col min="6132" max="6132" width="20.375" style="1" bestFit="1" customWidth="1"/>
    <col min="6133" max="6133" width="12.5" style="1" customWidth="1"/>
    <col min="6134" max="6134" width="13.125" style="1" customWidth="1"/>
    <col min="6135" max="6139" width="9" style="1"/>
    <col min="6140" max="6140" width="11.25" style="1" bestFit="1" customWidth="1"/>
    <col min="6141" max="6141" width="11.625" style="1" bestFit="1" customWidth="1"/>
    <col min="6142" max="6372" width="9" style="1"/>
    <col min="6373" max="6373" width="4.625" style="1" customWidth="1"/>
    <col min="6374" max="6374" width="34.625" style="1" customWidth="1"/>
    <col min="6375" max="6375" width="11.625" style="1" customWidth="1"/>
    <col min="6376" max="6377" width="6.625" style="1" customWidth="1"/>
    <col min="6378" max="6378" width="10.625" style="1" customWidth="1"/>
    <col min="6379" max="6379" width="14.625" style="1" customWidth="1"/>
    <col min="6380" max="6380" width="10.625" style="1" customWidth="1"/>
    <col min="6381" max="6381" width="14.625" style="1" customWidth="1"/>
    <col min="6382" max="6382" width="10.625" style="1" customWidth="1"/>
    <col min="6383" max="6383" width="14.625" style="1" customWidth="1"/>
    <col min="6384" max="6384" width="10.625" style="1" customWidth="1"/>
    <col min="6385" max="6385" width="18.625" style="1" customWidth="1"/>
    <col min="6386" max="6386" width="9.625" style="1" customWidth="1"/>
    <col min="6387" max="6387" width="10.5" style="1" customWidth="1"/>
    <col min="6388" max="6388" width="20.375" style="1" bestFit="1" customWidth="1"/>
    <col min="6389" max="6389" width="12.5" style="1" customWidth="1"/>
    <col min="6390" max="6390" width="13.125" style="1" customWidth="1"/>
    <col min="6391" max="6395" width="9" style="1"/>
    <col min="6396" max="6396" width="11.25" style="1" bestFit="1" customWidth="1"/>
    <col min="6397" max="6397" width="11.625" style="1" bestFit="1" customWidth="1"/>
    <col min="6398" max="6628" width="9" style="1"/>
    <col min="6629" max="6629" width="4.625" style="1" customWidth="1"/>
    <col min="6630" max="6630" width="34.625" style="1" customWidth="1"/>
    <col min="6631" max="6631" width="11.625" style="1" customWidth="1"/>
    <col min="6632" max="6633" width="6.625" style="1" customWidth="1"/>
    <col min="6634" max="6634" width="10.625" style="1" customWidth="1"/>
    <col min="6635" max="6635" width="14.625" style="1" customWidth="1"/>
    <col min="6636" max="6636" width="10.625" style="1" customWidth="1"/>
    <col min="6637" max="6637" width="14.625" style="1" customWidth="1"/>
    <col min="6638" max="6638" width="10.625" style="1" customWidth="1"/>
    <col min="6639" max="6639" width="14.625" style="1" customWidth="1"/>
    <col min="6640" max="6640" width="10.625" style="1" customWidth="1"/>
    <col min="6641" max="6641" width="18.625" style="1" customWidth="1"/>
    <col min="6642" max="6642" width="9.625" style="1" customWidth="1"/>
    <col min="6643" max="6643" width="10.5" style="1" customWidth="1"/>
    <col min="6644" max="6644" width="20.375" style="1" bestFit="1" customWidth="1"/>
    <col min="6645" max="6645" width="12.5" style="1" customWidth="1"/>
    <col min="6646" max="6646" width="13.125" style="1" customWidth="1"/>
    <col min="6647" max="6651" width="9" style="1"/>
    <col min="6652" max="6652" width="11.25" style="1" bestFit="1" customWidth="1"/>
    <col min="6653" max="6653" width="11.625" style="1" bestFit="1" customWidth="1"/>
    <col min="6654" max="6884" width="9" style="1"/>
    <col min="6885" max="6885" width="4.625" style="1" customWidth="1"/>
    <col min="6886" max="6886" width="34.625" style="1" customWidth="1"/>
    <col min="6887" max="6887" width="11.625" style="1" customWidth="1"/>
    <col min="6888" max="6889" width="6.625" style="1" customWidth="1"/>
    <col min="6890" max="6890" width="10.625" style="1" customWidth="1"/>
    <col min="6891" max="6891" width="14.625" style="1" customWidth="1"/>
    <col min="6892" max="6892" width="10.625" style="1" customWidth="1"/>
    <col min="6893" max="6893" width="14.625" style="1" customWidth="1"/>
    <col min="6894" max="6894" width="10.625" style="1" customWidth="1"/>
    <col min="6895" max="6895" width="14.625" style="1" customWidth="1"/>
    <col min="6896" max="6896" width="10.625" style="1" customWidth="1"/>
    <col min="6897" max="6897" width="18.625" style="1" customWidth="1"/>
    <col min="6898" max="6898" width="9.625" style="1" customWidth="1"/>
    <col min="6899" max="6899" width="10.5" style="1" customWidth="1"/>
    <col min="6900" max="6900" width="20.375" style="1" bestFit="1" customWidth="1"/>
    <col min="6901" max="6901" width="12.5" style="1" customWidth="1"/>
    <col min="6902" max="6902" width="13.125" style="1" customWidth="1"/>
    <col min="6903" max="6907" width="9" style="1"/>
    <col min="6908" max="6908" width="11.25" style="1" bestFit="1" customWidth="1"/>
    <col min="6909" max="6909" width="11.625" style="1" bestFit="1" customWidth="1"/>
    <col min="6910" max="7140" width="9" style="1"/>
    <col min="7141" max="7141" width="4.625" style="1" customWidth="1"/>
    <col min="7142" max="7142" width="34.625" style="1" customWidth="1"/>
    <col min="7143" max="7143" width="11.625" style="1" customWidth="1"/>
    <col min="7144" max="7145" width="6.625" style="1" customWidth="1"/>
    <col min="7146" max="7146" width="10.625" style="1" customWidth="1"/>
    <col min="7147" max="7147" width="14.625" style="1" customWidth="1"/>
    <col min="7148" max="7148" width="10.625" style="1" customWidth="1"/>
    <col min="7149" max="7149" width="14.625" style="1" customWidth="1"/>
    <col min="7150" max="7150" width="10.625" style="1" customWidth="1"/>
    <col min="7151" max="7151" width="14.625" style="1" customWidth="1"/>
    <col min="7152" max="7152" width="10.625" style="1" customWidth="1"/>
    <col min="7153" max="7153" width="18.625" style="1" customWidth="1"/>
    <col min="7154" max="7154" width="9.625" style="1" customWidth="1"/>
    <col min="7155" max="7155" width="10.5" style="1" customWidth="1"/>
    <col min="7156" max="7156" width="20.375" style="1" bestFit="1" customWidth="1"/>
    <col min="7157" max="7157" width="12.5" style="1" customWidth="1"/>
    <col min="7158" max="7158" width="13.125" style="1" customWidth="1"/>
    <col min="7159" max="7163" width="9" style="1"/>
    <col min="7164" max="7164" width="11.25" style="1" bestFit="1" customWidth="1"/>
    <col min="7165" max="7165" width="11.625" style="1" bestFit="1" customWidth="1"/>
    <col min="7166" max="7396" width="9" style="1"/>
    <col min="7397" max="7397" width="4.625" style="1" customWidth="1"/>
    <col min="7398" max="7398" width="34.625" style="1" customWidth="1"/>
    <col min="7399" max="7399" width="11.625" style="1" customWidth="1"/>
    <col min="7400" max="7401" width="6.625" style="1" customWidth="1"/>
    <col min="7402" max="7402" width="10.625" style="1" customWidth="1"/>
    <col min="7403" max="7403" width="14.625" style="1" customWidth="1"/>
    <col min="7404" max="7404" width="10.625" style="1" customWidth="1"/>
    <col min="7405" max="7405" width="14.625" style="1" customWidth="1"/>
    <col min="7406" max="7406" width="10.625" style="1" customWidth="1"/>
    <col min="7407" max="7407" width="14.625" style="1" customWidth="1"/>
    <col min="7408" max="7408" width="10.625" style="1" customWidth="1"/>
    <col min="7409" max="7409" width="18.625" style="1" customWidth="1"/>
    <col min="7410" max="7410" width="9.625" style="1" customWidth="1"/>
    <col min="7411" max="7411" width="10.5" style="1" customWidth="1"/>
    <col min="7412" max="7412" width="20.375" style="1" bestFit="1" customWidth="1"/>
    <col min="7413" max="7413" width="12.5" style="1" customWidth="1"/>
    <col min="7414" max="7414" width="13.125" style="1" customWidth="1"/>
    <col min="7415" max="7419" width="9" style="1"/>
    <col min="7420" max="7420" width="11.25" style="1" bestFit="1" customWidth="1"/>
    <col min="7421" max="7421" width="11.625" style="1" bestFit="1" customWidth="1"/>
    <col min="7422" max="7652" width="9" style="1"/>
    <col min="7653" max="7653" width="4.625" style="1" customWidth="1"/>
    <col min="7654" max="7654" width="34.625" style="1" customWidth="1"/>
    <col min="7655" max="7655" width="11.625" style="1" customWidth="1"/>
    <col min="7656" max="7657" width="6.625" style="1" customWidth="1"/>
    <col min="7658" max="7658" width="10.625" style="1" customWidth="1"/>
    <col min="7659" max="7659" width="14.625" style="1" customWidth="1"/>
    <col min="7660" max="7660" width="10.625" style="1" customWidth="1"/>
    <col min="7661" max="7661" width="14.625" style="1" customWidth="1"/>
    <col min="7662" max="7662" width="10.625" style="1" customWidth="1"/>
    <col min="7663" max="7663" width="14.625" style="1" customWidth="1"/>
    <col min="7664" max="7664" width="10.625" style="1" customWidth="1"/>
    <col min="7665" max="7665" width="18.625" style="1" customWidth="1"/>
    <col min="7666" max="7666" width="9.625" style="1" customWidth="1"/>
    <col min="7667" max="7667" width="10.5" style="1" customWidth="1"/>
    <col min="7668" max="7668" width="20.375" style="1" bestFit="1" customWidth="1"/>
    <col min="7669" max="7669" width="12.5" style="1" customWidth="1"/>
    <col min="7670" max="7670" width="13.125" style="1" customWidth="1"/>
    <col min="7671" max="7675" width="9" style="1"/>
    <col min="7676" max="7676" width="11.25" style="1" bestFit="1" customWidth="1"/>
    <col min="7677" max="7677" width="11.625" style="1" bestFit="1" customWidth="1"/>
    <col min="7678" max="7908" width="9" style="1"/>
    <col min="7909" max="7909" width="4.625" style="1" customWidth="1"/>
    <col min="7910" max="7910" width="34.625" style="1" customWidth="1"/>
    <col min="7911" max="7911" width="11.625" style="1" customWidth="1"/>
    <col min="7912" max="7913" width="6.625" style="1" customWidth="1"/>
    <col min="7914" max="7914" width="10.625" style="1" customWidth="1"/>
    <col min="7915" max="7915" width="14.625" style="1" customWidth="1"/>
    <col min="7916" max="7916" width="10.625" style="1" customWidth="1"/>
    <col min="7917" max="7917" width="14.625" style="1" customWidth="1"/>
    <col min="7918" max="7918" width="10.625" style="1" customWidth="1"/>
    <col min="7919" max="7919" width="14.625" style="1" customWidth="1"/>
    <col min="7920" max="7920" width="10.625" style="1" customWidth="1"/>
    <col min="7921" max="7921" width="18.625" style="1" customWidth="1"/>
    <col min="7922" max="7922" width="9.625" style="1" customWidth="1"/>
    <col min="7923" max="7923" width="10.5" style="1" customWidth="1"/>
    <col min="7924" max="7924" width="20.375" style="1" bestFit="1" customWidth="1"/>
    <col min="7925" max="7925" width="12.5" style="1" customWidth="1"/>
    <col min="7926" max="7926" width="13.125" style="1" customWidth="1"/>
    <col min="7927" max="7931" width="9" style="1"/>
    <col min="7932" max="7932" width="11.25" style="1" bestFit="1" customWidth="1"/>
    <col min="7933" max="7933" width="11.625" style="1" bestFit="1" customWidth="1"/>
    <col min="7934" max="8164" width="9" style="1"/>
    <col min="8165" max="8165" width="4.625" style="1" customWidth="1"/>
    <col min="8166" max="8166" width="34.625" style="1" customWidth="1"/>
    <col min="8167" max="8167" width="11.625" style="1" customWidth="1"/>
    <col min="8168" max="8169" width="6.625" style="1" customWidth="1"/>
    <col min="8170" max="8170" width="10.625" style="1" customWidth="1"/>
    <col min="8171" max="8171" width="14.625" style="1" customWidth="1"/>
    <col min="8172" max="8172" width="10.625" style="1" customWidth="1"/>
    <col min="8173" max="8173" width="14.625" style="1" customWidth="1"/>
    <col min="8174" max="8174" width="10.625" style="1" customWidth="1"/>
    <col min="8175" max="8175" width="14.625" style="1" customWidth="1"/>
    <col min="8176" max="8176" width="10.625" style="1" customWidth="1"/>
    <col min="8177" max="8177" width="18.625" style="1" customWidth="1"/>
    <col min="8178" max="8178" width="9.625" style="1" customWidth="1"/>
    <col min="8179" max="8179" width="10.5" style="1" customWidth="1"/>
    <col min="8180" max="8180" width="20.375" style="1" bestFit="1" customWidth="1"/>
    <col min="8181" max="8181" width="12.5" style="1" customWidth="1"/>
    <col min="8182" max="8182" width="13.125" style="1" customWidth="1"/>
    <col min="8183" max="8187" width="9" style="1"/>
    <col min="8188" max="8188" width="11.25" style="1" bestFit="1" customWidth="1"/>
    <col min="8189" max="8189" width="11.625" style="1" bestFit="1" customWidth="1"/>
    <col min="8190" max="8420" width="9" style="1"/>
    <col min="8421" max="8421" width="4.625" style="1" customWidth="1"/>
    <col min="8422" max="8422" width="34.625" style="1" customWidth="1"/>
    <col min="8423" max="8423" width="11.625" style="1" customWidth="1"/>
    <col min="8424" max="8425" width="6.625" style="1" customWidth="1"/>
    <col min="8426" max="8426" width="10.625" style="1" customWidth="1"/>
    <col min="8427" max="8427" width="14.625" style="1" customWidth="1"/>
    <col min="8428" max="8428" width="10.625" style="1" customWidth="1"/>
    <col min="8429" max="8429" width="14.625" style="1" customWidth="1"/>
    <col min="8430" max="8430" width="10.625" style="1" customWidth="1"/>
    <col min="8431" max="8431" width="14.625" style="1" customWidth="1"/>
    <col min="8432" max="8432" width="10.625" style="1" customWidth="1"/>
    <col min="8433" max="8433" width="18.625" style="1" customWidth="1"/>
    <col min="8434" max="8434" width="9.625" style="1" customWidth="1"/>
    <col min="8435" max="8435" width="10.5" style="1" customWidth="1"/>
    <col min="8436" max="8436" width="20.375" style="1" bestFit="1" customWidth="1"/>
    <col min="8437" max="8437" width="12.5" style="1" customWidth="1"/>
    <col min="8438" max="8438" width="13.125" style="1" customWidth="1"/>
    <col min="8439" max="8443" width="9" style="1"/>
    <col min="8444" max="8444" width="11.25" style="1" bestFit="1" customWidth="1"/>
    <col min="8445" max="8445" width="11.625" style="1" bestFit="1" customWidth="1"/>
    <col min="8446" max="8676" width="9" style="1"/>
    <col min="8677" max="8677" width="4.625" style="1" customWidth="1"/>
    <col min="8678" max="8678" width="34.625" style="1" customWidth="1"/>
    <col min="8679" max="8679" width="11.625" style="1" customWidth="1"/>
    <col min="8680" max="8681" width="6.625" style="1" customWidth="1"/>
    <col min="8682" max="8682" width="10.625" style="1" customWidth="1"/>
    <col min="8683" max="8683" width="14.625" style="1" customWidth="1"/>
    <col min="8684" max="8684" width="10.625" style="1" customWidth="1"/>
    <col min="8685" max="8685" width="14.625" style="1" customWidth="1"/>
    <col min="8686" max="8686" width="10.625" style="1" customWidth="1"/>
    <col min="8687" max="8687" width="14.625" style="1" customWidth="1"/>
    <col min="8688" max="8688" width="10.625" style="1" customWidth="1"/>
    <col min="8689" max="8689" width="18.625" style="1" customWidth="1"/>
    <col min="8690" max="8690" width="9.625" style="1" customWidth="1"/>
    <col min="8691" max="8691" width="10.5" style="1" customWidth="1"/>
    <col min="8692" max="8692" width="20.375" style="1" bestFit="1" customWidth="1"/>
    <col min="8693" max="8693" width="12.5" style="1" customWidth="1"/>
    <col min="8694" max="8694" width="13.125" style="1" customWidth="1"/>
    <col min="8695" max="8699" width="9" style="1"/>
    <col min="8700" max="8700" width="11.25" style="1" bestFit="1" customWidth="1"/>
    <col min="8701" max="8701" width="11.625" style="1" bestFit="1" customWidth="1"/>
    <col min="8702" max="8932" width="9" style="1"/>
    <col min="8933" max="8933" width="4.625" style="1" customWidth="1"/>
    <col min="8934" max="8934" width="34.625" style="1" customWidth="1"/>
    <col min="8935" max="8935" width="11.625" style="1" customWidth="1"/>
    <col min="8936" max="8937" width="6.625" style="1" customWidth="1"/>
    <col min="8938" max="8938" width="10.625" style="1" customWidth="1"/>
    <col min="8939" max="8939" width="14.625" style="1" customWidth="1"/>
    <col min="8940" max="8940" width="10.625" style="1" customWidth="1"/>
    <col min="8941" max="8941" width="14.625" style="1" customWidth="1"/>
    <col min="8942" max="8942" width="10.625" style="1" customWidth="1"/>
    <col min="8943" max="8943" width="14.625" style="1" customWidth="1"/>
    <col min="8944" max="8944" width="10.625" style="1" customWidth="1"/>
    <col min="8945" max="8945" width="18.625" style="1" customWidth="1"/>
    <col min="8946" max="8946" width="9.625" style="1" customWidth="1"/>
    <col min="8947" max="8947" width="10.5" style="1" customWidth="1"/>
    <col min="8948" max="8948" width="20.375" style="1" bestFit="1" customWidth="1"/>
    <col min="8949" max="8949" width="12.5" style="1" customWidth="1"/>
    <col min="8950" max="8950" width="13.125" style="1" customWidth="1"/>
    <col min="8951" max="8955" width="9" style="1"/>
    <col min="8956" max="8956" width="11.25" style="1" bestFit="1" customWidth="1"/>
    <col min="8957" max="8957" width="11.625" style="1" bestFit="1" customWidth="1"/>
    <col min="8958" max="9188" width="9" style="1"/>
    <col min="9189" max="9189" width="4.625" style="1" customWidth="1"/>
    <col min="9190" max="9190" width="34.625" style="1" customWidth="1"/>
    <col min="9191" max="9191" width="11.625" style="1" customWidth="1"/>
    <col min="9192" max="9193" width="6.625" style="1" customWidth="1"/>
    <col min="9194" max="9194" width="10.625" style="1" customWidth="1"/>
    <col min="9195" max="9195" width="14.625" style="1" customWidth="1"/>
    <col min="9196" max="9196" width="10.625" style="1" customWidth="1"/>
    <col min="9197" max="9197" width="14.625" style="1" customWidth="1"/>
    <col min="9198" max="9198" width="10.625" style="1" customWidth="1"/>
    <col min="9199" max="9199" width="14.625" style="1" customWidth="1"/>
    <col min="9200" max="9200" width="10.625" style="1" customWidth="1"/>
    <col min="9201" max="9201" width="18.625" style="1" customWidth="1"/>
    <col min="9202" max="9202" width="9.625" style="1" customWidth="1"/>
    <col min="9203" max="9203" width="10.5" style="1" customWidth="1"/>
    <col min="9204" max="9204" width="20.375" style="1" bestFit="1" customWidth="1"/>
    <col min="9205" max="9205" width="12.5" style="1" customWidth="1"/>
    <col min="9206" max="9206" width="13.125" style="1" customWidth="1"/>
    <col min="9207" max="9211" width="9" style="1"/>
    <col min="9212" max="9212" width="11.25" style="1" bestFit="1" customWidth="1"/>
    <col min="9213" max="9213" width="11.625" style="1" bestFit="1" customWidth="1"/>
    <col min="9214" max="9444" width="9" style="1"/>
    <col min="9445" max="9445" width="4.625" style="1" customWidth="1"/>
    <col min="9446" max="9446" width="34.625" style="1" customWidth="1"/>
    <col min="9447" max="9447" width="11.625" style="1" customWidth="1"/>
    <col min="9448" max="9449" width="6.625" style="1" customWidth="1"/>
    <col min="9450" max="9450" width="10.625" style="1" customWidth="1"/>
    <col min="9451" max="9451" width="14.625" style="1" customWidth="1"/>
    <col min="9452" max="9452" width="10.625" style="1" customWidth="1"/>
    <col min="9453" max="9453" width="14.625" style="1" customWidth="1"/>
    <col min="9454" max="9454" width="10.625" style="1" customWidth="1"/>
    <col min="9455" max="9455" width="14.625" style="1" customWidth="1"/>
    <col min="9456" max="9456" width="10.625" style="1" customWidth="1"/>
    <col min="9457" max="9457" width="18.625" style="1" customWidth="1"/>
    <col min="9458" max="9458" width="9.625" style="1" customWidth="1"/>
    <col min="9459" max="9459" width="10.5" style="1" customWidth="1"/>
    <col min="9460" max="9460" width="20.375" style="1" bestFit="1" customWidth="1"/>
    <col min="9461" max="9461" width="12.5" style="1" customWidth="1"/>
    <col min="9462" max="9462" width="13.125" style="1" customWidth="1"/>
    <col min="9463" max="9467" width="9" style="1"/>
    <col min="9468" max="9468" width="11.25" style="1" bestFit="1" customWidth="1"/>
    <col min="9469" max="9469" width="11.625" style="1" bestFit="1" customWidth="1"/>
    <col min="9470" max="9700" width="9" style="1"/>
    <col min="9701" max="9701" width="4.625" style="1" customWidth="1"/>
    <col min="9702" max="9702" width="34.625" style="1" customWidth="1"/>
    <col min="9703" max="9703" width="11.625" style="1" customWidth="1"/>
    <col min="9704" max="9705" width="6.625" style="1" customWidth="1"/>
    <col min="9706" max="9706" width="10.625" style="1" customWidth="1"/>
    <col min="9707" max="9707" width="14.625" style="1" customWidth="1"/>
    <col min="9708" max="9708" width="10.625" style="1" customWidth="1"/>
    <col min="9709" max="9709" width="14.625" style="1" customWidth="1"/>
    <col min="9710" max="9710" width="10.625" style="1" customWidth="1"/>
    <col min="9711" max="9711" width="14.625" style="1" customWidth="1"/>
    <col min="9712" max="9712" width="10.625" style="1" customWidth="1"/>
    <col min="9713" max="9713" width="18.625" style="1" customWidth="1"/>
    <col min="9714" max="9714" width="9.625" style="1" customWidth="1"/>
    <col min="9715" max="9715" width="10.5" style="1" customWidth="1"/>
    <col min="9716" max="9716" width="20.375" style="1" bestFit="1" customWidth="1"/>
    <col min="9717" max="9717" width="12.5" style="1" customWidth="1"/>
    <col min="9718" max="9718" width="13.125" style="1" customWidth="1"/>
    <col min="9719" max="9723" width="9" style="1"/>
    <col min="9724" max="9724" width="11.25" style="1" bestFit="1" customWidth="1"/>
    <col min="9725" max="9725" width="11.625" style="1" bestFit="1" customWidth="1"/>
    <col min="9726" max="9956" width="9" style="1"/>
    <col min="9957" max="9957" width="4.625" style="1" customWidth="1"/>
    <col min="9958" max="9958" width="34.625" style="1" customWidth="1"/>
    <col min="9959" max="9959" width="11.625" style="1" customWidth="1"/>
    <col min="9960" max="9961" width="6.625" style="1" customWidth="1"/>
    <col min="9962" max="9962" width="10.625" style="1" customWidth="1"/>
    <col min="9963" max="9963" width="14.625" style="1" customWidth="1"/>
    <col min="9964" max="9964" width="10.625" style="1" customWidth="1"/>
    <col min="9965" max="9965" width="14.625" style="1" customWidth="1"/>
    <col min="9966" max="9966" width="10.625" style="1" customWidth="1"/>
    <col min="9967" max="9967" width="14.625" style="1" customWidth="1"/>
    <col min="9968" max="9968" width="10.625" style="1" customWidth="1"/>
    <col min="9969" max="9969" width="18.625" style="1" customWidth="1"/>
    <col min="9970" max="9970" width="9.625" style="1" customWidth="1"/>
    <col min="9971" max="9971" width="10.5" style="1" customWidth="1"/>
    <col min="9972" max="9972" width="20.375" style="1" bestFit="1" customWidth="1"/>
    <col min="9973" max="9973" width="12.5" style="1" customWidth="1"/>
    <col min="9974" max="9974" width="13.125" style="1" customWidth="1"/>
    <col min="9975" max="9979" width="9" style="1"/>
    <col min="9980" max="9980" width="11.25" style="1" bestFit="1" customWidth="1"/>
    <col min="9981" max="9981" width="11.625" style="1" bestFit="1" customWidth="1"/>
    <col min="9982" max="10212" width="9" style="1"/>
    <col min="10213" max="10213" width="4.625" style="1" customWidth="1"/>
    <col min="10214" max="10214" width="34.625" style="1" customWidth="1"/>
    <col min="10215" max="10215" width="11.625" style="1" customWidth="1"/>
    <col min="10216" max="10217" width="6.625" style="1" customWidth="1"/>
    <col min="10218" max="10218" width="10.625" style="1" customWidth="1"/>
    <col min="10219" max="10219" width="14.625" style="1" customWidth="1"/>
    <col min="10220" max="10220" width="10.625" style="1" customWidth="1"/>
    <col min="10221" max="10221" width="14.625" style="1" customWidth="1"/>
    <col min="10222" max="10222" width="10.625" style="1" customWidth="1"/>
    <col min="10223" max="10223" width="14.625" style="1" customWidth="1"/>
    <col min="10224" max="10224" width="10.625" style="1" customWidth="1"/>
    <col min="10225" max="10225" width="18.625" style="1" customWidth="1"/>
    <col min="10226" max="10226" width="9.625" style="1" customWidth="1"/>
    <col min="10227" max="10227" width="10.5" style="1" customWidth="1"/>
    <col min="10228" max="10228" width="20.375" style="1" bestFit="1" customWidth="1"/>
    <col min="10229" max="10229" width="12.5" style="1" customWidth="1"/>
    <col min="10230" max="10230" width="13.125" style="1" customWidth="1"/>
    <col min="10231" max="10235" width="9" style="1"/>
    <col min="10236" max="10236" width="11.25" style="1" bestFit="1" customWidth="1"/>
    <col min="10237" max="10237" width="11.625" style="1" bestFit="1" customWidth="1"/>
    <col min="10238" max="10468" width="9" style="1"/>
    <col min="10469" max="10469" width="4.625" style="1" customWidth="1"/>
    <col min="10470" max="10470" width="34.625" style="1" customWidth="1"/>
    <col min="10471" max="10471" width="11.625" style="1" customWidth="1"/>
    <col min="10472" max="10473" width="6.625" style="1" customWidth="1"/>
    <col min="10474" max="10474" width="10.625" style="1" customWidth="1"/>
    <col min="10475" max="10475" width="14.625" style="1" customWidth="1"/>
    <col min="10476" max="10476" width="10.625" style="1" customWidth="1"/>
    <col min="10477" max="10477" width="14.625" style="1" customWidth="1"/>
    <col min="10478" max="10478" width="10.625" style="1" customWidth="1"/>
    <col min="10479" max="10479" width="14.625" style="1" customWidth="1"/>
    <col min="10480" max="10480" width="10.625" style="1" customWidth="1"/>
    <col min="10481" max="10481" width="18.625" style="1" customWidth="1"/>
    <col min="10482" max="10482" width="9.625" style="1" customWidth="1"/>
    <col min="10483" max="10483" width="10.5" style="1" customWidth="1"/>
    <col min="10484" max="10484" width="20.375" style="1" bestFit="1" customWidth="1"/>
    <col min="10485" max="10485" width="12.5" style="1" customWidth="1"/>
    <col min="10486" max="10486" width="13.125" style="1" customWidth="1"/>
    <col min="10487" max="10491" width="9" style="1"/>
    <col min="10492" max="10492" width="11.25" style="1" bestFit="1" customWidth="1"/>
    <col min="10493" max="10493" width="11.625" style="1" bestFit="1" customWidth="1"/>
    <col min="10494" max="10724" width="9" style="1"/>
    <col min="10725" max="10725" width="4.625" style="1" customWidth="1"/>
    <col min="10726" max="10726" width="34.625" style="1" customWidth="1"/>
    <col min="10727" max="10727" width="11.625" style="1" customWidth="1"/>
    <col min="10728" max="10729" width="6.625" style="1" customWidth="1"/>
    <col min="10730" max="10730" width="10.625" style="1" customWidth="1"/>
    <col min="10731" max="10731" width="14.625" style="1" customWidth="1"/>
    <col min="10732" max="10732" width="10.625" style="1" customWidth="1"/>
    <col min="10733" max="10733" width="14.625" style="1" customWidth="1"/>
    <col min="10734" max="10734" width="10.625" style="1" customWidth="1"/>
    <col min="10735" max="10735" width="14.625" style="1" customWidth="1"/>
    <col min="10736" max="10736" width="10.625" style="1" customWidth="1"/>
    <col min="10737" max="10737" width="18.625" style="1" customWidth="1"/>
    <col min="10738" max="10738" width="9.625" style="1" customWidth="1"/>
    <col min="10739" max="10739" width="10.5" style="1" customWidth="1"/>
    <col min="10740" max="10740" width="20.375" style="1" bestFit="1" customWidth="1"/>
    <col min="10741" max="10741" width="12.5" style="1" customWidth="1"/>
    <col min="10742" max="10742" width="13.125" style="1" customWidth="1"/>
    <col min="10743" max="10747" width="9" style="1"/>
    <col min="10748" max="10748" width="11.25" style="1" bestFit="1" customWidth="1"/>
    <col min="10749" max="10749" width="11.625" style="1" bestFit="1" customWidth="1"/>
    <col min="10750" max="10980" width="9" style="1"/>
    <col min="10981" max="10981" width="4.625" style="1" customWidth="1"/>
    <col min="10982" max="10982" width="34.625" style="1" customWidth="1"/>
    <col min="10983" max="10983" width="11.625" style="1" customWidth="1"/>
    <col min="10984" max="10985" width="6.625" style="1" customWidth="1"/>
    <col min="10986" max="10986" width="10.625" style="1" customWidth="1"/>
    <col min="10987" max="10987" width="14.625" style="1" customWidth="1"/>
    <col min="10988" max="10988" width="10.625" style="1" customWidth="1"/>
    <col min="10989" max="10989" width="14.625" style="1" customWidth="1"/>
    <col min="10990" max="10990" width="10.625" style="1" customWidth="1"/>
    <col min="10991" max="10991" width="14.625" style="1" customWidth="1"/>
    <col min="10992" max="10992" width="10.625" style="1" customWidth="1"/>
    <col min="10993" max="10993" width="18.625" style="1" customWidth="1"/>
    <col min="10994" max="10994" width="9.625" style="1" customWidth="1"/>
    <col min="10995" max="10995" width="10.5" style="1" customWidth="1"/>
    <col min="10996" max="10996" width="20.375" style="1" bestFit="1" customWidth="1"/>
    <col min="10997" max="10997" width="12.5" style="1" customWidth="1"/>
    <col min="10998" max="10998" width="13.125" style="1" customWidth="1"/>
    <col min="10999" max="11003" width="9" style="1"/>
    <col min="11004" max="11004" width="11.25" style="1" bestFit="1" customWidth="1"/>
    <col min="11005" max="11005" width="11.625" style="1" bestFit="1" customWidth="1"/>
    <col min="11006" max="11236" width="9" style="1"/>
    <col min="11237" max="11237" width="4.625" style="1" customWidth="1"/>
    <col min="11238" max="11238" width="34.625" style="1" customWidth="1"/>
    <col min="11239" max="11239" width="11.625" style="1" customWidth="1"/>
    <col min="11240" max="11241" width="6.625" style="1" customWidth="1"/>
    <col min="11242" max="11242" width="10.625" style="1" customWidth="1"/>
    <col min="11243" max="11243" width="14.625" style="1" customWidth="1"/>
    <col min="11244" max="11244" width="10.625" style="1" customWidth="1"/>
    <col min="11245" max="11245" width="14.625" style="1" customWidth="1"/>
    <col min="11246" max="11246" width="10.625" style="1" customWidth="1"/>
    <col min="11247" max="11247" width="14.625" style="1" customWidth="1"/>
    <col min="11248" max="11248" width="10.625" style="1" customWidth="1"/>
    <col min="11249" max="11249" width="18.625" style="1" customWidth="1"/>
    <col min="11250" max="11250" width="9.625" style="1" customWidth="1"/>
    <col min="11251" max="11251" width="10.5" style="1" customWidth="1"/>
    <col min="11252" max="11252" width="20.375" style="1" bestFit="1" customWidth="1"/>
    <col min="11253" max="11253" width="12.5" style="1" customWidth="1"/>
    <col min="11254" max="11254" width="13.125" style="1" customWidth="1"/>
    <col min="11255" max="11259" width="9" style="1"/>
    <col min="11260" max="11260" width="11.25" style="1" bestFit="1" customWidth="1"/>
    <col min="11261" max="11261" width="11.625" style="1" bestFit="1" customWidth="1"/>
    <col min="11262" max="11492" width="9" style="1"/>
    <col min="11493" max="11493" width="4.625" style="1" customWidth="1"/>
    <col min="11494" max="11494" width="34.625" style="1" customWidth="1"/>
    <col min="11495" max="11495" width="11.625" style="1" customWidth="1"/>
    <col min="11496" max="11497" width="6.625" style="1" customWidth="1"/>
    <col min="11498" max="11498" width="10.625" style="1" customWidth="1"/>
    <col min="11499" max="11499" width="14.625" style="1" customWidth="1"/>
    <col min="11500" max="11500" width="10.625" style="1" customWidth="1"/>
    <col min="11501" max="11501" width="14.625" style="1" customWidth="1"/>
    <col min="11502" max="11502" width="10.625" style="1" customWidth="1"/>
    <col min="11503" max="11503" width="14.625" style="1" customWidth="1"/>
    <col min="11504" max="11504" width="10.625" style="1" customWidth="1"/>
    <col min="11505" max="11505" width="18.625" style="1" customWidth="1"/>
    <col min="11506" max="11506" width="9.625" style="1" customWidth="1"/>
    <col min="11507" max="11507" width="10.5" style="1" customWidth="1"/>
    <col min="11508" max="11508" width="20.375" style="1" bestFit="1" customWidth="1"/>
    <col min="11509" max="11509" width="12.5" style="1" customWidth="1"/>
    <col min="11510" max="11510" width="13.125" style="1" customWidth="1"/>
    <col min="11511" max="11515" width="9" style="1"/>
    <col min="11516" max="11516" width="11.25" style="1" bestFit="1" customWidth="1"/>
    <col min="11517" max="11517" width="11.625" style="1" bestFit="1" customWidth="1"/>
    <col min="11518" max="11748" width="9" style="1"/>
    <col min="11749" max="11749" width="4.625" style="1" customWidth="1"/>
    <col min="11750" max="11750" width="34.625" style="1" customWidth="1"/>
    <col min="11751" max="11751" width="11.625" style="1" customWidth="1"/>
    <col min="11752" max="11753" width="6.625" style="1" customWidth="1"/>
    <col min="11754" max="11754" width="10.625" style="1" customWidth="1"/>
    <col min="11755" max="11755" width="14.625" style="1" customWidth="1"/>
    <col min="11756" max="11756" width="10.625" style="1" customWidth="1"/>
    <col min="11757" max="11757" width="14.625" style="1" customWidth="1"/>
    <col min="11758" max="11758" width="10.625" style="1" customWidth="1"/>
    <col min="11759" max="11759" width="14.625" style="1" customWidth="1"/>
    <col min="11760" max="11760" width="10.625" style="1" customWidth="1"/>
    <col min="11761" max="11761" width="18.625" style="1" customWidth="1"/>
    <col min="11762" max="11762" width="9.625" style="1" customWidth="1"/>
    <col min="11763" max="11763" width="10.5" style="1" customWidth="1"/>
    <col min="11764" max="11764" width="20.375" style="1" bestFit="1" customWidth="1"/>
    <col min="11765" max="11765" width="12.5" style="1" customWidth="1"/>
    <col min="11766" max="11766" width="13.125" style="1" customWidth="1"/>
    <col min="11767" max="11771" width="9" style="1"/>
    <col min="11772" max="11772" width="11.25" style="1" bestFit="1" customWidth="1"/>
    <col min="11773" max="11773" width="11.625" style="1" bestFit="1" customWidth="1"/>
    <col min="11774" max="12004" width="9" style="1"/>
    <col min="12005" max="12005" width="4.625" style="1" customWidth="1"/>
    <col min="12006" max="12006" width="34.625" style="1" customWidth="1"/>
    <col min="12007" max="12007" width="11.625" style="1" customWidth="1"/>
    <col min="12008" max="12009" width="6.625" style="1" customWidth="1"/>
    <col min="12010" max="12010" width="10.625" style="1" customWidth="1"/>
    <col min="12011" max="12011" width="14.625" style="1" customWidth="1"/>
    <col min="12012" max="12012" width="10.625" style="1" customWidth="1"/>
    <col min="12013" max="12013" width="14.625" style="1" customWidth="1"/>
    <col min="12014" max="12014" width="10.625" style="1" customWidth="1"/>
    <col min="12015" max="12015" width="14.625" style="1" customWidth="1"/>
    <col min="12016" max="12016" width="10.625" style="1" customWidth="1"/>
    <col min="12017" max="12017" width="18.625" style="1" customWidth="1"/>
    <col min="12018" max="12018" width="9.625" style="1" customWidth="1"/>
    <col min="12019" max="12019" width="10.5" style="1" customWidth="1"/>
    <col min="12020" max="12020" width="20.375" style="1" bestFit="1" customWidth="1"/>
    <col min="12021" max="12021" width="12.5" style="1" customWidth="1"/>
    <col min="12022" max="12022" width="13.125" style="1" customWidth="1"/>
    <col min="12023" max="12027" width="9" style="1"/>
    <col min="12028" max="12028" width="11.25" style="1" bestFit="1" customWidth="1"/>
    <col min="12029" max="12029" width="11.625" style="1" bestFit="1" customWidth="1"/>
    <col min="12030" max="12260" width="9" style="1"/>
    <col min="12261" max="12261" width="4.625" style="1" customWidth="1"/>
    <col min="12262" max="12262" width="34.625" style="1" customWidth="1"/>
    <col min="12263" max="12263" width="11.625" style="1" customWidth="1"/>
    <col min="12264" max="12265" width="6.625" style="1" customWidth="1"/>
    <col min="12266" max="12266" width="10.625" style="1" customWidth="1"/>
    <col min="12267" max="12267" width="14.625" style="1" customWidth="1"/>
    <col min="12268" max="12268" width="10.625" style="1" customWidth="1"/>
    <col min="12269" max="12269" width="14.625" style="1" customWidth="1"/>
    <col min="12270" max="12270" width="10.625" style="1" customWidth="1"/>
    <col min="12271" max="12271" width="14.625" style="1" customWidth="1"/>
    <col min="12272" max="12272" width="10.625" style="1" customWidth="1"/>
    <col min="12273" max="12273" width="18.625" style="1" customWidth="1"/>
    <col min="12274" max="12274" width="9.625" style="1" customWidth="1"/>
    <col min="12275" max="12275" width="10.5" style="1" customWidth="1"/>
    <col min="12276" max="12276" width="20.375" style="1" bestFit="1" customWidth="1"/>
    <col min="12277" max="12277" width="12.5" style="1" customWidth="1"/>
    <col min="12278" max="12278" width="13.125" style="1" customWidth="1"/>
    <col min="12279" max="12283" width="9" style="1"/>
    <col min="12284" max="12284" width="11.25" style="1" bestFit="1" customWidth="1"/>
    <col min="12285" max="12285" width="11.625" style="1" bestFit="1" customWidth="1"/>
    <col min="12286" max="12516" width="9" style="1"/>
    <col min="12517" max="12517" width="4.625" style="1" customWidth="1"/>
    <col min="12518" max="12518" width="34.625" style="1" customWidth="1"/>
    <col min="12519" max="12519" width="11.625" style="1" customWidth="1"/>
    <col min="12520" max="12521" width="6.625" style="1" customWidth="1"/>
    <col min="12522" max="12522" width="10.625" style="1" customWidth="1"/>
    <col min="12523" max="12523" width="14.625" style="1" customWidth="1"/>
    <col min="12524" max="12524" width="10.625" style="1" customWidth="1"/>
    <col min="12525" max="12525" width="14.625" style="1" customWidth="1"/>
    <col min="12526" max="12526" width="10.625" style="1" customWidth="1"/>
    <col min="12527" max="12527" width="14.625" style="1" customWidth="1"/>
    <col min="12528" max="12528" width="10.625" style="1" customWidth="1"/>
    <col min="12529" max="12529" width="18.625" style="1" customWidth="1"/>
    <col min="12530" max="12530" width="9.625" style="1" customWidth="1"/>
    <col min="12531" max="12531" width="10.5" style="1" customWidth="1"/>
    <col min="12532" max="12532" width="20.375" style="1" bestFit="1" customWidth="1"/>
    <col min="12533" max="12533" width="12.5" style="1" customWidth="1"/>
    <col min="12534" max="12534" width="13.125" style="1" customWidth="1"/>
    <col min="12535" max="12539" width="9" style="1"/>
    <col min="12540" max="12540" width="11.25" style="1" bestFit="1" customWidth="1"/>
    <col min="12541" max="12541" width="11.625" style="1" bestFit="1" customWidth="1"/>
    <col min="12542" max="12772" width="9" style="1"/>
    <col min="12773" max="12773" width="4.625" style="1" customWidth="1"/>
    <col min="12774" max="12774" width="34.625" style="1" customWidth="1"/>
    <col min="12775" max="12775" width="11.625" style="1" customWidth="1"/>
    <col min="12776" max="12777" width="6.625" style="1" customWidth="1"/>
    <col min="12778" max="12778" width="10.625" style="1" customWidth="1"/>
    <col min="12779" max="12779" width="14.625" style="1" customWidth="1"/>
    <col min="12780" max="12780" width="10.625" style="1" customWidth="1"/>
    <col min="12781" max="12781" width="14.625" style="1" customWidth="1"/>
    <col min="12782" max="12782" width="10.625" style="1" customWidth="1"/>
    <col min="12783" max="12783" width="14.625" style="1" customWidth="1"/>
    <col min="12784" max="12784" width="10.625" style="1" customWidth="1"/>
    <col min="12785" max="12785" width="18.625" style="1" customWidth="1"/>
    <col min="12786" max="12786" width="9.625" style="1" customWidth="1"/>
    <col min="12787" max="12787" width="10.5" style="1" customWidth="1"/>
    <col min="12788" max="12788" width="20.375" style="1" bestFit="1" customWidth="1"/>
    <col min="12789" max="12789" width="12.5" style="1" customWidth="1"/>
    <col min="12790" max="12790" width="13.125" style="1" customWidth="1"/>
    <col min="12791" max="12795" width="9" style="1"/>
    <col min="12796" max="12796" width="11.25" style="1" bestFit="1" customWidth="1"/>
    <col min="12797" max="12797" width="11.625" style="1" bestFit="1" customWidth="1"/>
    <col min="12798" max="13028" width="9" style="1"/>
    <col min="13029" max="13029" width="4.625" style="1" customWidth="1"/>
    <col min="13030" max="13030" width="34.625" style="1" customWidth="1"/>
    <col min="13031" max="13031" width="11.625" style="1" customWidth="1"/>
    <col min="13032" max="13033" width="6.625" style="1" customWidth="1"/>
    <col min="13034" max="13034" width="10.625" style="1" customWidth="1"/>
    <col min="13035" max="13035" width="14.625" style="1" customWidth="1"/>
    <col min="13036" max="13036" width="10.625" style="1" customWidth="1"/>
    <col min="13037" max="13037" width="14.625" style="1" customWidth="1"/>
    <col min="13038" max="13038" width="10.625" style="1" customWidth="1"/>
    <col min="13039" max="13039" width="14.625" style="1" customWidth="1"/>
    <col min="13040" max="13040" width="10.625" style="1" customWidth="1"/>
    <col min="13041" max="13041" width="18.625" style="1" customWidth="1"/>
    <col min="13042" max="13042" width="9.625" style="1" customWidth="1"/>
    <col min="13043" max="13043" width="10.5" style="1" customWidth="1"/>
    <col min="13044" max="13044" width="20.375" style="1" bestFit="1" customWidth="1"/>
    <col min="13045" max="13045" width="12.5" style="1" customWidth="1"/>
    <col min="13046" max="13046" width="13.125" style="1" customWidth="1"/>
    <col min="13047" max="13051" width="9" style="1"/>
    <col min="13052" max="13052" width="11.25" style="1" bestFit="1" customWidth="1"/>
    <col min="13053" max="13053" width="11.625" style="1" bestFit="1" customWidth="1"/>
    <col min="13054" max="13284" width="9" style="1"/>
    <col min="13285" max="13285" width="4.625" style="1" customWidth="1"/>
    <col min="13286" max="13286" width="34.625" style="1" customWidth="1"/>
    <col min="13287" max="13287" width="11.625" style="1" customWidth="1"/>
    <col min="13288" max="13289" width="6.625" style="1" customWidth="1"/>
    <col min="13290" max="13290" width="10.625" style="1" customWidth="1"/>
    <col min="13291" max="13291" width="14.625" style="1" customWidth="1"/>
    <col min="13292" max="13292" width="10.625" style="1" customWidth="1"/>
    <col min="13293" max="13293" width="14.625" style="1" customWidth="1"/>
    <col min="13294" max="13294" width="10.625" style="1" customWidth="1"/>
    <col min="13295" max="13295" width="14.625" style="1" customWidth="1"/>
    <col min="13296" max="13296" width="10.625" style="1" customWidth="1"/>
    <col min="13297" max="13297" width="18.625" style="1" customWidth="1"/>
    <col min="13298" max="13298" width="9.625" style="1" customWidth="1"/>
    <col min="13299" max="13299" width="10.5" style="1" customWidth="1"/>
    <col min="13300" max="13300" width="20.375" style="1" bestFit="1" customWidth="1"/>
    <col min="13301" max="13301" width="12.5" style="1" customWidth="1"/>
    <col min="13302" max="13302" width="13.125" style="1" customWidth="1"/>
    <col min="13303" max="13307" width="9" style="1"/>
    <col min="13308" max="13308" width="11.25" style="1" bestFit="1" customWidth="1"/>
    <col min="13309" max="13309" width="11.625" style="1" bestFit="1" customWidth="1"/>
    <col min="13310" max="13540" width="9" style="1"/>
    <col min="13541" max="13541" width="4.625" style="1" customWidth="1"/>
    <col min="13542" max="13542" width="34.625" style="1" customWidth="1"/>
    <col min="13543" max="13543" width="11.625" style="1" customWidth="1"/>
    <col min="13544" max="13545" width="6.625" style="1" customWidth="1"/>
    <col min="13546" max="13546" width="10.625" style="1" customWidth="1"/>
    <col min="13547" max="13547" width="14.625" style="1" customWidth="1"/>
    <col min="13548" max="13548" width="10.625" style="1" customWidth="1"/>
    <col min="13549" max="13549" width="14.625" style="1" customWidth="1"/>
    <col min="13550" max="13550" width="10.625" style="1" customWidth="1"/>
    <col min="13551" max="13551" width="14.625" style="1" customWidth="1"/>
    <col min="13552" max="13552" width="10.625" style="1" customWidth="1"/>
    <col min="13553" max="13553" width="18.625" style="1" customWidth="1"/>
    <col min="13554" max="13554" width="9.625" style="1" customWidth="1"/>
    <col min="13555" max="13555" width="10.5" style="1" customWidth="1"/>
    <col min="13556" max="13556" width="20.375" style="1" bestFit="1" customWidth="1"/>
    <col min="13557" max="13557" width="12.5" style="1" customWidth="1"/>
    <col min="13558" max="13558" width="13.125" style="1" customWidth="1"/>
    <col min="13559" max="13563" width="9" style="1"/>
    <col min="13564" max="13564" width="11.25" style="1" bestFit="1" customWidth="1"/>
    <col min="13565" max="13565" width="11.625" style="1" bestFit="1" customWidth="1"/>
    <col min="13566" max="13796" width="9" style="1"/>
    <col min="13797" max="13797" width="4.625" style="1" customWidth="1"/>
    <col min="13798" max="13798" width="34.625" style="1" customWidth="1"/>
    <col min="13799" max="13799" width="11.625" style="1" customWidth="1"/>
    <col min="13800" max="13801" width="6.625" style="1" customWidth="1"/>
    <col min="13802" max="13802" width="10.625" style="1" customWidth="1"/>
    <col min="13803" max="13803" width="14.625" style="1" customWidth="1"/>
    <col min="13804" max="13804" width="10.625" style="1" customWidth="1"/>
    <col min="13805" max="13805" width="14.625" style="1" customWidth="1"/>
    <col min="13806" max="13806" width="10.625" style="1" customWidth="1"/>
    <col min="13807" max="13807" width="14.625" style="1" customWidth="1"/>
    <col min="13808" max="13808" width="10.625" style="1" customWidth="1"/>
    <col min="13809" max="13809" width="18.625" style="1" customWidth="1"/>
    <col min="13810" max="13810" width="9.625" style="1" customWidth="1"/>
    <col min="13811" max="13811" width="10.5" style="1" customWidth="1"/>
    <col min="13812" max="13812" width="20.375" style="1" bestFit="1" customWidth="1"/>
    <col min="13813" max="13813" width="12.5" style="1" customWidth="1"/>
    <col min="13814" max="13814" width="13.125" style="1" customWidth="1"/>
    <col min="13815" max="13819" width="9" style="1"/>
    <col min="13820" max="13820" width="11.25" style="1" bestFit="1" customWidth="1"/>
    <col min="13821" max="13821" width="11.625" style="1" bestFit="1" customWidth="1"/>
    <col min="13822" max="14052" width="9" style="1"/>
    <col min="14053" max="14053" width="4.625" style="1" customWidth="1"/>
    <col min="14054" max="14054" width="34.625" style="1" customWidth="1"/>
    <col min="14055" max="14055" width="11.625" style="1" customWidth="1"/>
    <col min="14056" max="14057" width="6.625" style="1" customWidth="1"/>
    <col min="14058" max="14058" width="10.625" style="1" customWidth="1"/>
    <col min="14059" max="14059" width="14.625" style="1" customWidth="1"/>
    <col min="14060" max="14060" width="10.625" style="1" customWidth="1"/>
    <col min="14061" max="14061" width="14.625" style="1" customWidth="1"/>
    <col min="14062" max="14062" width="10.625" style="1" customWidth="1"/>
    <col min="14063" max="14063" width="14.625" style="1" customWidth="1"/>
    <col min="14064" max="14064" width="10.625" style="1" customWidth="1"/>
    <col min="14065" max="14065" width="18.625" style="1" customWidth="1"/>
    <col min="14066" max="14066" width="9.625" style="1" customWidth="1"/>
    <col min="14067" max="14067" width="10.5" style="1" customWidth="1"/>
    <col min="14068" max="14068" width="20.375" style="1" bestFit="1" customWidth="1"/>
    <col min="14069" max="14069" width="12.5" style="1" customWidth="1"/>
    <col min="14070" max="14070" width="13.125" style="1" customWidth="1"/>
    <col min="14071" max="14075" width="9" style="1"/>
    <col min="14076" max="14076" width="11.25" style="1" bestFit="1" customWidth="1"/>
    <col min="14077" max="14077" width="11.625" style="1" bestFit="1" customWidth="1"/>
    <col min="14078" max="14308" width="9" style="1"/>
    <col min="14309" max="14309" width="4.625" style="1" customWidth="1"/>
    <col min="14310" max="14310" width="34.625" style="1" customWidth="1"/>
    <col min="14311" max="14311" width="11.625" style="1" customWidth="1"/>
    <col min="14312" max="14313" width="6.625" style="1" customWidth="1"/>
    <col min="14314" max="14314" width="10.625" style="1" customWidth="1"/>
    <col min="14315" max="14315" width="14.625" style="1" customWidth="1"/>
    <col min="14316" max="14316" width="10.625" style="1" customWidth="1"/>
    <col min="14317" max="14317" width="14.625" style="1" customWidth="1"/>
    <col min="14318" max="14318" width="10.625" style="1" customWidth="1"/>
    <col min="14319" max="14319" width="14.625" style="1" customWidth="1"/>
    <col min="14320" max="14320" width="10.625" style="1" customWidth="1"/>
    <col min="14321" max="14321" width="18.625" style="1" customWidth="1"/>
    <col min="14322" max="14322" width="9.625" style="1" customWidth="1"/>
    <col min="14323" max="14323" width="10.5" style="1" customWidth="1"/>
    <col min="14324" max="14324" width="20.375" style="1" bestFit="1" customWidth="1"/>
    <col min="14325" max="14325" width="12.5" style="1" customWidth="1"/>
    <col min="14326" max="14326" width="13.125" style="1" customWidth="1"/>
    <col min="14327" max="14331" width="9" style="1"/>
    <col min="14332" max="14332" width="11.25" style="1" bestFit="1" customWidth="1"/>
    <col min="14333" max="14333" width="11.625" style="1" bestFit="1" customWidth="1"/>
    <col min="14334" max="14564" width="9" style="1"/>
    <col min="14565" max="14565" width="4.625" style="1" customWidth="1"/>
    <col min="14566" max="14566" width="34.625" style="1" customWidth="1"/>
    <col min="14567" max="14567" width="11.625" style="1" customWidth="1"/>
    <col min="14568" max="14569" width="6.625" style="1" customWidth="1"/>
    <col min="14570" max="14570" width="10.625" style="1" customWidth="1"/>
    <col min="14571" max="14571" width="14.625" style="1" customWidth="1"/>
    <col min="14572" max="14572" width="10.625" style="1" customWidth="1"/>
    <col min="14573" max="14573" width="14.625" style="1" customWidth="1"/>
    <col min="14574" max="14574" width="10.625" style="1" customWidth="1"/>
    <col min="14575" max="14575" width="14.625" style="1" customWidth="1"/>
    <col min="14576" max="14576" width="10.625" style="1" customWidth="1"/>
    <col min="14577" max="14577" width="18.625" style="1" customWidth="1"/>
    <col min="14578" max="14578" width="9.625" style="1" customWidth="1"/>
    <col min="14579" max="14579" width="10.5" style="1" customWidth="1"/>
    <col min="14580" max="14580" width="20.375" style="1" bestFit="1" customWidth="1"/>
    <col min="14581" max="14581" width="12.5" style="1" customWidth="1"/>
    <col min="14582" max="14582" width="13.125" style="1" customWidth="1"/>
    <col min="14583" max="14587" width="9" style="1"/>
    <col min="14588" max="14588" width="11.25" style="1" bestFit="1" customWidth="1"/>
    <col min="14589" max="14589" width="11.625" style="1" bestFit="1" customWidth="1"/>
    <col min="14590" max="14820" width="9" style="1"/>
    <col min="14821" max="14821" width="4.625" style="1" customWidth="1"/>
    <col min="14822" max="14822" width="34.625" style="1" customWidth="1"/>
    <col min="14823" max="14823" width="11.625" style="1" customWidth="1"/>
    <col min="14824" max="14825" width="6.625" style="1" customWidth="1"/>
    <col min="14826" max="14826" width="10.625" style="1" customWidth="1"/>
    <col min="14827" max="14827" width="14.625" style="1" customWidth="1"/>
    <col min="14828" max="14828" width="10.625" style="1" customWidth="1"/>
    <col min="14829" max="14829" width="14.625" style="1" customWidth="1"/>
    <col min="14830" max="14830" width="10.625" style="1" customWidth="1"/>
    <col min="14831" max="14831" width="14.625" style="1" customWidth="1"/>
    <col min="14832" max="14832" width="10.625" style="1" customWidth="1"/>
    <col min="14833" max="14833" width="18.625" style="1" customWidth="1"/>
    <col min="14834" max="14834" width="9.625" style="1" customWidth="1"/>
    <col min="14835" max="14835" width="10.5" style="1" customWidth="1"/>
    <col min="14836" max="14836" width="20.375" style="1" bestFit="1" customWidth="1"/>
    <col min="14837" max="14837" width="12.5" style="1" customWidth="1"/>
    <col min="14838" max="14838" width="13.125" style="1" customWidth="1"/>
    <col min="14839" max="14843" width="9" style="1"/>
    <col min="14844" max="14844" width="11.25" style="1" bestFit="1" customWidth="1"/>
    <col min="14845" max="14845" width="11.625" style="1" bestFit="1" customWidth="1"/>
    <col min="14846" max="15076" width="9" style="1"/>
    <col min="15077" max="15077" width="4.625" style="1" customWidth="1"/>
    <col min="15078" max="15078" width="34.625" style="1" customWidth="1"/>
    <col min="15079" max="15079" width="11.625" style="1" customWidth="1"/>
    <col min="15080" max="15081" width="6.625" style="1" customWidth="1"/>
    <col min="15082" max="15082" width="10.625" style="1" customWidth="1"/>
    <col min="15083" max="15083" width="14.625" style="1" customWidth="1"/>
    <col min="15084" max="15084" width="10.625" style="1" customWidth="1"/>
    <col min="15085" max="15085" width="14.625" style="1" customWidth="1"/>
    <col min="15086" max="15086" width="10.625" style="1" customWidth="1"/>
    <col min="15087" max="15087" width="14.625" style="1" customWidth="1"/>
    <col min="15088" max="15088" width="10.625" style="1" customWidth="1"/>
    <col min="15089" max="15089" width="18.625" style="1" customWidth="1"/>
    <col min="15090" max="15090" width="9.625" style="1" customWidth="1"/>
    <col min="15091" max="15091" width="10.5" style="1" customWidth="1"/>
    <col min="15092" max="15092" width="20.375" style="1" bestFit="1" customWidth="1"/>
    <col min="15093" max="15093" width="12.5" style="1" customWidth="1"/>
    <col min="15094" max="15094" width="13.125" style="1" customWidth="1"/>
    <col min="15095" max="15099" width="9" style="1"/>
    <col min="15100" max="15100" width="11.25" style="1" bestFit="1" customWidth="1"/>
    <col min="15101" max="15101" width="11.625" style="1" bestFit="1" customWidth="1"/>
    <col min="15102" max="15332" width="9" style="1"/>
    <col min="15333" max="15333" width="4.625" style="1" customWidth="1"/>
    <col min="15334" max="15334" width="34.625" style="1" customWidth="1"/>
    <col min="15335" max="15335" width="11.625" style="1" customWidth="1"/>
    <col min="15336" max="15337" width="6.625" style="1" customWidth="1"/>
    <col min="15338" max="15338" width="10.625" style="1" customWidth="1"/>
    <col min="15339" max="15339" width="14.625" style="1" customWidth="1"/>
    <col min="15340" max="15340" width="10.625" style="1" customWidth="1"/>
    <col min="15341" max="15341" width="14.625" style="1" customWidth="1"/>
    <col min="15342" max="15342" width="10.625" style="1" customWidth="1"/>
    <col min="15343" max="15343" width="14.625" style="1" customWidth="1"/>
    <col min="15344" max="15344" width="10.625" style="1" customWidth="1"/>
    <col min="15345" max="15345" width="18.625" style="1" customWidth="1"/>
    <col min="15346" max="15346" width="9.625" style="1" customWidth="1"/>
    <col min="15347" max="15347" width="10.5" style="1" customWidth="1"/>
    <col min="15348" max="15348" width="20.375" style="1" bestFit="1" customWidth="1"/>
    <col min="15349" max="15349" width="12.5" style="1" customWidth="1"/>
    <col min="15350" max="15350" width="13.125" style="1" customWidth="1"/>
    <col min="15351" max="15355" width="9" style="1"/>
    <col min="15356" max="15356" width="11.25" style="1" bestFit="1" customWidth="1"/>
    <col min="15357" max="15357" width="11.625" style="1" bestFit="1" customWidth="1"/>
    <col min="15358" max="15588" width="9" style="1"/>
    <col min="15589" max="15589" width="4.625" style="1" customWidth="1"/>
    <col min="15590" max="15590" width="34.625" style="1" customWidth="1"/>
    <col min="15591" max="15591" width="11.625" style="1" customWidth="1"/>
    <col min="15592" max="15593" width="6.625" style="1" customWidth="1"/>
    <col min="15594" max="15594" width="10.625" style="1" customWidth="1"/>
    <col min="15595" max="15595" width="14.625" style="1" customWidth="1"/>
    <col min="15596" max="15596" width="10.625" style="1" customWidth="1"/>
    <col min="15597" max="15597" width="14.625" style="1" customWidth="1"/>
    <col min="15598" max="15598" width="10.625" style="1" customWidth="1"/>
    <col min="15599" max="15599" width="14.625" style="1" customWidth="1"/>
    <col min="15600" max="15600" width="10.625" style="1" customWidth="1"/>
    <col min="15601" max="15601" width="18.625" style="1" customWidth="1"/>
    <col min="15602" max="15602" width="9.625" style="1" customWidth="1"/>
    <col min="15603" max="15603" width="10.5" style="1" customWidth="1"/>
    <col min="15604" max="15604" width="20.375" style="1" bestFit="1" customWidth="1"/>
    <col min="15605" max="15605" width="12.5" style="1" customWidth="1"/>
    <col min="15606" max="15606" width="13.125" style="1" customWidth="1"/>
    <col min="15607" max="15611" width="9" style="1"/>
    <col min="15612" max="15612" width="11.25" style="1" bestFit="1" customWidth="1"/>
    <col min="15613" max="15613" width="11.625" style="1" bestFit="1" customWidth="1"/>
    <col min="15614" max="15844" width="9" style="1"/>
    <col min="15845" max="15845" width="4.625" style="1" customWidth="1"/>
    <col min="15846" max="15846" width="34.625" style="1" customWidth="1"/>
    <col min="15847" max="15847" width="11.625" style="1" customWidth="1"/>
    <col min="15848" max="15849" width="6.625" style="1" customWidth="1"/>
    <col min="15850" max="15850" width="10.625" style="1" customWidth="1"/>
    <col min="15851" max="15851" width="14.625" style="1" customWidth="1"/>
    <col min="15852" max="15852" width="10.625" style="1" customWidth="1"/>
    <col min="15853" max="15853" width="14.625" style="1" customWidth="1"/>
    <col min="15854" max="15854" width="10.625" style="1" customWidth="1"/>
    <col min="15855" max="15855" width="14.625" style="1" customWidth="1"/>
    <col min="15856" max="15856" width="10.625" style="1" customWidth="1"/>
    <col min="15857" max="15857" width="18.625" style="1" customWidth="1"/>
    <col min="15858" max="15858" width="9.625" style="1" customWidth="1"/>
    <col min="15859" max="15859" width="10.5" style="1" customWidth="1"/>
    <col min="15860" max="15860" width="20.375" style="1" bestFit="1" customWidth="1"/>
    <col min="15861" max="15861" width="12.5" style="1" customWidth="1"/>
    <col min="15862" max="15862" width="13.125" style="1" customWidth="1"/>
    <col min="15863" max="15867" width="9" style="1"/>
    <col min="15868" max="15868" width="11.25" style="1" bestFit="1" customWidth="1"/>
    <col min="15869" max="15869" width="11.625" style="1" bestFit="1" customWidth="1"/>
    <col min="15870" max="16100" width="9" style="1"/>
    <col min="16101" max="16101" width="4.625" style="1" customWidth="1"/>
    <col min="16102" max="16102" width="34.625" style="1" customWidth="1"/>
    <col min="16103" max="16103" width="11.625" style="1" customWidth="1"/>
    <col min="16104" max="16105" width="6.625" style="1" customWidth="1"/>
    <col min="16106" max="16106" width="10.625" style="1" customWidth="1"/>
    <col min="16107" max="16107" width="14.625" style="1" customWidth="1"/>
    <col min="16108" max="16108" width="10.625" style="1" customWidth="1"/>
    <col min="16109" max="16109" width="14.625" style="1" customWidth="1"/>
    <col min="16110" max="16110" width="10.625" style="1" customWidth="1"/>
    <col min="16111" max="16111" width="14.625" style="1" customWidth="1"/>
    <col min="16112" max="16112" width="10.625" style="1" customWidth="1"/>
    <col min="16113" max="16113" width="18.625" style="1" customWidth="1"/>
    <col min="16114" max="16114" width="9.625" style="1" customWidth="1"/>
    <col min="16115" max="16115" width="10.5" style="1" customWidth="1"/>
    <col min="16116" max="16116" width="20.375" style="1" bestFit="1" customWidth="1"/>
    <col min="16117" max="16117" width="12.5" style="1" customWidth="1"/>
    <col min="16118" max="16118" width="13.125" style="1" customWidth="1"/>
    <col min="16119" max="16123" width="9" style="1"/>
    <col min="16124" max="16124" width="11.25" style="1" bestFit="1" customWidth="1"/>
    <col min="16125" max="16125" width="11.625" style="1" bestFit="1" customWidth="1"/>
    <col min="16126" max="16384" width="9" style="1"/>
  </cols>
  <sheetData>
    <row r="1" spans="1:113" ht="35.1" customHeight="1">
      <c r="A1" s="330" t="s">
        <v>418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2"/>
    </row>
    <row r="2" spans="1:113" s="240" customFormat="1" ht="19.5" customHeight="1" thickBot="1">
      <c r="A2" s="339" t="s">
        <v>289</v>
      </c>
      <c r="B2" s="339"/>
      <c r="C2" s="339"/>
      <c r="D2" s="339"/>
      <c r="E2" s="339"/>
      <c r="F2" s="195"/>
      <c r="G2" s="195"/>
      <c r="H2" s="195"/>
      <c r="I2" s="195"/>
      <c r="J2" s="195"/>
      <c r="K2" s="195"/>
      <c r="L2" s="195"/>
      <c r="M2" s="195"/>
      <c r="N2" s="195"/>
    </row>
    <row r="3" spans="1:113" ht="30" customHeight="1">
      <c r="A3" s="121"/>
      <c r="B3" s="346" t="s">
        <v>56</v>
      </c>
      <c r="C3" s="348" t="s">
        <v>39</v>
      </c>
      <c r="D3" s="348" t="s">
        <v>38</v>
      </c>
      <c r="E3" s="348" t="s">
        <v>37</v>
      </c>
      <c r="F3" s="350" t="s">
        <v>40</v>
      </c>
      <c r="G3" s="351"/>
      <c r="H3" s="350" t="s">
        <v>57</v>
      </c>
      <c r="I3" s="351"/>
      <c r="J3" s="350" t="s">
        <v>41</v>
      </c>
      <c r="K3" s="351"/>
      <c r="L3" s="350" t="s">
        <v>4</v>
      </c>
      <c r="M3" s="351"/>
      <c r="N3" s="352" t="s">
        <v>0</v>
      </c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</row>
    <row r="4" spans="1:113" s="5" customFormat="1" ht="30" customHeight="1" thickBot="1">
      <c r="A4" s="122"/>
      <c r="B4" s="347"/>
      <c r="C4" s="349"/>
      <c r="D4" s="349"/>
      <c r="E4" s="349"/>
      <c r="F4" s="74" t="s">
        <v>58</v>
      </c>
      <c r="G4" s="74" t="s">
        <v>59</v>
      </c>
      <c r="H4" s="74" t="s">
        <v>58</v>
      </c>
      <c r="I4" s="74" t="s">
        <v>59</v>
      </c>
      <c r="J4" s="74" t="s">
        <v>58</v>
      </c>
      <c r="K4" s="74" t="s">
        <v>59</v>
      </c>
      <c r="L4" s="74" t="s">
        <v>58</v>
      </c>
      <c r="M4" s="74" t="s">
        <v>59</v>
      </c>
      <c r="N4" s="353"/>
      <c r="O4" s="2"/>
    </row>
    <row r="5" spans="1:113" s="2" customFormat="1" ht="30" hidden="1" customHeight="1">
      <c r="A5" s="123"/>
      <c r="B5" s="342" t="s">
        <v>60</v>
      </c>
      <c r="C5" s="342"/>
      <c r="D5" s="342"/>
      <c r="E5" s="343"/>
      <c r="F5" s="124"/>
      <c r="G5" s="124"/>
      <c r="H5" s="124"/>
      <c r="I5" s="124"/>
      <c r="J5" s="124"/>
      <c r="K5" s="124"/>
      <c r="L5" s="124"/>
      <c r="M5" s="124"/>
      <c r="N5" s="125"/>
    </row>
    <row r="6" spans="1:113" ht="30" customHeight="1">
      <c r="A6" s="165" t="s">
        <v>54</v>
      </c>
      <c r="B6" s="44"/>
      <c r="C6" s="44"/>
      <c r="D6" s="44"/>
      <c r="E6" s="47"/>
      <c r="F6" s="48"/>
      <c r="G6" s="48">
        <f>'기성내역서(용인)'!G61</f>
        <v>990810756</v>
      </c>
      <c r="H6" s="48"/>
      <c r="I6" s="48">
        <f>'기성내역서(용인)'!I61</f>
        <v>154624108</v>
      </c>
      <c r="J6" s="48"/>
      <c r="K6" s="48">
        <f>'기성내역서(용인)'!K61</f>
        <v>59297226</v>
      </c>
      <c r="L6" s="46"/>
      <c r="M6" s="45">
        <f>G6+I6+K6</f>
        <v>1204732090</v>
      </c>
      <c r="N6" s="166"/>
      <c r="O6" s="2"/>
    </row>
    <row r="7" spans="1:113" s="3" customFormat="1" ht="30" customHeight="1">
      <c r="A7" s="127"/>
      <c r="B7" s="132"/>
      <c r="C7" s="129"/>
      <c r="D7" s="130"/>
      <c r="E7" s="128"/>
      <c r="F7" s="131"/>
      <c r="G7" s="80"/>
      <c r="H7" s="80"/>
      <c r="I7" s="80"/>
      <c r="J7" s="80"/>
      <c r="K7" s="80"/>
      <c r="L7" s="80"/>
      <c r="M7" s="80"/>
      <c r="N7" s="8"/>
      <c r="O7" s="2"/>
    </row>
    <row r="8" spans="1:113" s="3" customFormat="1" ht="30" customHeight="1">
      <c r="A8" s="127"/>
      <c r="B8" s="132"/>
      <c r="C8" s="129"/>
      <c r="D8" s="130"/>
      <c r="E8" s="128"/>
      <c r="F8" s="131"/>
      <c r="G8" s="80"/>
      <c r="H8" s="80"/>
      <c r="I8" s="80"/>
      <c r="J8" s="80"/>
      <c r="K8" s="80"/>
      <c r="L8" s="80"/>
      <c r="M8" s="80"/>
      <c r="N8" s="8"/>
      <c r="O8" s="2"/>
    </row>
    <row r="9" spans="1:113" s="3" customFormat="1" ht="30" customHeight="1" thickBot="1">
      <c r="A9" s="133"/>
      <c r="B9" s="134"/>
      <c r="C9" s="135"/>
      <c r="D9" s="62"/>
      <c r="E9" s="62"/>
      <c r="F9" s="22"/>
      <c r="G9" s="23"/>
      <c r="H9" s="23"/>
      <c r="I9" s="23"/>
      <c r="J9" s="23"/>
      <c r="K9" s="23"/>
      <c r="L9" s="23"/>
      <c r="M9" s="23"/>
      <c r="N9" s="63"/>
      <c r="O9" s="2"/>
    </row>
    <row r="10" spans="1:113" s="52" customFormat="1" ht="30" customHeight="1" thickBot="1">
      <c r="A10" s="136"/>
      <c r="B10" s="137" t="s">
        <v>46</v>
      </c>
      <c r="C10" s="138"/>
      <c r="D10" s="139"/>
      <c r="E10" s="138"/>
      <c r="F10" s="140"/>
      <c r="G10" s="140">
        <f>SUM(G6:G9)</f>
        <v>990810756</v>
      </c>
      <c r="H10" s="140"/>
      <c r="I10" s="140">
        <f>SUM(I6:I9)</f>
        <v>154624108</v>
      </c>
      <c r="J10" s="140"/>
      <c r="K10" s="140">
        <f>SUM(K6:K9)</f>
        <v>59297226</v>
      </c>
      <c r="L10" s="140"/>
      <c r="M10" s="140">
        <f>SUM(M6:M9)</f>
        <v>1204732090</v>
      </c>
      <c r="N10" s="141"/>
      <c r="O10" s="51"/>
    </row>
    <row r="11" spans="1:113" s="92" customFormat="1" ht="30" customHeight="1">
      <c r="A11" s="142"/>
      <c r="B11" s="143" t="s">
        <v>1</v>
      </c>
      <c r="C11" s="82"/>
      <c r="D11" s="83"/>
      <c r="E11" s="84"/>
      <c r="F11" s="85"/>
      <c r="G11" s="86"/>
      <c r="H11" s="87"/>
      <c r="I11" s="86"/>
      <c r="J11" s="87"/>
      <c r="K11" s="86"/>
      <c r="L11" s="88"/>
      <c r="M11" s="89"/>
      <c r="N11" s="90"/>
      <c r="O11" s="91"/>
    </row>
    <row r="12" spans="1:113" s="3" customFormat="1" ht="30" customHeight="1">
      <c r="A12" s="144" t="s">
        <v>36</v>
      </c>
      <c r="B12" s="145" t="s">
        <v>61</v>
      </c>
      <c r="C12" s="6"/>
      <c r="D12" s="7">
        <v>1</v>
      </c>
      <c r="E12" s="6" t="s">
        <v>5</v>
      </c>
      <c r="F12" s="27"/>
      <c r="G12" s="28"/>
      <c r="H12" s="29"/>
      <c r="I12" s="28"/>
      <c r="J12" s="29"/>
      <c r="K12" s="28"/>
      <c r="L12" s="29"/>
      <c r="M12" s="30">
        <f>SUM('기성총괄표(중앙_2권역 대행)'!M12,'기성총괄표(수지-수원_시티_건가)'!M12,'기성총괄표(2025열수송관_시티_건가)'!M12,'기성총괄표(2024용인_지성_제조)'!M12,'기성총괄표(2024용인_지성_건가)'!M12,'기성총괄표(2024용인_지성_예수금)'!M12)</f>
        <v>990810756</v>
      </c>
      <c r="N12" s="8"/>
      <c r="O12" s="2"/>
    </row>
    <row r="13" spans="1:113" s="3" customFormat="1" ht="30" customHeight="1">
      <c r="A13" s="144" t="s">
        <v>34</v>
      </c>
      <c r="B13" s="146" t="s">
        <v>47</v>
      </c>
      <c r="C13" s="6"/>
      <c r="D13" s="31"/>
      <c r="E13" s="32"/>
      <c r="F13" s="27"/>
      <c r="G13" s="28"/>
      <c r="H13" s="29"/>
      <c r="I13" s="28"/>
      <c r="J13" s="29"/>
      <c r="K13" s="28"/>
      <c r="L13" s="29"/>
      <c r="M13" s="30">
        <f>SUM('기성총괄표(중앙_2권역 대행)'!M13,'기성총괄표(수지-수원_시티_건가)'!M13,'기성총괄표(2025열수송관_시티_건가)'!M13,'기성총괄표(2024용인_지성_제조)'!M13,'기성총괄표(2024용인_지성_건가)'!M13,'기성총괄표(2024용인_지성_예수금)'!M13)</f>
        <v>175189110</v>
      </c>
      <c r="N13" s="8"/>
      <c r="O13" s="2"/>
    </row>
    <row r="14" spans="1:113" ht="30" customHeight="1">
      <c r="A14" s="126"/>
      <c r="B14" s="145" t="s">
        <v>42</v>
      </c>
      <c r="C14" s="33"/>
      <c r="D14" s="7">
        <v>1</v>
      </c>
      <c r="E14" s="6" t="s">
        <v>5</v>
      </c>
      <c r="F14" s="34"/>
      <c r="G14" s="25"/>
      <c r="H14" s="25"/>
      <c r="I14" s="25"/>
      <c r="J14" s="25"/>
      <c r="K14" s="25"/>
      <c r="L14" s="26"/>
      <c r="M14" s="30">
        <f>SUM('기성총괄표(중앙_2권역 대행)'!M14,'기성총괄표(수지-수원_시티_건가)'!M14,'기성총괄표(2025열수송관_시티_건가)'!M14,'기성총괄표(2024용인_지성_제조)'!M14,'기성총괄표(2024용인_지성_건가)'!M14,'기성총괄표(2024용인_지성_예수금)'!M14)</f>
        <v>154624108</v>
      </c>
      <c r="N14" s="8"/>
    </row>
    <row r="15" spans="1:113" ht="30" customHeight="1">
      <c r="A15" s="126"/>
      <c r="B15" s="145" t="s">
        <v>43</v>
      </c>
      <c r="C15" s="35">
        <v>0.13300000000000001</v>
      </c>
      <c r="D15" s="7">
        <v>1</v>
      </c>
      <c r="E15" s="6" t="s">
        <v>5</v>
      </c>
      <c r="F15" s="34" t="s">
        <v>2</v>
      </c>
      <c r="G15" s="25"/>
      <c r="H15" s="25"/>
      <c r="I15" s="25"/>
      <c r="J15" s="25"/>
      <c r="K15" s="25"/>
      <c r="L15" s="26"/>
      <c r="M15" s="30">
        <f>SUM('기성총괄표(중앙_2권역 대행)'!M15,'기성총괄표(수지-수원_시티_건가)'!M15,'기성총괄표(2025열수송관_시티_건가)'!M15,'기성총괄표(2024용인_지성_제조)'!M15,'기성총괄표(2024용인_지성_건가)'!M15,'기성총괄표(2024용인_지성_예수금)'!M15)</f>
        <v>20565002</v>
      </c>
      <c r="N15" s="8"/>
      <c r="O15" s="41"/>
    </row>
    <row r="16" spans="1:113" ht="30" customHeight="1">
      <c r="A16" s="144" t="s">
        <v>35</v>
      </c>
      <c r="B16" s="146" t="s">
        <v>62</v>
      </c>
      <c r="C16" s="33"/>
      <c r="D16" s="7"/>
      <c r="E16" s="6"/>
      <c r="F16" s="34"/>
      <c r="G16" s="25"/>
      <c r="H16" s="25"/>
      <c r="I16" s="25"/>
      <c r="J16" s="25"/>
      <c r="K16" s="25"/>
      <c r="L16" s="26"/>
      <c r="M16" s="30">
        <f>SUM('기성총괄표(중앙_2권역 대행)'!M16,'기성총괄표(수지-수원_시티_건가)'!M16,'기성총괄표(2025열수송관_시티_건가)'!M16,'기성총괄표(2024용인_지성_제조)'!M16,'기성총괄표(2024용인_지성_건가)'!M16,'기성총괄표(2024용인_지성_예수금)'!M16)</f>
        <v>116275352</v>
      </c>
      <c r="N16" s="8"/>
    </row>
    <row r="17" spans="1:15" ht="30" customHeight="1">
      <c r="A17" s="126"/>
      <c r="B17" s="145" t="s">
        <v>63</v>
      </c>
      <c r="C17" s="33"/>
      <c r="D17" s="7">
        <v>1</v>
      </c>
      <c r="E17" s="6" t="s">
        <v>5</v>
      </c>
      <c r="F17" s="34"/>
      <c r="G17" s="25"/>
      <c r="H17" s="25"/>
      <c r="I17" s="25"/>
      <c r="J17" s="25"/>
      <c r="K17" s="25"/>
      <c r="L17" s="26"/>
      <c r="M17" s="30">
        <f>SUM('기성총괄표(중앙_2권역 대행)'!M17,'기성총괄표(수지-수원_시티_건가)'!M17,'기성총괄표(2025열수송관_시티_건가)'!M17,'기성총괄표(2024용인_지성_제조)'!M17,'기성총괄표(2024용인_지성_건가)'!M17,'기성총괄표(2024용인_지성_예수금)'!M17)</f>
        <v>59297226</v>
      </c>
      <c r="N17" s="8"/>
    </row>
    <row r="18" spans="1:15" ht="30" customHeight="1">
      <c r="A18" s="126"/>
      <c r="B18" s="145" t="s">
        <v>87</v>
      </c>
      <c r="C18" s="36"/>
      <c r="D18" s="7"/>
      <c r="E18" s="6"/>
      <c r="F18" s="34"/>
      <c r="G18" s="25"/>
      <c r="H18" s="25"/>
      <c r="I18" s="25"/>
      <c r="J18" s="25"/>
      <c r="K18" s="25"/>
      <c r="L18" s="26"/>
      <c r="M18" s="30">
        <f>SUM('기성총괄표(중앙_2권역 대행)'!M18,'기성총괄표(수지-수원_시티_건가)'!M18,'기성총괄표(2025열수송관_시티_건가)'!M18,'기성총괄표(2024용인_지성_제조)'!M18,'기성총괄표(2024용인_지성_건가)'!M18,'기성총괄표(2024용인_지성_예수금)'!M18)</f>
        <v>0</v>
      </c>
      <c r="N18" s="49"/>
    </row>
    <row r="19" spans="1:15" ht="30" customHeight="1">
      <c r="A19" s="126"/>
      <c r="B19" s="146" t="s">
        <v>65</v>
      </c>
      <c r="C19" s="33">
        <v>3.56E-2</v>
      </c>
      <c r="D19" s="7">
        <v>1</v>
      </c>
      <c r="E19" s="6" t="s">
        <v>5</v>
      </c>
      <c r="F19" s="34" t="s">
        <v>66</v>
      </c>
      <c r="G19" s="25"/>
      <c r="H19" s="25"/>
      <c r="I19" s="25"/>
      <c r="J19" s="25"/>
      <c r="K19" s="25"/>
      <c r="L19" s="26"/>
      <c r="M19" s="30">
        <f>SUM('기성총괄표(중앙_2권역 대행)'!M19,'기성총괄표(수지-수원_시티_건가)'!M19,'기성총괄표(2025열수송관_시티_건가)'!M19,'기성총괄표(2024용인_지성_제조)'!M19,'기성총괄표(2024용인_지성_건가)'!M19,'기성총괄표(2024용인_지성_예수금)'!M19)</f>
        <v>6236729</v>
      </c>
      <c r="N19" s="8"/>
      <c r="O19" s="42"/>
    </row>
    <row r="20" spans="1:15" ht="30" customHeight="1">
      <c r="A20" s="126"/>
      <c r="B20" s="146" t="s">
        <v>67</v>
      </c>
      <c r="C20" s="33">
        <v>1.01E-2</v>
      </c>
      <c r="D20" s="7">
        <v>1</v>
      </c>
      <c r="E20" s="6" t="s">
        <v>5</v>
      </c>
      <c r="F20" s="34" t="s">
        <v>66</v>
      </c>
      <c r="G20" s="25"/>
      <c r="H20" s="25"/>
      <c r="I20" s="25"/>
      <c r="J20" s="25"/>
      <c r="K20" s="25"/>
      <c r="L20" s="26"/>
      <c r="M20" s="30">
        <f>SUM('기성총괄표(중앙_2권역 대행)'!M20,'기성총괄표(수지-수원_시티_건가)'!M20,'기성총괄표(2025열수송관_시티_건가)'!M20,'기성총괄표(2024용인_지성_제조)'!M20,'기성총괄표(2024용인_지성_건가)'!M20,'기성총괄표(2024용인_지성_예수금)'!M20)</f>
        <v>1769407</v>
      </c>
      <c r="N20" s="8"/>
      <c r="O20" s="42"/>
    </row>
    <row r="21" spans="1:15" ht="30" customHeight="1">
      <c r="A21" s="126"/>
      <c r="B21" s="146" t="s">
        <v>68</v>
      </c>
      <c r="C21" s="33">
        <v>4.4999999999999998E-2</v>
      </c>
      <c r="D21" s="7">
        <v>1</v>
      </c>
      <c r="E21" s="6" t="s">
        <v>5</v>
      </c>
      <c r="F21" s="34" t="s">
        <v>69</v>
      </c>
      <c r="G21" s="25"/>
      <c r="H21" s="25"/>
      <c r="I21" s="25"/>
      <c r="J21" s="25"/>
      <c r="K21" s="25"/>
      <c r="L21" s="26"/>
      <c r="M21" s="30">
        <f>SUM('기성총괄표(중앙_2권역 대행)'!M21,'기성총괄표(수지-수원_시티_건가)'!M21,'기성총괄표(2025열수송관_시티_건가)'!M21,'기성총괄표(2024용인_지성_제조)'!M21,'기성총괄표(2024용인_지성_건가)'!M21,'기성총괄표(2024용인_지성_예수금)'!M21)</f>
        <v>0</v>
      </c>
      <c r="N21" s="49" t="s">
        <v>64</v>
      </c>
      <c r="O21" s="42"/>
    </row>
    <row r="22" spans="1:15" ht="30" customHeight="1">
      <c r="A22" s="126"/>
      <c r="B22" s="146" t="s">
        <v>70</v>
      </c>
      <c r="C22" s="172">
        <v>3.5450000000000002E-2</v>
      </c>
      <c r="D22" s="7">
        <v>1</v>
      </c>
      <c r="E22" s="6" t="s">
        <v>5</v>
      </c>
      <c r="F22" s="34" t="s">
        <v>69</v>
      </c>
      <c r="G22" s="25"/>
      <c r="H22" s="25"/>
      <c r="I22" s="25"/>
      <c r="J22" s="25"/>
      <c r="K22" s="25"/>
      <c r="L22" s="26"/>
      <c r="M22" s="30">
        <f>SUM('기성총괄표(중앙_2권역 대행)'!M22,'기성총괄표(수지-수원_시티_건가)'!M22,'기성총괄표(2025열수송관_시티_건가)'!M22,'기성총괄표(2024용인_지성_제조)'!M22,'기성총괄표(2024용인_지성_건가)'!M22,'기성총괄표(2024용인_지성_예수금)'!M22)</f>
        <v>0</v>
      </c>
      <c r="N22" s="49" t="s">
        <v>64</v>
      </c>
      <c r="O22" s="42"/>
    </row>
    <row r="23" spans="1:15" ht="30" customHeight="1">
      <c r="A23" s="126"/>
      <c r="B23" s="146" t="s">
        <v>71</v>
      </c>
      <c r="C23" s="33">
        <v>0.1295</v>
      </c>
      <c r="D23" s="7">
        <v>1</v>
      </c>
      <c r="E23" s="6" t="s">
        <v>5</v>
      </c>
      <c r="F23" s="34" t="s">
        <v>72</v>
      </c>
      <c r="G23" s="25"/>
      <c r="H23" s="25"/>
      <c r="I23" s="25"/>
      <c r="J23" s="25"/>
      <c r="K23" s="25"/>
      <c r="L23" s="26"/>
      <c r="M23" s="30">
        <f>SUM('기성총괄표(중앙_2권역 대행)'!M23,'기성총괄표(수지-수원_시티_건가)'!M23,'기성총괄표(2025열수송관_시티_건가)'!M23,'기성총괄표(2024용인_지성_제조)'!M23,'기성총괄표(2024용인_지성_건가)'!M23,'기성총괄표(2024용인_지성_예수금)'!M23)</f>
        <v>0</v>
      </c>
      <c r="N23" s="49" t="s">
        <v>64</v>
      </c>
      <c r="O23" s="42"/>
    </row>
    <row r="24" spans="1:15" ht="30" customHeight="1">
      <c r="A24" s="126"/>
      <c r="B24" s="145" t="s">
        <v>88</v>
      </c>
      <c r="C24" s="35">
        <v>2.3E-2</v>
      </c>
      <c r="D24" s="7">
        <v>1</v>
      </c>
      <c r="E24" s="6" t="s">
        <v>5</v>
      </c>
      <c r="F24" s="34" t="s">
        <v>69</v>
      </c>
      <c r="G24" s="25"/>
      <c r="H24" s="25"/>
      <c r="I24" s="25"/>
      <c r="J24" s="25"/>
      <c r="K24" s="25"/>
      <c r="L24" s="26"/>
      <c r="M24" s="30">
        <f>SUM('기성총괄표(중앙_2권역 대행)'!M24,'기성총괄표(수지-수원_시티_건가)'!M24,'기성총괄표(2025열수송관_시티_건가)'!M24,'기성총괄표(2024용인_지성_제조)'!M24,'기성총괄표(2024용인_지성_건가)'!M24,'기성총괄표(2024용인_지성_예수금)'!M24)</f>
        <v>0</v>
      </c>
      <c r="N24" s="49" t="s">
        <v>64</v>
      </c>
      <c r="O24" s="41"/>
    </row>
    <row r="25" spans="1:15" s="52" customFormat="1" ht="30" customHeight="1">
      <c r="A25" s="126"/>
      <c r="B25" s="145" t="s">
        <v>89</v>
      </c>
      <c r="C25" s="33">
        <v>2.5999999999999999E-2</v>
      </c>
      <c r="D25" s="7">
        <v>1</v>
      </c>
      <c r="E25" s="6" t="s">
        <v>5</v>
      </c>
      <c r="F25" s="153" t="s">
        <v>145</v>
      </c>
      <c r="G25" s="167"/>
      <c r="H25" s="167"/>
      <c r="I25" s="167"/>
      <c r="J25" s="167"/>
      <c r="K25" s="25"/>
      <c r="L25" s="26"/>
      <c r="M25" s="30">
        <f>SUM('기성총괄표(중앙_2권역 대행)'!M25,'기성총괄표(수지-수원_시티_건가)'!M25,'기성총괄표(2025열수송관_시티_건가)'!M25,'기성총괄표(2024용인_지성_제조)'!M25,'기성총괄표(2024용인_지성_건가)'!M25,'기성총괄표(2024용인_지성_예수금)'!M25)</f>
        <v>0</v>
      </c>
      <c r="N25" s="49" t="s">
        <v>64</v>
      </c>
      <c r="O25" s="53"/>
    </row>
    <row r="26" spans="1:15" ht="30" customHeight="1">
      <c r="A26" s="126"/>
      <c r="B26" s="145" t="s">
        <v>90</v>
      </c>
      <c r="C26" s="33">
        <v>4.2000000000000003E-2</v>
      </c>
      <c r="D26" s="7">
        <v>1</v>
      </c>
      <c r="E26" s="6" t="s">
        <v>5</v>
      </c>
      <c r="F26" s="34" t="s">
        <v>73</v>
      </c>
      <c r="G26" s="25"/>
      <c r="H26" s="25"/>
      <c r="I26" s="25"/>
      <c r="J26" s="25"/>
      <c r="K26" s="25"/>
      <c r="L26" s="147"/>
      <c r="M26" s="30">
        <f>SUM('기성총괄표(중앙_2권역 대행)'!M26,'기성총괄표(수지-수원_시티_건가)'!M26,'기성총괄표(2025열수송관_시티_건가)'!M26,'기성총괄표(2024용인_지성_제조)'!M26,'기성총괄표(2024용인_지성_건가)'!M26,'기성총괄표(2024용인_지성_예수금)'!M26)</f>
        <v>48971990</v>
      </c>
      <c r="N26" s="8"/>
      <c r="O26" s="41"/>
    </row>
    <row r="27" spans="1:15" ht="30" customHeight="1">
      <c r="A27" s="126"/>
      <c r="B27" s="145" t="s">
        <v>91</v>
      </c>
      <c r="C27" s="35">
        <v>5.0000000000000001E-3</v>
      </c>
      <c r="D27" s="7">
        <v>1</v>
      </c>
      <c r="E27" s="6" t="s">
        <v>5</v>
      </c>
      <c r="F27" s="34" t="s">
        <v>74</v>
      </c>
      <c r="G27" s="25"/>
      <c r="H27" s="25"/>
      <c r="I27" s="25"/>
      <c r="J27" s="25"/>
      <c r="K27" s="25"/>
      <c r="L27" s="26"/>
      <c r="M27" s="30">
        <f>SUM('기성총괄표(중앙_2권역 대행)'!M27,'기성총괄표(수지-수원_시티_건가)'!M27,'기성총괄표(2025열수송관_시티_건가)'!M27,'기성총괄표(2024용인_지성_제조)'!M27,'기성총괄표(2024용인_지성_건가)'!M27,'기성총괄표(2024용인_지성_예수금)'!M27)</f>
        <v>0</v>
      </c>
      <c r="N27" s="49" t="s">
        <v>64</v>
      </c>
      <c r="O27" s="41"/>
    </row>
    <row r="28" spans="1:15" ht="30" customHeight="1">
      <c r="A28" s="148"/>
      <c r="B28" s="149" t="s">
        <v>92</v>
      </c>
      <c r="C28" s="150"/>
      <c r="D28" s="64"/>
      <c r="E28" s="61"/>
      <c r="F28" s="65"/>
      <c r="G28" s="66"/>
      <c r="H28" s="66"/>
      <c r="I28" s="66"/>
      <c r="J28" s="66"/>
      <c r="K28" s="66"/>
      <c r="L28" s="67"/>
      <c r="M28" s="30">
        <f>SUM('기성총괄표(중앙_2권역 대행)'!M28,'기성총괄표(수지-수원_시티_건가)'!M28,'기성총괄표(2025열수송관_시티_건가)'!M28,'기성총괄표(2024용인_지성_제조)'!M28)</f>
        <v>0</v>
      </c>
      <c r="N28" s="151"/>
    </row>
    <row r="29" spans="1:15" ht="30" customHeight="1">
      <c r="A29" s="148"/>
      <c r="B29" s="146" t="s">
        <v>75</v>
      </c>
      <c r="C29" s="152">
        <v>8.0000000000000004E-4</v>
      </c>
      <c r="D29" s="64">
        <v>1</v>
      </c>
      <c r="E29" s="61" t="s">
        <v>5</v>
      </c>
      <c r="F29" s="65" t="s">
        <v>74</v>
      </c>
      <c r="G29" s="66"/>
      <c r="H29" s="66"/>
      <c r="I29" s="66"/>
      <c r="J29" s="66"/>
      <c r="K29" s="66"/>
      <c r="L29" s="67"/>
      <c r="M29" s="30">
        <f>SUM('기성총괄표(중앙_2권역 대행)'!M29,'기성총괄표(수지-수원_시티_건가)'!M29,'기성총괄표(2025열수송관_시티_건가)'!M29,'기성총괄표(2024용인_지성_제조)'!M29,'기성총괄표(2024용인_지성_건가)'!M29,'기성총괄표(2024용인_지성_예수금)'!M29)</f>
        <v>0</v>
      </c>
      <c r="N29" s="151" t="s">
        <v>64</v>
      </c>
      <c r="O29" s="43"/>
    </row>
    <row r="30" spans="1:15" ht="30" customHeight="1">
      <c r="A30" s="126"/>
      <c r="B30" s="146" t="s">
        <v>76</v>
      </c>
      <c r="C30" s="33">
        <v>3.2000000000000002E-3</v>
      </c>
      <c r="D30" s="7">
        <v>1</v>
      </c>
      <c r="E30" s="6" t="s">
        <v>5</v>
      </c>
      <c r="F30" s="34" t="s">
        <v>74</v>
      </c>
      <c r="G30" s="25"/>
      <c r="H30" s="25"/>
      <c r="I30" s="25"/>
      <c r="J30" s="25"/>
      <c r="K30" s="25"/>
      <c r="L30" s="26"/>
      <c r="M30" s="30">
        <f>SUM('기성총괄표(중앙_2권역 대행)'!M30,'기성총괄표(수지-수원_시티_건가)'!M30,'기성총괄표(2025열수송관_시티_건가)'!M30,'기성총괄표(2024용인_지성_제조)'!M30,'기성총괄표(2024용인_지성_건가)'!M30,'기성총괄표(2024용인_지성_예수금)'!M30)</f>
        <v>0</v>
      </c>
      <c r="N30" s="49" t="s">
        <v>64</v>
      </c>
      <c r="O30" s="42"/>
    </row>
    <row r="31" spans="1:15" s="57" customFormat="1" ht="30" customHeight="1">
      <c r="A31" s="154"/>
      <c r="B31" s="155" t="s">
        <v>77</v>
      </c>
      <c r="C31" s="75"/>
      <c r="D31" s="76"/>
      <c r="E31" s="75"/>
      <c r="F31" s="77"/>
      <c r="G31" s="78"/>
      <c r="H31" s="78"/>
      <c r="I31" s="78"/>
      <c r="J31" s="78"/>
      <c r="K31" s="78"/>
      <c r="L31" s="79"/>
      <c r="M31" s="228">
        <f>SUM('기성총괄표(중앙_2권역 대행)'!M31,'기성총괄표(수지-수원_시티_건가)'!M31,'기성총괄표(2025열수송관_시티_건가)'!M31,'기성총괄표(2024용인_지성_제조)'!M31,'기성총괄표(2024용인_지성_건가)'!M31,'기성총괄표(2024용인_지성_예수금)'!M31)</f>
        <v>1282275218</v>
      </c>
      <c r="N31" s="81"/>
      <c r="O31" s="120"/>
    </row>
    <row r="32" spans="1:15" ht="30" customHeight="1">
      <c r="A32" s="144" t="s">
        <v>78</v>
      </c>
      <c r="B32" s="146" t="s">
        <v>79</v>
      </c>
      <c r="C32" s="33">
        <v>3.5000000000000003E-2</v>
      </c>
      <c r="D32" s="7">
        <v>1</v>
      </c>
      <c r="E32" s="6" t="s">
        <v>5</v>
      </c>
      <c r="F32" s="34" t="s">
        <v>80</v>
      </c>
      <c r="G32" s="25"/>
      <c r="H32" s="25"/>
      <c r="I32" s="25"/>
      <c r="J32" s="25"/>
      <c r="K32" s="25"/>
      <c r="L32" s="26"/>
      <c r="M32" s="30">
        <f>SUM('기성총괄표(중앙_2권역 대행)'!M32,'기성총괄표(수지-수원_시티_건가)'!M32,'기성총괄표(2025열수송관_시티_건가)'!M32,'기성총괄표(2024용인_지성_제조)'!M32,'기성총괄표(2024용인_지성_건가)'!M32,'기성총괄표(2024용인_지성_예수금)'!M32)</f>
        <v>44879629</v>
      </c>
      <c r="N32" s="8"/>
      <c r="O32" s="41"/>
    </row>
    <row r="33" spans="1:113" ht="30" customHeight="1">
      <c r="A33" s="144" t="s">
        <v>81</v>
      </c>
      <c r="B33" s="146" t="s">
        <v>82</v>
      </c>
      <c r="C33" s="33">
        <v>4.2999999999999997E-2</v>
      </c>
      <c r="D33" s="7">
        <v>1</v>
      </c>
      <c r="E33" s="6" t="s">
        <v>5</v>
      </c>
      <c r="F33" s="34" t="s">
        <v>83</v>
      </c>
      <c r="G33" s="25"/>
      <c r="H33" s="25"/>
      <c r="I33" s="25"/>
      <c r="J33" s="37" t="s">
        <v>84</v>
      </c>
      <c r="K33" s="344">
        <f>INT((M13+M16+M32)*C33)</f>
        <v>14462795</v>
      </c>
      <c r="L33" s="345"/>
      <c r="M33" s="30">
        <f>SUM('기성총괄표(중앙_2권역 대행)'!M33,'기성총괄표(수지-수원_시티_건가)'!M33,'기성총괄표(2025열수송관_시티_건가)'!M33,'기성총괄표(2024용인_지성_제조)'!M33,'기성총괄표(2024용인_지성_건가)'!M33,'기성총괄표(2024용인_지성_예수금)'!M33)</f>
        <v>14435153</v>
      </c>
      <c r="N33" s="170"/>
      <c r="O33" s="41"/>
    </row>
    <row r="34" spans="1:113" s="57" customFormat="1" ht="30" customHeight="1">
      <c r="A34" s="154"/>
      <c r="B34" s="155" t="s">
        <v>85</v>
      </c>
      <c r="C34" s="75"/>
      <c r="D34" s="76"/>
      <c r="E34" s="75"/>
      <c r="F34" s="77"/>
      <c r="G34" s="78"/>
      <c r="H34" s="78"/>
      <c r="I34" s="78"/>
      <c r="J34" s="78"/>
      <c r="K34" s="78"/>
      <c r="L34" s="79"/>
      <c r="M34" s="228">
        <f>SUM('기성총괄표(중앙_2권역 대행)'!M34,'기성총괄표(수지-수원_시티_건가)'!M34,'기성총괄표(2025열수송관_시티_건가)'!M34,'기성총괄표(2024용인_지성_제조)'!M34,'기성총괄표(2024용인_지성_건가)'!M34,'기성총괄표(2024용인_지성_예수금)'!M34)</f>
        <v>1341590000</v>
      </c>
      <c r="N34" s="81"/>
      <c r="O34" s="120"/>
    </row>
    <row r="35" spans="1:113" s="298" customFormat="1" ht="30" customHeight="1">
      <c r="A35" s="154"/>
      <c r="B35" s="155" t="s">
        <v>86</v>
      </c>
      <c r="C35" s="75"/>
      <c r="D35" s="76"/>
      <c r="E35" s="75"/>
      <c r="F35" s="77"/>
      <c r="G35" s="78"/>
      <c r="H35" s="78"/>
      <c r="I35" s="78"/>
      <c r="J35" s="78"/>
      <c r="K35" s="78"/>
      <c r="L35" s="79"/>
      <c r="M35" s="228">
        <f>SUM('기성총괄표(중앙_2권역 대행)'!M35,'기성총괄표(수지-수원_시티_건가)'!M35,'기성총괄표(2025열수송관_시티_건가)'!M35,'기성총괄표(2024용인_지성_제조)'!M35,'기성총괄표(2024용인_지성_건가)'!M35,'기성총괄표(2024용인_지성_예수금)'!M35)</f>
        <v>1341590000</v>
      </c>
      <c r="N35" s="81"/>
      <c r="O35" s="59"/>
    </row>
    <row r="36" spans="1:113" s="298" customFormat="1" ht="30" customHeight="1">
      <c r="A36" s="154"/>
      <c r="B36" s="155" t="s">
        <v>151</v>
      </c>
      <c r="C36" s="75"/>
      <c r="D36" s="76"/>
      <c r="E36" s="75"/>
      <c r="F36" s="77"/>
      <c r="G36" s="78"/>
      <c r="H36" s="78"/>
      <c r="I36" s="78"/>
      <c r="J36" s="78"/>
      <c r="K36" s="78"/>
      <c r="L36" s="79"/>
      <c r="M36" s="228">
        <f>SUM('기성총괄표(중앙_2권역 대행)'!M36,'기성총괄표(수지-수원_시티_건가)'!M36,'기성총괄표(2025열수송관_시티_건가)'!M36,'기성총괄표(2024용인_지성_제조)'!M36,'기성총괄표(2024용인_지성_건가)'!M36,'기성총괄표(2024용인_지성_예수금)'!M36)</f>
        <v>134159000</v>
      </c>
      <c r="N36" s="81"/>
      <c r="O36" s="59"/>
    </row>
    <row r="37" spans="1:113" s="57" customFormat="1" ht="30" customHeight="1" thickBot="1">
      <c r="A37" s="156"/>
      <c r="B37" s="157" t="s">
        <v>152</v>
      </c>
      <c r="C37" s="158"/>
      <c r="D37" s="159"/>
      <c r="E37" s="158"/>
      <c r="F37" s="160"/>
      <c r="G37" s="161"/>
      <c r="H37" s="161"/>
      <c r="I37" s="161"/>
      <c r="J37" s="161"/>
      <c r="K37" s="161"/>
      <c r="L37" s="162"/>
      <c r="M37" s="238">
        <f>SUM('기성총괄표(중앙_2권역 대행)'!M37,'기성총괄표(수지-수원_시티_건가)'!M37,'기성총괄표(2025열수송관_시티_건가)'!M37,'기성총괄표(2024용인_지성_제조)'!M37,'기성총괄표(2024용인_지성_건가)'!M37,'기성총괄표(2024용인_지성_예수금)'!M37)</f>
        <v>1475749000</v>
      </c>
      <c r="N37" s="164"/>
      <c r="O37" s="120"/>
    </row>
    <row r="38" spans="1:113" s="2" customFormat="1" ht="30" customHeight="1">
      <c r="A38" s="1"/>
      <c r="B38" s="1"/>
      <c r="D38" s="38"/>
      <c r="E38" s="5"/>
      <c r="F38" s="39"/>
      <c r="G38" s="38"/>
      <c r="H38" s="40"/>
      <c r="I38" s="38"/>
      <c r="J38" s="40"/>
      <c r="K38" s="38"/>
      <c r="L38" s="40"/>
      <c r="M38" s="40"/>
      <c r="N38" s="5"/>
      <c r="O38" s="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</row>
    <row r="39" spans="1:113" s="2" customFormat="1" ht="33" customHeight="1">
      <c r="A39" s="1"/>
      <c r="B39" s="1"/>
      <c r="D39" s="38"/>
      <c r="E39" s="5"/>
      <c r="F39" s="39"/>
      <c r="G39" s="38"/>
      <c r="H39" s="40"/>
      <c r="I39" s="38"/>
      <c r="J39" s="40"/>
      <c r="K39" s="38"/>
      <c r="L39" s="40"/>
      <c r="M39" s="168"/>
      <c r="N39" s="5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</row>
    <row r="40" spans="1:113" s="2" customFormat="1" ht="33" customHeight="1">
      <c r="A40" s="1"/>
      <c r="B40" s="178"/>
      <c r="D40" s="38"/>
      <c r="E40" s="5"/>
      <c r="F40" s="39"/>
      <c r="G40" s="38"/>
      <c r="H40" s="40"/>
      <c r="I40" s="38"/>
      <c r="J40" s="40"/>
      <c r="K40" s="38"/>
      <c r="L40" s="40"/>
      <c r="M40" s="40"/>
      <c r="N40" s="5"/>
      <c r="O40" s="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</row>
    <row r="41" spans="1:113" s="2" customFormat="1" ht="30" customHeight="1">
      <c r="A41" s="1"/>
      <c r="B41" s="1"/>
      <c r="D41" s="38"/>
      <c r="E41" s="5"/>
      <c r="F41" s="39"/>
      <c r="G41" s="38"/>
      <c r="H41" s="40"/>
      <c r="I41" s="38"/>
      <c r="J41" s="40"/>
      <c r="K41" s="38"/>
      <c r="L41" s="40"/>
      <c r="M41" s="175"/>
      <c r="N41" s="5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</row>
    <row r="45" spans="1:113" s="2" customFormat="1" ht="34.700000000000003" customHeight="1">
      <c r="A45" s="1"/>
      <c r="B45" s="1"/>
      <c r="D45" s="38"/>
      <c r="E45" s="5"/>
      <c r="F45" s="39"/>
      <c r="G45" s="38"/>
      <c r="H45" s="40"/>
      <c r="I45" s="38"/>
      <c r="J45" s="40"/>
      <c r="K45" s="38"/>
      <c r="L45" s="40"/>
      <c r="M45" s="40"/>
      <c r="N45" s="5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</row>
  </sheetData>
  <mergeCells count="13">
    <mergeCell ref="A1:N1"/>
    <mergeCell ref="A2:E2"/>
    <mergeCell ref="B5:E5"/>
    <mergeCell ref="K33:L33"/>
    <mergeCell ref="B3:B4"/>
    <mergeCell ref="C3:C4"/>
    <mergeCell ref="D3:D4"/>
    <mergeCell ref="E3:E4"/>
    <mergeCell ref="F3:G3"/>
    <mergeCell ref="H3:I3"/>
    <mergeCell ref="J3:K3"/>
    <mergeCell ref="L3:M3"/>
    <mergeCell ref="N3:N4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horizontalDpi="1200" verticalDpi="1200" r:id="rId1"/>
  <headerFooter alignWithMargins="0">
    <oddHeader xml:space="preserve">&amp;C&amp;"돋움,보통"&amp;16&amp;U
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  <pageSetUpPr fitToPage="1"/>
  </sheetPr>
  <dimension ref="A1:AB62"/>
  <sheetViews>
    <sheetView view="pageBreakPreview" zoomScaleNormal="85" zoomScaleSheetLayoutView="100" workbookViewId="0">
      <selection activeCell="F14" sqref="F14"/>
    </sheetView>
  </sheetViews>
  <sheetFormatPr defaultColWidth="8" defaultRowHeight="14.25"/>
  <cols>
    <col min="1" max="1" width="10.5" customWidth="1"/>
    <col min="2" max="2" width="29.875" customWidth="1"/>
    <col min="3" max="3" width="18.75" customWidth="1"/>
    <col min="4" max="4" width="10.5" customWidth="1"/>
    <col min="5" max="5" width="5.25" customWidth="1"/>
    <col min="6" max="6" width="12.5" customWidth="1"/>
    <col min="7" max="7" width="15" customWidth="1"/>
    <col min="8" max="8" width="12.5" customWidth="1"/>
    <col min="9" max="9" width="16.875" customWidth="1"/>
    <col min="10" max="10" width="12.5" customWidth="1"/>
    <col min="11" max="11" width="16.875" customWidth="1"/>
    <col min="12" max="12" width="12.5" customWidth="1"/>
    <col min="13" max="13" width="16.875" customWidth="1"/>
    <col min="14" max="14" width="10.5" customWidth="1"/>
    <col min="16" max="16" width="19.25" hidden="1" customWidth="1"/>
    <col min="17" max="17" width="0" hidden="1" customWidth="1"/>
    <col min="18" max="18" width="10.625" hidden="1" customWidth="1"/>
    <col min="19" max="21" width="0" hidden="1" customWidth="1"/>
    <col min="22" max="22" width="13.375" hidden="1" customWidth="1"/>
    <col min="23" max="28" width="0" hidden="1" customWidth="1"/>
  </cols>
  <sheetData>
    <row r="1" spans="1:28" ht="35.1" customHeight="1">
      <c r="A1" s="338" t="s">
        <v>419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P1">
        <v>0.86242910009999996</v>
      </c>
    </row>
    <row r="2" spans="1:28" ht="15.4" customHeight="1">
      <c r="A2" s="60" t="s">
        <v>288</v>
      </c>
      <c r="B2" s="93"/>
      <c r="C2" s="116"/>
      <c r="D2" s="117"/>
      <c r="E2" s="93"/>
      <c r="F2" s="93"/>
      <c r="G2" s="93"/>
      <c r="H2" s="93"/>
      <c r="I2" s="93"/>
      <c r="J2" s="93"/>
      <c r="K2" s="93"/>
      <c r="L2" s="93"/>
      <c r="M2" s="93"/>
      <c r="N2" s="93"/>
    </row>
    <row r="3" spans="1:28" ht="19.5" customHeight="1">
      <c r="A3" s="94" t="s">
        <v>11</v>
      </c>
      <c r="B3" s="94" t="s">
        <v>12</v>
      </c>
      <c r="C3" s="115" t="s">
        <v>13</v>
      </c>
      <c r="D3" s="115" t="s">
        <v>14</v>
      </c>
      <c r="E3" s="94" t="s">
        <v>6</v>
      </c>
      <c r="F3" s="95" t="s">
        <v>8</v>
      </c>
      <c r="G3" s="96"/>
      <c r="H3" s="95" t="s">
        <v>9</v>
      </c>
      <c r="I3" s="96"/>
      <c r="J3" s="95" t="s">
        <v>15</v>
      </c>
      <c r="K3" s="96"/>
      <c r="L3" s="95" t="s">
        <v>16</v>
      </c>
      <c r="M3" s="96"/>
      <c r="N3" s="94" t="s">
        <v>44</v>
      </c>
    </row>
    <row r="4" spans="1:28" ht="19.5" customHeight="1">
      <c r="A4" s="97"/>
      <c r="B4" s="97"/>
      <c r="C4" s="97"/>
      <c r="D4" s="97"/>
      <c r="E4" s="97"/>
      <c r="F4" s="98" t="s">
        <v>17</v>
      </c>
      <c r="G4" s="98" t="s">
        <v>18</v>
      </c>
      <c r="H4" s="98" t="s">
        <v>17</v>
      </c>
      <c r="I4" s="98" t="s">
        <v>18</v>
      </c>
      <c r="J4" s="98" t="s">
        <v>17</v>
      </c>
      <c r="K4" s="98" t="s">
        <v>18</v>
      </c>
      <c r="L4" s="98" t="s">
        <v>17</v>
      </c>
      <c r="M4" s="98" t="s">
        <v>18</v>
      </c>
      <c r="N4" s="97"/>
      <c r="V4">
        <v>0.998</v>
      </c>
    </row>
    <row r="5" spans="1:28" ht="22.5" customHeight="1">
      <c r="A5" s="99" t="s">
        <v>10</v>
      </c>
      <c r="B5" s="99" t="s">
        <v>19</v>
      </c>
      <c r="C5" s="99" t="s">
        <v>10</v>
      </c>
      <c r="D5" s="100">
        <v>0</v>
      </c>
      <c r="E5" s="98" t="s">
        <v>10</v>
      </c>
      <c r="F5" s="107" t="s">
        <v>10</v>
      </c>
      <c r="G5" s="107" t="s">
        <v>10</v>
      </c>
      <c r="H5" s="107" t="s">
        <v>10</v>
      </c>
      <c r="I5" s="107" t="s">
        <v>10</v>
      </c>
      <c r="J5" s="107" t="s">
        <v>10</v>
      </c>
      <c r="K5" s="107" t="s">
        <v>10</v>
      </c>
      <c r="L5" s="107" t="s">
        <v>10</v>
      </c>
      <c r="M5" s="107" t="s">
        <v>10</v>
      </c>
      <c r="N5" s="110" t="s">
        <v>10</v>
      </c>
      <c r="V5">
        <f>'기성총괄표(용인)'!M41</f>
        <v>0</v>
      </c>
    </row>
    <row r="6" spans="1:28" ht="22.5" customHeight="1">
      <c r="A6" s="103" t="s">
        <v>20</v>
      </c>
      <c r="B6" s="102" t="s">
        <v>93</v>
      </c>
      <c r="C6" s="103" t="s">
        <v>10</v>
      </c>
      <c r="D6" s="104">
        <v>0</v>
      </c>
      <c r="E6" s="105" t="s">
        <v>10</v>
      </c>
      <c r="F6" s="111" t="s">
        <v>10</v>
      </c>
      <c r="G6" s="111" t="s">
        <v>10</v>
      </c>
      <c r="H6" s="111" t="s">
        <v>10</v>
      </c>
      <c r="I6" s="111" t="s">
        <v>10</v>
      </c>
      <c r="J6" s="111" t="s">
        <v>10</v>
      </c>
      <c r="K6" s="111" t="s">
        <v>10</v>
      </c>
      <c r="L6" s="111" t="s">
        <v>10</v>
      </c>
      <c r="M6" s="111" t="s">
        <v>10</v>
      </c>
      <c r="N6" s="112" t="s">
        <v>10</v>
      </c>
      <c r="V6">
        <v>0.85038297100000004</v>
      </c>
    </row>
    <row r="7" spans="1:28" ht="22.5" customHeight="1">
      <c r="A7" s="101" t="s">
        <v>115</v>
      </c>
      <c r="B7" s="56" t="s">
        <v>49</v>
      </c>
      <c r="C7" s="101" t="s">
        <v>114</v>
      </c>
      <c r="D7" s="169">
        <f>'기성내역서(중앙_2권역 대행)'!D7+'기성내역서(수지-수원_시티_건가)'!D7+'기성내역서(2025열수송관_시티_건가)'!D7+'기성내역서(2024용인_지성_제조)'!D7+'기성내역서(2024용인_지성_건가)'!D7+'기성내역서(2024용인_지성_예수금)'!D7</f>
        <v>0</v>
      </c>
      <c r="E7" s="101" t="s">
        <v>53</v>
      </c>
      <c r="F7" s="107">
        <f>W7</f>
        <v>473488</v>
      </c>
      <c r="G7" s="107">
        <f>F7*D7</f>
        <v>0</v>
      </c>
      <c r="H7" s="107">
        <f>Y7</f>
        <v>364249</v>
      </c>
      <c r="I7" s="107">
        <f>D7*H7</f>
        <v>0</v>
      </c>
      <c r="J7" s="107">
        <f>AA7</f>
        <v>13214</v>
      </c>
      <c r="K7" s="107">
        <f>D7*J7</f>
        <v>0</v>
      </c>
      <c r="L7" s="107">
        <f>F7+H7+J7</f>
        <v>850951</v>
      </c>
      <c r="M7" s="107">
        <f>L7*D7</f>
        <v>0</v>
      </c>
      <c r="N7" s="110"/>
      <c r="P7">
        <v>556795</v>
      </c>
      <c r="Q7">
        <v>11135900</v>
      </c>
      <c r="R7">
        <v>364979</v>
      </c>
      <c r="S7">
        <v>7299580</v>
      </c>
      <c r="T7">
        <v>15540</v>
      </c>
      <c r="U7">
        <v>310800</v>
      </c>
      <c r="W7">
        <f>INT(P7*$V$6)</f>
        <v>473488</v>
      </c>
      <c r="X7">
        <f t="shared" ref="X7:AB22" si="0">INT(Q7*$V$6)</f>
        <v>9469779</v>
      </c>
      <c r="Y7">
        <f>INT(R7*$V$4)</f>
        <v>364249</v>
      </c>
      <c r="Z7">
        <f t="shared" si="0"/>
        <v>6207438</v>
      </c>
      <c r="AA7">
        <f t="shared" si="0"/>
        <v>13214</v>
      </c>
      <c r="AB7">
        <f t="shared" si="0"/>
        <v>264299</v>
      </c>
    </row>
    <row r="8" spans="1:28" ht="22.5" customHeight="1">
      <c r="A8" s="101" t="s">
        <v>94</v>
      </c>
      <c r="B8" s="56" t="s">
        <v>49</v>
      </c>
      <c r="C8" s="101" t="s">
        <v>113</v>
      </c>
      <c r="D8" s="169">
        <f>'기성내역서(중앙_2권역 대행)'!D8+'기성내역서(수지-수원_시티_건가)'!D8+'기성내역서(2025열수송관_시티_건가)'!D8+'기성내역서(2024용인_지성_제조)'!D8+'기성내역서(2024용인_지성_건가)'!D8+'기성내역서(2024용인_지성_예수금)'!D8</f>
        <v>0</v>
      </c>
      <c r="E8" s="101" t="s">
        <v>53</v>
      </c>
      <c r="F8" s="107">
        <f t="shared" ref="F8:F27" si="1">W8</f>
        <v>2096059</v>
      </c>
      <c r="G8" s="107">
        <f t="shared" ref="G8:G27" si="2">F8*D8</f>
        <v>0</v>
      </c>
      <c r="H8" s="107">
        <f t="shared" ref="H8:H27" si="3">Y8</f>
        <v>651150</v>
      </c>
      <c r="I8" s="107">
        <f>D8*H8</f>
        <v>0</v>
      </c>
      <c r="J8" s="107">
        <f t="shared" ref="J8:J27" si="4">AA8</f>
        <v>61358</v>
      </c>
      <c r="K8" s="107">
        <f>D8*J8</f>
        <v>0</v>
      </c>
      <c r="L8" s="107">
        <f t="shared" ref="L8:L27" si="5">F8+H8+J8</f>
        <v>2808567</v>
      </c>
      <c r="M8" s="107">
        <f t="shared" ref="M8:M27" si="6">L8*D8</f>
        <v>0</v>
      </c>
      <c r="N8" s="110"/>
      <c r="P8">
        <v>2464842</v>
      </c>
      <c r="Q8">
        <v>9859368</v>
      </c>
      <c r="R8">
        <v>652455</v>
      </c>
      <c r="S8">
        <v>2609820</v>
      </c>
      <c r="T8">
        <v>72154</v>
      </c>
      <c r="U8">
        <v>288616</v>
      </c>
      <c r="W8">
        <f t="shared" ref="W8:W27" si="7">INT(P8*$V$6)</f>
        <v>2096059</v>
      </c>
      <c r="X8">
        <f t="shared" si="0"/>
        <v>8384238</v>
      </c>
      <c r="Y8">
        <f t="shared" ref="Y8:Y27" si="8">INT(R8*$V$4)</f>
        <v>651150</v>
      </c>
      <c r="Z8">
        <f t="shared" si="0"/>
        <v>2219346</v>
      </c>
      <c r="AA8">
        <f t="shared" si="0"/>
        <v>61358</v>
      </c>
      <c r="AB8">
        <f t="shared" si="0"/>
        <v>245434</v>
      </c>
    </row>
    <row r="9" spans="1:28" ht="22.5" customHeight="1">
      <c r="A9" s="101" t="s">
        <v>95</v>
      </c>
      <c r="B9" s="56" t="s">
        <v>49</v>
      </c>
      <c r="C9" s="101" t="s">
        <v>55</v>
      </c>
      <c r="D9" s="169">
        <f>'기성내역서(중앙_2권역 대행)'!D9+'기성내역서(수지-수원_시티_건가)'!D9+'기성내역서(2025열수송관_시티_건가)'!D9+'기성내역서(2024용인_지성_제조)'!D9+'기성내역서(2024용인_지성_건가)'!D9+'기성내역서(2024용인_지성_예수금)'!D9</f>
        <v>0</v>
      </c>
      <c r="E9" s="101" t="s">
        <v>53</v>
      </c>
      <c r="F9" s="107">
        <f t="shared" si="1"/>
        <v>2525128</v>
      </c>
      <c r="G9" s="107">
        <f t="shared" si="2"/>
        <v>0</v>
      </c>
      <c r="H9" s="107">
        <f t="shared" si="3"/>
        <v>732040</v>
      </c>
      <c r="I9" s="107">
        <f>D9*H9</f>
        <v>0</v>
      </c>
      <c r="J9" s="107">
        <f t="shared" si="4"/>
        <v>65243</v>
      </c>
      <c r="K9" s="107">
        <f>D9*J9</f>
        <v>0</v>
      </c>
      <c r="L9" s="107">
        <f t="shared" si="5"/>
        <v>3322411</v>
      </c>
      <c r="M9" s="107">
        <f t="shared" si="6"/>
        <v>0</v>
      </c>
      <c r="N9" s="110" t="s">
        <v>10</v>
      </c>
      <c r="P9">
        <v>2969401</v>
      </c>
      <c r="Q9">
        <v>11877604</v>
      </c>
      <c r="R9">
        <v>733508</v>
      </c>
      <c r="S9">
        <v>2934032</v>
      </c>
      <c r="T9">
        <v>76722</v>
      </c>
      <c r="U9">
        <v>306888</v>
      </c>
      <c r="W9">
        <f t="shared" si="7"/>
        <v>2525128</v>
      </c>
      <c r="X9">
        <f t="shared" si="0"/>
        <v>10100512</v>
      </c>
      <c r="Y9">
        <f t="shared" si="8"/>
        <v>732040</v>
      </c>
      <c r="Z9">
        <f t="shared" si="0"/>
        <v>2495050</v>
      </c>
      <c r="AA9">
        <f t="shared" si="0"/>
        <v>65243</v>
      </c>
      <c r="AB9">
        <f t="shared" si="0"/>
        <v>260972</v>
      </c>
    </row>
    <row r="10" spans="1:28" ht="22.5" customHeight="1">
      <c r="A10" s="101" t="s">
        <v>96</v>
      </c>
      <c r="B10" s="56" t="s">
        <v>49</v>
      </c>
      <c r="C10" s="101" t="s">
        <v>48</v>
      </c>
      <c r="D10" s="169">
        <f>'기성내역서(중앙_2권역 대행)'!D10+'기성내역서(수지-수원_시티_건가)'!D10+'기성내역서(2025열수송관_시티_건가)'!D10+'기성내역서(2024용인_지성_제조)'!D10+'기성내역서(2024용인_지성_건가)'!D10+'기성내역서(2024용인_지성_예수금)'!D10</f>
        <v>0</v>
      </c>
      <c r="E10" s="101" t="s">
        <v>53</v>
      </c>
      <c r="F10" s="107">
        <f t="shared" si="1"/>
        <v>3251378</v>
      </c>
      <c r="G10" s="107">
        <f t="shared" si="2"/>
        <v>0</v>
      </c>
      <c r="H10" s="107">
        <f t="shared" si="3"/>
        <v>774354</v>
      </c>
      <c r="I10" s="107">
        <f t="shared" ref="I10:I27" si="9">D10*H10</f>
        <v>0</v>
      </c>
      <c r="J10" s="107">
        <f t="shared" si="4"/>
        <v>77677</v>
      </c>
      <c r="K10" s="107">
        <f t="shared" ref="K10:K27" si="10">D10*J10</f>
        <v>0</v>
      </c>
      <c r="L10" s="107">
        <f t="shared" si="5"/>
        <v>4103409</v>
      </c>
      <c r="M10" s="107">
        <f t="shared" si="6"/>
        <v>0</v>
      </c>
      <c r="N10" s="110" t="s">
        <v>10</v>
      </c>
      <c r="P10">
        <v>3823428</v>
      </c>
      <c r="Q10">
        <v>15293712</v>
      </c>
      <c r="R10">
        <v>775906</v>
      </c>
      <c r="S10">
        <v>3103624</v>
      </c>
      <c r="T10">
        <v>91344</v>
      </c>
      <c r="U10">
        <v>365376</v>
      </c>
      <c r="W10">
        <f t="shared" si="7"/>
        <v>3251378</v>
      </c>
      <c r="X10">
        <f t="shared" si="0"/>
        <v>13005512</v>
      </c>
      <c r="Y10">
        <f t="shared" si="8"/>
        <v>774354</v>
      </c>
      <c r="Z10">
        <f t="shared" si="0"/>
        <v>2639268</v>
      </c>
      <c r="AA10">
        <f t="shared" si="0"/>
        <v>77677</v>
      </c>
      <c r="AB10">
        <f t="shared" si="0"/>
        <v>310709</v>
      </c>
    </row>
    <row r="11" spans="1:28" ht="22.5" customHeight="1">
      <c r="A11" s="101" t="s">
        <v>97</v>
      </c>
      <c r="B11" s="56" t="s">
        <v>49</v>
      </c>
      <c r="C11" s="101" t="s">
        <v>50</v>
      </c>
      <c r="D11" s="169">
        <f>'기성내역서(중앙_2권역 대행)'!D11+'기성내역서(수지-수원_시티_건가)'!D11+'기성내역서(2025열수송관_시티_건가)'!D11+'기성내역서(2024용인_지성_제조)'!D11+'기성내역서(2024용인_지성_건가)'!D11+'기성내역서(2024용인_지성_예수금)'!D11</f>
        <v>0</v>
      </c>
      <c r="E11" s="101" t="s">
        <v>53</v>
      </c>
      <c r="F11" s="107">
        <f t="shared" si="1"/>
        <v>3767327</v>
      </c>
      <c r="G11" s="107">
        <f t="shared" si="2"/>
        <v>0</v>
      </c>
      <c r="H11" s="107">
        <f t="shared" si="3"/>
        <v>835058</v>
      </c>
      <c r="I11" s="107">
        <f t="shared" si="9"/>
        <v>0</v>
      </c>
      <c r="J11" s="107">
        <f t="shared" si="4"/>
        <v>126235</v>
      </c>
      <c r="K11" s="107">
        <f t="shared" si="10"/>
        <v>0</v>
      </c>
      <c r="L11" s="107">
        <f t="shared" si="5"/>
        <v>4728620</v>
      </c>
      <c r="M11" s="107">
        <f t="shared" si="6"/>
        <v>0</v>
      </c>
      <c r="N11" s="110"/>
      <c r="P11">
        <v>4430154</v>
      </c>
      <c r="Q11">
        <v>53161848</v>
      </c>
      <c r="R11">
        <v>836732</v>
      </c>
      <c r="S11">
        <v>10040784</v>
      </c>
      <c r="T11">
        <v>148445</v>
      </c>
      <c r="U11">
        <v>1781340</v>
      </c>
      <c r="W11">
        <f t="shared" si="7"/>
        <v>3767327</v>
      </c>
      <c r="X11">
        <f t="shared" si="0"/>
        <v>45207930</v>
      </c>
      <c r="Y11">
        <f t="shared" si="8"/>
        <v>835058</v>
      </c>
      <c r="Z11">
        <f t="shared" si="0"/>
        <v>8538511</v>
      </c>
      <c r="AA11">
        <f t="shared" si="0"/>
        <v>126235</v>
      </c>
      <c r="AB11">
        <f t="shared" si="0"/>
        <v>1514821</v>
      </c>
    </row>
    <row r="12" spans="1:28" ht="22.5" customHeight="1">
      <c r="A12" s="101" t="s">
        <v>98</v>
      </c>
      <c r="B12" s="56" t="s">
        <v>49</v>
      </c>
      <c r="C12" s="101" t="s">
        <v>51</v>
      </c>
      <c r="D12" s="169">
        <f>'기성내역서(중앙_2권역 대행)'!D12+'기성내역서(수지-수원_시티_건가)'!D12+'기성내역서(2025열수송관_시티_건가)'!D12+'기성내역서(2024용인_지성_제조)'!D12+'기성내역서(2024용인_지성_건가)'!D12+'기성내역서(2024용인_지성_예수금)'!D12</f>
        <v>6</v>
      </c>
      <c r="E12" s="101" t="s">
        <v>53</v>
      </c>
      <c r="F12" s="107">
        <f t="shared" si="1"/>
        <v>4688285</v>
      </c>
      <c r="G12" s="107">
        <f t="shared" si="2"/>
        <v>28129710</v>
      </c>
      <c r="H12" s="107">
        <f t="shared" si="3"/>
        <v>938836</v>
      </c>
      <c r="I12" s="107">
        <f t="shared" si="9"/>
        <v>5633016</v>
      </c>
      <c r="J12" s="107">
        <f t="shared" si="4"/>
        <v>133031</v>
      </c>
      <c r="K12" s="107">
        <f t="shared" si="10"/>
        <v>798186</v>
      </c>
      <c r="L12" s="107">
        <f t="shared" si="5"/>
        <v>5760152</v>
      </c>
      <c r="M12" s="107">
        <f t="shared" si="6"/>
        <v>34560912</v>
      </c>
      <c r="N12" s="110"/>
      <c r="P12">
        <v>5513146</v>
      </c>
      <c r="Q12">
        <v>176420672</v>
      </c>
      <c r="R12">
        <v>940718</v>
      </c>
      <c r="S12">
        <v>30102976</v>
      </c>
      <c r="T12">
        <v>156437</v>
      </c>
      <c r="U12">
        <v>5005984</v>
      </c>
      <c r="W12">
        <f t="shared" si="7"/>
        <v>4688285</v>
      </c>
      <c r="X12">
        <f t="shared" si="0"/>
        <v>150025135</v>
      </c>
      <c r="Y12">
        <f t="shared" si="8"/>
        <v>938836</v>
      </c>
      <c r="Z12">
        <f t="shared" si="0"/>
        <v>25599058</v>
      </c>
      <c r="AA12">
        <f t="shared" si="0"/>
        <v>133031</v>
      </c>
      <c r="AB12">
        <f t="shared" si="0"/>
        <v>4257003</v>
      </c>
    </row>
    <row r="13" spans="1:28" ht="22.5" customHeight="1">
      <c r="A13" s="101" t="s">
        <v>99</v>
      </c>
      <c r="B13" s="56" t="s">
        <v>49</v>
      </c>
      <c r="C13" s="101" t="s">
        <v>52</v>
      </c>
      <c r="D13" s="169">
        <f>'기성내역서(중앙_2권역 대행)'!D13+'기성내역서(수지-수원_시티_건가)'!D13+'기성내역서(2025열수송관_시티_건가)'!D13+'기성내역서(2024용인_지성_제조)'!D13+'기성내역서(2024용인_지성_건가)'!D13+'기성내역서(2024용인_지성_예수금)'!D13</f>
        <v>2</v>
      </c>
      <c r="E13" s="101" t="s">
        <v>53</v>
      </c>
      <c r="F13" s="107">
        <f t="shared" si="1"/>
        <v>7175084</v>
      </c>
      <c r="G13" s="107">
        <f t="shared" si="2"/>
        <v>14350168</v>
      </c>
      <c r="H13" s="107">
        <f t="shared" si="3"/>
        <v>1344035</v>
      </c>
      <c r="I13" s="107">
        <f t="shared" si="9"/>
        <v>2688070</v>
      </c>
      <c r="J13" s="107">
        <f t="shared" si="4"/>
        <v>256626</v>
      </c>
      <c r="K13" s="107">
        <f t="shared" si="10"/>
        <v>513252</v>
      </c>
      <c r="L13" s="107">
        <f t="shared" si="5"/>
        <v>8775745</v>
      </c>
      <c r="M13" s="107">
        <f t="shared" si="6"/>
        <v>17551490</v>
      </c>
      <c r="N13" s="110" t="s">
        <v>10</v>
      </c>
      <c r="P13">
        <v>8437474</v>
      </c>
      <c r="Q13">
        <v>269999168</v>
      </c>
      <c r="R13">
        <v>1346729</v>
      </c>
      <c r="S13">
        <v>43095328</v>
      </c>
      <c r="T13">
        <v>301777</v>
      </c>
      <c r="U13">
        <v>9656864</v>
      </c>
      <c r="W13">
        <f t="shared" si="7"/>
        <v>7175084</v>
      </c>
      <c r="X13">
        <f t="shared" si="0"/>
        <v>229602694</v>
      </c>
      <c r="Y13">
        <f t="shared" si="8"/>
        <v>1344035</v>
      </c>
      <c r="Z13">
        <f t="shared" si="0"/>
        <v>36647533</v>
      </c>
      <c r="AA13">
        <f t="shared" si="0"/>
        <v>256626</v>
      </c>
      <c r="AB13">
        <f t="shared" si="0"/>
        <v>8212032</v>
      </c>
    </row>
    <row r="14" spans="1:28" ht="22.5" customHeight="1">
      <c r="A14" s="101" t="s">
        <v>100</v>
      </c>
      <c r="B14" s="56" t="s">
        <v>49</v>
      </c>
      <c r="C14" s="101" t="s">
        <v>23</v>
      </c>
      <c r="D14" s="169">
        <f>'기성내역서(중앙_2권역 대행)'!D14+'기성내역서(수지-수원_시티_건가)'!D14+'기성내역서(2025열수송관_시티_건가)'!D14+'기성내역서(2024용인_지성_제조)'!D14+'기성내역서(2024용인_지성_건가)'!D14+'기성내역서(2024용인_지성_예수금)'!D14</f>
        <v>0</v>
      </c>
      <c r="E14" s="101" t="s">
        <v>53</v>
      </c>
      <c r="F14" s="107">
        <f t="shared" si="1"/>
        <v>9658162</v>
      </c>
      <c r="G14" s="107">
        <f t="shared" si="2"/>
        <v>0</v>
      </c>
      <c r="H14" s="107">
        <f t="shared" si="3"/>
        <v>1485827</v>
      </c>
      <c r="I14" s="107">
        <f t="shared" si="9"/>
        <v>0</v>
      </c>
      <c r="J14" s="107">
        <f t="shared" si="4"/>
        <v>308857</v>
      </c>
      <c r="K14" s="107">
        <f t="shared" si="10"/>
        <v>0</v>
      </c>
      <c r="L14" s="107">
        <f t="shared" si="5"/>
        <v>11452846</v>
      </c>
      <c r="M14" s="107">
        <f t="shared" si="6"/>
        <v>0</v>
      </c>
      <c r="N14" s="110" t="s">
        <v>10</v>
      </c>
      <c r="P14">
        <v>11357427</v>
      </c>
      <c r="Q14">
        <v>204433686</v>
      </c>
      <c r="R14">
        <v>1488805</v>
      </c>
      <c r="S14">
        <v>26798490</v>
      </c>
      <c r="T14">
        <v>363198</v>
      </c>
      <c r="U14">
        <v>6537564</v>
      </c>
      <c r="W14">
        <f t="shared" si="7"/>
        <v>9658162</v>
      </c>
      <c r="X14">
        <f t="shared" si="0"/>
        <v>173846925</v>
      </c>
      <c r="Y14">
        <f t="shared" si="8"/>
        <v>1485827</v>
      </c>
      <c r="Z14">
        <f t="shared" si="0"/>
        <v>22788979</v>
      </c>
      <c r="AA14">
        <f t="shared" si="0"/>
        <v>308857</v>
      </c>
      <c r="AB14">
        <f t="shared" si="0"/>
        <v>5559433</v>
      </c>
    </row>
    <row r="15" spans="1:28" ht="22.5" customHeight="1">
      <c r="A15" s="101" t="s">
        <v>101</v>
      </c>
      <c r="B15" s="56" t="s">
        <v>49</v>
      </c>
      <c r="C15" s="101" t="s">
        <v>22</v>
      </c>
      <c r="D15" s="169">
        <f>'기성내역서(중앙_2권역 대행)'!D15+'기성내역서(수지-수원_시티_건가)'!D15+'기성내역서(2025열수송관_시티_건가)'!D15+'기성내역서(2024용인_지성_제조)'!D15+'기성내역서(2024용인_지성_건가)'!D15+'기성내역서(2024용인_지성_예수금)'!D15</f>
        <v>0</v>
      </c>
      <c r="E15" s="101" t="s">
        <v>53</v>
      </c>
      <c r="F15" s="107">
        <f t="shared" si="1"/>
        <v>12169198</v>
      </c>
      <c r="G15" s="107">
        <f t="shared" si="2"/>
        <v>0</v>
      </c>
      <c r="H15" s="107">
        <f t="shared" si="3"/>
        <v>1649432</v>
      </c>
      <c r="I15" s="107">
        <f t="shared" si="9"/>
        <v>0</v>
      </c>
      <c r="J15" s="107">
        <f t="shared" si="4"/>
        <v>341364</v>
      </c>
      <c r="K15" s="107">
        <f t="shared" si="10"/>
        <v>0</v>
      </c>
      <c r="L15" s="107">
        <f t="shared" si="5"/>
        <v>14159994</v>
      </c>
      <c r="M15" s="107">
        <f t="shared" si="6"/>
        <v>0</v>
      </c>
      <c r="N15" s="110" t="s">
        <v>10</v>
      </c>
      <c r="P15">
        <v>14310256</v>
      </c>
      <c r="Q15">
        <v>601030752</v>
      </c>
      <c r="R15">
        <v>1652738</v>
      </c>
      <c r="S15">
        <v>69414996</v>
      </c>
      <c r="T15">
        <v>401425</v>
      </c>
      <c r="U15">
        <v>16859850</v>
      </c>
      <c r="W15">
        <f t="shared" si="7"/>
        <v>12169198</v>
      </c>
      <c r="X15">
        <f t="shared" si="0"/>
        <v>511106316</v>
      </c>
      <c r="Y15">
        <f t="shared" si="8"/>
        <v>1649432</v>
      </c>
      <c r="Z15">
        <f t="shared" si="0"/>
        <v>59029330</v>
      </c>
      <c r="AA15">
        <f t="shared" si="0"/>
        <v>341364</v>
      </c>
      <c r="AB15">
        <f t="shared" si="0"/>
        <v>14337329</v>
      </c>
    </row>
    <row r="16" spans="1:28" ht="22.5" customHeight="1">
      <c r="A16" s="101" t="s">
        <v>102</v>
      </c>
      <c r="B16" s="56" t="s">
        <v>49</v>
      </c>
      <c r="C16" s="101" t="s">
        <v>26</v>
      </c>
      <c r="D16" s="169">
        <f>'기성내역서(중앙_2권역 대행)'!D16+'기성내역서(수지-수원_시티_건가)'!D16+'기성내역서(2025열수송관_시티_건가)'!D16+'기성내역서(2024용인_지성_제조)'!D16+'기성내역서(2024용인_지성_건가)'!D16+'기성내역서(2024용인_지성_예수금)'!D16</f>
        <v>0</v>
      </c>
      <c r="E16" s="101" t="s">
        <v>53</v>
      </c>
      <c r="F16" s="107">
        <f t="shared" si="1"/>
        <v>17976469</v>
      </c>
      <c r="G16" s="107">
        <f t="shared" si="2"/>
        <v>0</v>
      </c>
      <c r="H16" s="107">
        <f t="shared" si="3"/>
        <v>2270083</v>
      </c>
      <c r="I16" s="107">
        <f t="shared" si="9"/>
        <v>0</v>
      </c>
      <c r="J16" s="107">
        <f t="shared" si="4"/>
        <v>594821</v>
      </c>
      <c r="K16" s="107">
        <f t="shared" si="10"/>
        <v>0</v>
      </c>
      <c r="L16" s="107">
        <f t="shared" si="5"/>
        <v>20841373</v>
      </c>
      <c r="M16" s="107">
        <f t="shared" si="6"/>
        <v>0</v>
      </c>
      <c r="N16" s="110"/>
      <c r="P16">
        <v>21139263</v>
      </c>
      <c r="Q16">
        <v>465063786</v>
      </c>
      <c r="R16">
        <v>2274633</v>
      </c>
      <c r="S16">
        <v>50041926</v>
      </c>
      <c r="T16">
        <v>699475</v>
      </c>
      <c r="U16">
        <v>15388450</v>
      </c>
      <c r="W16">
        <f t="shared" si="7"/>
        <v>17976469</v>
      </c>
      <c r="X16">
        <f t="shared" si="0"/>
        <v>395482324</v>
      </c>
      <c r="Y16">
        <f t="shared" si="8"/>
        <v>2270083</v>
      </c>
      <c r="Z16">
        <f t="shared" si="0"/>
        <v>42554801</v>
      </c>
      <c r="AA16">
        <f t="shared" si="0"/>
        <v>594821</v>
      </c>
      <c r="AB16">
        <f t="shared" si="0"/>
        <v>13086075</v>
      </c>
    </row>
    <row r="17" spans="1:28" ht="22.5" customHeight="1">
      <c r="A17" s="101" t="s">
        <v>103</v>
      </c>
      <c r="B17" s="56" t="s">
        <v>49</v>
      </c>
      <c r="C17" s="101" t="s">
        <v>33</v>
      </c>
      <c r="D17" s="169">
        <f>'기성내역서(중앙_2권역 대행)'!D17+'기성내역서(수지-수원_시티_건가)'!D17+'기성내역서(2025열수송관_시티_건가)'!D17+'기성내역서(2024용인_지성_제조)'!D17+'기성내역서(2024용인_지성_건가)'!D17+'기성내역서(2024용인_지성_예수금)'!D17</f>
        <v>0</v>
      </c>
      <c r="E17" s="101" t="s">
        <v>53</v>
      </c>
      <c r="F17" s="107">
        <f t="shared" si="1"/>
        <v>18408234</v>
      </c>
      <c r="G17" s="107">
        <f t="shared" si="2"/>
        <v>0</v>
      </c>
      <c r="H17" s="107">
        <f t="shared" si="3"/>
        <v>2676868</v>
      </c>
      <c r="I17" s="107">
        <f t="shared" si="9"/>
        <v>0</v>
      </c>
      <c r="J17" s="107">
        <f t="shared" si="4"/>
        <v>664149</v>
      </c>
      <c r="K17" s="107">
        <f t="shared" si="10"/>
        <v>0</v>
      </c>
      <c r="L17" s="107">
        <f t="shared" si="5"/>
        <v>21749251</v>
      </c>
      <c r="M17" s="107">
        <f t="shared" si="6"/>
        <v>0</v>
      </c>
      <c r="N17" s="110" t="s">
        <v>10</v>
      </c>
      <c r="P17">
        <v>21646993</v>
      </c>
      <c r="Q17">
        <v>519527832</v>
      </c>
      <c r="R17">
        <v>2682233</v>
      </c>
      <c r="S17">
        <v>64373592</v>
      </c>
      <c r="T17">
        <v>781000</v>
      </c>
      <c r="U17">
        <v>18744000</v>
      </c>
      <c r="W17">
        <f t="shared" si="7"/>
        <v>18408234</v>
      </c>
      <c r="X17">
        <f t="shared" si="0"/>
        <v>441797621</v>
      </c>
      <c r="Y17">
        <f t="shared" si="8"/>
        <v>2676868</v>
      </c>
      <c r="Z17">
        <f t="shared" si="0"/>
        <v>54742206</v>
      </c>
      <c r="AA17">
        <f t="shared" si="0"/>
        <v>664149</v>
      </c>
      <c r="AB17">
        <f t="shared" si="0"/>
        <v>15939578</v>
      </c>
    </row>
    <row r="18" spans="1:28" ht="22.5" customHeight="1">
      <c r="A18" s="101" t="s">
        <v>104</v>
      </c>
      <c r="B18" s="56" t="s">
        <v>49</v>
      </c>
      <c r="C18" s="101" t="s">
        <v>32</v>
      </c>
      <c r="D18" s="169">
        <f>'기성내역서(중앙_2권역 대행)'!D18+'기성내역서(수지-수원_시티_건가)'!D18+'기성내역서(2025열수송관_시티_건가)'!D18+'기성내역서(2024용인_지성_제조)'!D18+'기성내역서(2024용인_지성_건가)'!D18+'기성내역서(2024용인_지성_예수금)'!D18</f>
        <v>0</v>
      </c>
      <c r="E18" s="101" t="s">
        <v>53</v>
      </c>
      <c r="F18" s="107">
        <f t="shared" si="1"/>
        <v>21589104</v>
      </c>
      <c r="G18" s="107">
        <f t="shared" si="2"/>
        <v>0</v>
      </c>
      <c r="H18" s="107">
        <f t="shared" si="3"/>
        <v>3082851</v>
      </c>
      <c r="I18" s="107">
        <f t="shared" si="9"/>
        <v>0</v>
      </c>
      <c r="J18" s="107">
        <f t="shared" si="4"/>
        <v>906276</v>
      </c>
      <c r="K18" s="107">
        <f t="shared" si="10"/>
        <v>0</v>
      </c>
      <c r="L18" s="107">
        <f t="shared" si="5"/>
        <v>25578231</v>
      </c>
      <c r="M18" s="107">
        <f t="shared" si="6"/>
        <v>0</v>
      </c>
      <c r="N18" s="110"/>
      <c r="P18">
        <v>25387508</v>
      </c>
      <c r="Q18">
        <v>304650096</v>
      </c>
      <c r="R18">
        <v>3089030</v>
      </c>
      <c r="S18">
        <v>37068360</v>
      </c>
      <c r="T18">
        <v>1065728</v>
      </c>
      <c r="U18">
        <v>12788736</v>
      </c>
      <c r="W18">
        <f t="shared" si="7"/>
        <v>21589104</v>
      </c>
      <c r="X18">
        <f t="shared" si="0"/>
        <v>259069253</v>
      </c>
      <c r="Y18">
        <f t="shared" si="8"/>
        <v>3082851</v>
      </c>
      <c r="Z18">
        <f t="shared" si="0"/>
        <v>31522302</v>
      </c>
      <c r="AA18">
        <f t="shared" si="0"/>
        <v>906276</v>
      </c>
      <c r="AB18">
        <f t="shared" si="0"/>
        <v>10875323</v>
      </c>
    </row>
    <row r="19" spans="1:28" ht="22.5" customHeight="1">
      <c r="A19" s="101" t="s">
        <v>105</v>
      </c>
      <c r="B19" s="56" t="s">
        <v>49</v>
      </c>
      <c r="C19" s="101" t="s">
        <v>31</v>
      </c>
      <c r="D19" s="169">
        <f>'기성내역서(중앙_2권역 대행)'!D19+'기성내역서(수지-수원_시티_건가)'!D19+'기성내역서(2025열수송관_시티_건가)'!D19+'기성내역서(2024용인_지성_제조)'!D19+'기성내역서(2024용인_지성_건가)'!D19+'기성내역서(2024용인_지성_예수금)'!D19</f>
        <v>2</v>
      </c>
      <c r="E19" s="101" t="s">
        <v>53</v>
      </c>
      <c r="F19" s="107">
        <f t="shared" si="1"/>
        <v>24638400</v>
      </c>
      <c r="G19" s="107">
        <f t="shared" si="2"/>
        <v>49276800</v>
      </c>
      <c r="H19" s="107">
        <f t="shared" si="3"/>
        <v>3861028</v>
      </c>
      <c r="I19" s="107">
        <f t="shared" si="9"/>
        <v>7722056</v>
      </c>
      <c r="J19" s="107">
        <f t="shared" si="4"/>
        <v>1047466</v>
      </c>
      <c r="K19" s="107">
        <f t="shared" si="10"/>
        <v>2094932</v>
      </c>
      <c r="L19" s="107">
        <f t="shared" si="5"/>
        <v>29546894</v>
      </c>
      <c r="M19" s="107">
        <f t="shared" si="6"/>
        <v>59093788</v>
      </c>
      <c r="N19" s="110"/>
      <c r="P19">
        <v>28973300</v>
      </c>
      <c r="Q19">
        <v>1100985400</v>
      </c>
      <c r="R19">
        <v>3868766</v>
      </c>
      <c r="S19">
        <v>147013108</v>
      </c>
      <c r="T19">
        <v>1231758</v>
      </c>
      <c r="U19">
        <v>46806804</v>
      </c>
      <c r="W19">
        <f t="shared" si="7"/>
        <v>24638400</v>
      </c>
      <c r="X19">
        <f t="shared" si="0"/>
        <v>936259235</v>
      </c>
      <c r="Y19">
        <f t="shared" si="8"/>
        <v>3861028</v>
      </c>
      <c r="Z19">
        <f t="shared" si="0"/>
        <v>125017443</v>
      </c>
      <c r="AA19">
        <f t="shared" si="0"/>
        <v>1047466</v>
      </c>
      <c r="AB19">
        <f t="shared" si="0"/>
        <v>39803709</v>
      </c>
    </row>
    <row r="20" spans="1:28" ht="22.5" customHeight="1">
      <c r="A20" s="101" t="s">
        <v>106</v>
      </c>
      <c r="B20" s="56" t="s">
        <v>49</v>
      </c>
      <c r="C20" s="101" t="s">
        <v>30</v>
      </c>
      <c r="D20" s="169">
        <f>'기성내역서(중앙_2권역 대행)'!D20+'기성내역서(수지-수원_시티_건가)'!D20+'기성내역서(2025열수송관_시티_건가)'!D20+'기성내역서(2024용인_지성_제조)'!D20+'기성내역서(2024용인_지성_건가)'!D20+'기성내역서(2024용인_지성_예수금)'!D20</f>
        <v>0</v>
      </c>
      <c r="E20" s="101" t="s">
        <v>53</v>
      </c>
      <c r="F20" s="107">
        <f t="shared" si="1"/>
        <v>25877998</v>
      </c>
      <c r="G20" s="107">
        <f t="shared" si="2"/>
        <v>0</v>
      </c>
      <c r="H20" s="107">
        <f t="shared" si="3"/>
        <v>4274693</v>
      </c>
      <c r="I20" s="107">
        <f t="shared" si="9"/>
        <v>0</v>
      </c>
      <c r="J20" s="107">
        <f t="shared" si="4"/>
        <v>1733663</v>
      </c>
      <c r="K20" s="107">
        <f t="shared" si="10"/>
        <v>0</v>
      </c>
      <c r="L20" s="107">
        <f t="shared" si="5"/>
        <v>31886354</v>
      </c>
      <c r="M20" s="107">
        <f t="shared" si="6"/>
        <v>0</v>
      </c>
      <c r="N20" s="110"/>
      <c r="P20">
        <v>30430993</v>
      </c>
      <c r="Q20">
        <v>121723972</v>
      </c>
      <c r="R20">
        <v>4283260</v>
      </c>
      <c r="S20">
        <v>17133040</v>
      </c>
      <c r="T20">
        <v>2038686</v>
      </c>
      <c r="U20">
        <v>8154744</v>
      </c>
      <c r="W20">
        <f t="shared" si="7"/>
        <v>25877998</v>
      </c>
      <c r="X20">
        <f t="shared" si="0"/>
        <v>103511992</v>
      </c>
      <c r="Y20">
        <f t="shared" si="8"/>
        <v>4274693</v>
      </c>
      <c r="Z20">
        <f t="shared" si="0"/>
        <v>14569645</v>
      </c>
      <c r="AA20">
        <f t="shared" si="0"/>
        <v>1733663</v>
      </c>
      <c r="AB20">
        <f t="shared" si="0"/>
        <v>6934655</v>
      </c>
    </row>
    <row r="21" spans="1:28" ht="22.5" customHeight="1">
      <c r="A21" s="101" t="s">
        <v>107</v>
      </c>
      <c r="B21" s="56" t="s">
        <v>49</v>
      </c>
      <c r="C21" s="101" t="s">
        <v>24</v>
      </c>
      <c r="D21" s="169">
        <f>'기성내역서(중앙_2권역 대행)'!D21+'기성내역서(수지-수원_시티_건가)'!D21+'기성내역서(2025열수송관_시티_건가)'!D21+'기성내역서(2024용인_지성_제조)'!D21+'기성내역서(2024용인_지성_건가)'!D21+'기성내역서(2024용인_지성_예수금)'!D21</f>
        <v>0</v>
      </c>
      <c r="E21" s="101" t="s">
        <v>53</v>
      </c>
      <c r="F21" s="107">
        <f t="shared" si="1"/>
        <v>32881624</v>
      </c>
      <c r="G21" s="107">
        <f t="shared" si="2"/>
        <v>0</v>
      </c>
      <c r="H21" s="107">
        <f t="shared" si="3"/>
        <v>5130868</v>
      </c>
      <c r="I21" s="107">
        <f t="shared" si="9"/>
        <v>0</v>
      </c>
      <c r="J21" s="107">
        <f t="shared" si="4"/>
        <v>1981912</v>
      </c>
      <c r="K21" s="107">
        <f t="shared" si="10"/>
        <v>0</v>
      </c>
      <c r="L21" s="107">
        <f t="shared" si="5"/>
        <v>39994404</v>
      </c>
      <c r="M21" s="107">
        <f t="shared" si="6"/>
        <v>0</v>
      </c>
      <c r="N21" s="110"/>
      <c r="P21">
        <v>38666843</v>
      </c>
      <c r="Q21">
        <v>773336860</v>
      </c>
      <c r="R21">
        <v>5141151</v>
      </c>
      <c r="S21">
        <v>102823020</v>
      </c>
      <c r="T21">
        <v>2330612</v>
      </c>
      <c r="U21">
        <v>46612240</v>
      </c>
      <c r="W21">
        <f t="shared" si="7"/>
        <v>32881624</v>
      </c>
      <c r="X21">
        <f t="shared" si="0"/>
        <v>657632496</v>
      </c>
      <c r="Y21">
        <f t="shared" si="8"/>
        <v>5130868</v>
      </c>
      <c r="Z21">
        <f t="shared" si="0"/>
        <v>87438945</v>
      </c>
      <c r="AA21">
        <f t="shared" si="0"/>
        <v>1981912</v>
      </c>
      <c r="AB21">
        <f t="shared" si="0"/>
        <v>39638255</v>
      </c>
    </row>
    <row r="22" spans="1:28" ht="22.5" customHeight="1">
      <c r="A22" s="101" t="s">
        <v>108</v>
      </c>
      <c r="B22" s="56" t="s">
        <v>49</v>
      </c>
      <c r="C22" s="101" t="s">
        <v>29</v>
      </c>
      <c r="D22" s="169">
        <f>'기성내역서(중앙_2권역 대행)'!D22+'기성내역서(수지-수원_시티_건가)'!D22+'기성내역서(2025열수송관_시티_건가)'!D22+'기성내역서(2024용인_지성_제조)'!D22+'기성내역서(2024용인_지성_건가)'!D22+'기성내역서(2024용인_지성_예수금)'!D22</f>
        <v>0</v>
      </c>
      <c r="E22" s="101" t="s">
        <v>53</v>
      </c>
      <c r="F22" s="107">
        <f t="shared" si="1"/>
        <v>34983928</v>
      </c>
      <c r="G22" s="107">
        <f t="shared" si="2"/>
        <v>0</v>
      </c>
      <c r="H22" s="107">
        <f t="shared" si="3"/>
        <v>5548044</v>
      </c>
      <c r="I22" s="107">
        <f t="shared" si="9"/>
        <v>0</v>
      </c>
      <c r="J22" s="107">
        <f t="shared" si="4"/>
        <v>2455665</v>
      </c>
      <c r="K22" s="107">
        <f t="shared" si="10"/>
        <v>0</v>
      </c>
      <c r="L22" s="107">
        <f t="shared" si="5"/>
        <v>42987637</v>
      </c>
      <c r="M22" s="107">
        <f t="shared" si="6"/>
        <v>0</v>
      </c>
      <c r="N22" s="110"/>
      <c r="P22">
        <v>41139028</v>
      </c>
      <c r="Q22">
        <v>0</v>
      </c>
      <c r="R22">
        <v>5559163</v>
      </c>
      <c r="S22">
        <v>0</v>
      </c>
      <c r="T22">
        <v>2887717</v>
      </c>
      <c r="U22">
        <v>0</v>
      </c>
      <c r="W22">
        <f t="shared" si="7"/>
        <v>34983928</v>
      </c>
      <c r="X22">
        <f t="shared" si="0"/>
        <v>0</v>
      </c>
      <c r="Y22">
        <f t="shared" si="8"/>
        <v>5548044</v>
      </c>
      <c r="Z22">
        <f t="shared" si="0"/>
        <v>0</v>
      </c>
      <c r="AA22">
        <f t="shared" si="0"/>
        <v>2455665</v>
      </c>
      <c r="AB22">
        <f t="shared" si="0"/>
        <v>0</v>
      </c>
    </row>
    <row r="23" spans="1:28" ht="22.5" customHeight="1">
      <c r="A23" s="101" t="s">
        <v>109</v>
      </c>
      <c r="B23" s="56" t="s">
        <v>49</v>
      </c>
      <c r="C23" s="101" t="s">
        <v>119</v>
      </c>
      <c r="D23" s="169">
        <f>'기성내역서(중앙_2권역 대행)'!D23+'기성내역서(수지-수원_시티_건가)'!D23+'기성내역서(2025열수송관_시티_건가)'!D23+'기성내역서(2024용인_지성_제조)'!D23+'기성내역서(2024용인_지성_건가)'!D23+'기성내역서(2024용인_지성_예수금)'!D23</f>
        <v>14</v>
      </c>
      <c r="E23" s="101" t="s">
        <v>53</v>
      </c>
      <c r="F23" s="107">
        <f t="shared" si="1"/>
        <v>38815548</v>
      </c>
      <c r="G23" s="107">
        <f t="shared" si="2"/>
        <v>543417672</v>
      </c>
      <c r="H23" s="107">
        <f t="shared" si="3"/>
        <v>5926788</v>
      </c>
      <c r="I23" s="107">
        <f t="shared" si="9"/>
        <v>82975032</v>
      </c>
      <c r="J23" s="107">
        <f t="shared" si="4"/>
        <v>2662404</v>
      </c>
      <c r="K23" s="107">
        <f t="shared" si="10"/>
        <v>37273656</v>
      </c>
      <c r="L23" s="107">
        <f t="shared" si="5"/>
        <v>47404740</v>
      </c>
      <c r="M23" s="107">
        <f t="shared" si="6"/>
        <v>663666360</v>
      </c>
      <c r="N23" s="110"/>
      <c r="P23">
        <v>45644786</v>
      </c>
      <c r="Q23">
        <v>1278054008</v>
      </c>
      <c r="R23">
        <v>5938666</v>
      </c>
      <c r="S23">
        <v>166282648</v>
      </c>
      <c r="T23">
        <v>3130830</v>
      </c>
      <c r="U23">
        <v>87663240</v>
      </c>
      <c r="W23">
        <f t="shared" si="7"/>
        <v>38815548</v>
      </c>
      <c r="X23">
        <f t="shared" ref="X23:X27" si="11">INT(Q23*$V$6)</f>
        <v>1086835364</v>
      </c>
      <c r="Y23">
        <f t="shared" si="8"/>
        <v>5926788</v>
      </c>
      <c r="Z23">
        <f t="shared" ref="Z23:Z27" si="12">INT(S23*$V$6)</f>
        <v>141403932</v>
      </c>
      <c r="AA23">
        <f t="shared" ref="AA23:AA27" si="13">INT(T23*$V$6)</f>
        <v>2662404</v>
      </c>
      <c r="AB23">
        <f t="shared" ref="AB23:AB27" si="14">INT(U23*$V$6)</f>
        <v>74547326</v>
      </c>
    </row>
    <row r="24" spans="1:28" ht="22.5" customHeight="1">
      <c r="A24" s="101" t="s">
        <v>110</v>
      </c>
      <c r="B24" s="56" t="s">
        <v>49</v>
      </c>
      <c r="C24" s="101" t="s">
        <v>28</v>
      </c>
      <c r="D24" s="169">
        <f>'기성내역서(중앙_2권역 대행)'!D24+'기성내역서(수지-수원_시티_건가)'!D24+'기성내역서(2025열수송관_시티_건가)'!D24+'기성내역서(2024용인_지성_제조)'!D24+'기성내역서(2024용인_지성_건가)'!D24+'기성내역서(2024용인_지성_예수금)'!D24</f>
        <v>0</v>
      </c>
      <c r="E24" s="101" t="s">
        <v>53</v>
      </c>
      <c r="F24" s="107">
        <f t="shared" si="1"/>
        <v>44317123</v>
      </c>
      <c r="G24" s="107">
        <f t="shared" si="2"/>
        <v>0</v>
      </c>
      <c r="H24" s="107">
        <f t="shared" si="3"/>
        <v>6423413</v>
      </c>
      <c r="I24" s="107">
        <f t="shared" si="9"/>
        <v>0</v>
      </c>
      <c r="J24" s="107">
        <f t="shared" si="4"/>
        <v>4659138</v>
      </c>
      <c r="K24" s="107">
        <f t="shared" si="10"/>
        <v>0</v>
      </c>
      <c r="L24" s="107">
        <f t="shared" si="5"/>
        <v>55399674</v>
      </c>
      <c r="M24" s="107">
        <f t="shared" si="6"/>
        <v>0</v>
      </c>
      <c r="N24" s="110"/>
      <c r="P24">
        <v>52114312</v>
      </c>
      <c r="Q24">
        <v>0</v>
      </c>
      <c r="R24">
        <v>6436286</v>
      </c>
      <c r="S24">
        <v>0</v>
      </c>
      <c r="T24">
        <v>5478871</v>
      </c>
      <c r="U24">
        <v>0</v>
      </c>
      <c r="W24">
        <f t="shared" si="7"/>
        <v>44317123</v>
      </c>
      <c r="X24">
        <f t="shared" si="11"/>
        <v>0</v>
      </c>
      <c r="Y24">
        <f t="shared" si="8"/>
        <v>6423413</v>
      </c>
      <c r="Z24">
        <f t="shared" si="12"/>
        <v>0</v>
      </c>
      <c r="AA24">
        <f t="shared" si="13"/>
        <v>4659138</v>
      </c>
      <c r="AB24">
        <f t="shared" si="14"/>
        <v>0</v>
      </c>
    </row>
    <row r="25" spans="1:28" ht="22.5" customHeight="1">
      <c r="A25" s="101" t="s">
        <v>111</v>
      </c>
      <c r="B25" s="56" t="s">
        <v>49</v>
      </c>
      <c r="C25" s="101" t="s">
        <v>27</v>
      </c>
      <c r="D25" s="169">
        <f>'기성내역서(중앙_2권역 대행)'!D25+'기성내역서(수지-수원_시티_건가)'!D25+'기성내역서(2025열수송관_시티_건가)'!D25+'기성내역서(2024용인_지성_제조)'!D25+'기성내역서(2024용인_지성_건가)'!D25+'기성내역서(2024용인_지성_예수금)'!D25</f>
        <v>0</v>
      </c>
      <c r="E25" s="101" t="s">
        <v>53</v>
      </c>
      <c r="F25" s="107">
        <f t="shared" si="1"/>
        <v>47002938</v>
      </c>
      <c r="G25" s="107">
        <f t="shared" si="2"/>
        <v>0</v>
      </c>
      <c r="H25" s="107">
        <f t="shared" si="3"/>
        <v>6754833</v>
      </c>
      <c r="I25" s="107">
        <f t="shared" si="9"/>
        <v>0</v>
      </c>
      <c r="J25" s="107">
        <f t="shared" si="4"/>
        <v>4931649</v>
      </c>
      <c r="K25" s="107">
        <f t="shared" si="10"/>
        <v>0</v>
      </c>
      <c r="L25" s="107">
        <f t="shared" si="5"/>
        <v>58689420</v>
      </c>
      <c r="M25" s="107">
        <f t="shared" si="6"/>
        <v>0</v>
      </c>
      <c r="N25" s="110"/>
      <c r="P25">
        <v>55272671</v>
      </c>
      <c r="Q25">
        <v>0</v>
      </c>
      <c r="R25">
        <v>6768370</v>
      </c>
      <c r="S25">
        <v>0</v>
      </c>
      <c r="T25">
        <v>5799328</v>
      </c>
      <c r="U25">
        <v>0</v>
      </c>
      <c r="W25">
        <f t="shared" si="7"/>
        <v>47002938</v>
      </c>
      <c r="X25">
        <f t="shared" si="11"/>
        <v>0</v>
      </c>
      <c r="Y25">
        <f t="shared" si="8"/>
        <v>6754833</v>
      </c>
      <c r="Z25">
        <f t="shared" si="12"/>
        <v>0</v>
      </c>
      <c r="AA25">
        <f t="shared" si="13"/>
        <v>4931649</v>
      </c>
      <c r="AB25">
        <f t="shared" si="14"/>
        <v>0</v>
      </c>
    </row>
    <row r="26" spans="1:28" ht="22.5" customHeight="1">
      <c r="A26" s="101" t="s">
        <v>112</v>
      </c>
      <c r="B26" s="56" t="s">
        <v>49</v>
      </c>
      <c r="C26" s="101" t="s">
        <v>25</v>
      </c>
      <c r="D26" s="169">
        <f>'기성내역서(중앙_2권역 대행)'!D26+'기성내역서(수지-수원_시티_건가)'!D26+'기성내역서(2025열수송관_시티_건가)'!D26+'기성내역서(2024용인_지성_제조)'!D26+'기성내역서(2024용인_지성_건가)'!D26+'기성내역서(2024용인_지성_예수금)'!D26</f>
        <v>0</v>
      </c>
      <c r="E26" s="101" t="s">
        <v>53</v>
      </c>
      <c r="F26" s="107">
        <f t="shared" si="1"/>
        <v>56158837</v>
      </c>
      <c r="G26" s="107">
        <f t="shared" si="2"/>
        <v>0</v>
      </c>
      <c r="H26" s="107">
        <f t="shared" si="3"/>
        <v>7151107</v>
      </c>
      <c r="I26" s="107">
        <f t="shared" si="9"/>
        <v>0</v>
      </c>
      <c r="J26" s="107">
        <f t="shared" si="4"/>
        <v>5363774</v>
      </c>
      <c r="K26" s="107">
        <f t="shared" si="10"/>
        <v>0</v>
      </c>
      <c r="L26" s="107">
        <f t="shared" si="5"/>
        <v>68673718</v>
      </c>
      <c r="M26" s="107">
        <f t="shared" si="6"/>
        <v>0</v>
      </c>
      <c r="N26" s="110"/>
      <c r="P26">
        <v>66039466</v>
      </c>
      <c r="Q26">
        <v>132078932</v>
      </c>
      <c r="R26">
        <v>7165438</v>
      </c>
      <c r="S26">
        <v>14330876</v>
      </c>
      <c r="T26">
        <v>6307481</v>
      </c>
      <c r="U26">
        <v>12614962</v>
      </c>
      <c r="W26">
        <f t="shared" si="7"/>
        <v>56158837</v>
      </c>
      <c r="X26">
        <f t="shared" si="11"/>
        <v>112317674</v>
      </c>
      <c r="Y26">
        <f t="shared" si="8"/>
        <v>7151107</v>
      </c>
      <c r="Z26">
        <f t="shared" si="12"/>
        <v>12186732</v>
      </c>
      <c r="AA26">
        <f t="shared" si="13"/>
        <v>5363774</v>
      </c>
      <c r="AB26">
        <f t="shared" si="14"/>
        <v>10727548</v>
      </c>
    </row>
    <row r="27" spans="1:28" ht="22.5" customHeight="1">
      <c r="A27" s="101" t="s">
        <v>128</v>
      </c>
      <c r="B27" s="56" t="s">
        <v>49</v>
      </c>
      <c r="C27" s="101" t="s">
        <v>129</v>
      </c>
      <c r="D27" s="169">
        <f>'기성내역서(중앙_2권역 대행)'!D27+'기성내역서(수지-수원_시티_건가)'!D27+'기성내역서(2025열수송관_시티_건가)'!D27+'기성내역서(2024용인_지성_제조)'!D27+'기성내역서(2024용인_지성_건가)'!D27+'기성내역서(2024용인_지성_예수금)'!D27</f>
        <v>0</v>
      </c>
      <c r="E27" s="101" t="s">
        <v>53</v>
      </c>
      <c r="F27" s="107">
        <f t="shared" si="1"/>
        <v>67252461</v>
      </c>
      <c r="G27" s="107">
        <f t="shared" si="2"/>
        <v>0</v>
      </c>
      <c r="H27" s="107">
        <f t="shared" si="3"/>
        <v>7451208</v>
      </c>
      <c r="I27" s="107">
        <f t="shared" si="9"/>
        <v>0</v>
      </c>
      <c r="J27" s="107">
        <f t="shared" si="4"/>
        <v>5562272</v>
      </c>
      <c r="K27" s="107">
        <f t="shared" si="10"/>
        <v>0</v>
      </c>
      <c r="L27" s="107">
        <f t="shared" si="5"/>
        <v>80265941</v>
      </c>
      <c r="M27" s="107">
        <f t="shared" si="6"/>
        <v>0</v>
      </c>
      <c r="N27" s="110"/>
      <c r="P27">
        <v>79084911</v>
      </c>
      <c r="Q27">
        <v>0</v>
      </c>
      <c r="R27">
        <v>7466141</v>
      </c>
      <c r="S27">
        <v>0</v>
      </c>
      <c r="T27">
        <v>6540903</v>
      </c>
      <c r="U27">
        <v>0</v>
      </c>
      <c r="W27">
        <f t="shared" si="7"/>
        <v>67252461</v>
      </c>
      <c r="X27">
        <f t="shared" si="11"/>
        <v>0</v>
      </c>
      <c r="Y27">
        <f t="shared" si="8"/>
        <v>7451208</v>
      </c>
      <c r="Z27">
        <f t="shared" si="12"/>
        <v>0</v>
      </c>
      <c r="AA27">
        <f t="shared" si="13"/>
        <v>5562272</v>
      </c>
      <c r="AB27">
        <f t="shared" si="14"/>
        <v>0</v>
      </c>
    </row>
    <row r="28" spans="1:28" ht="22.5" customHeight="1">
      <c r="A28" s="101"/>
      <c r="B28" s="56" t="s">
        <v>116</v>
      </c>
      <c r="C28" s="101"/>
      <c r="D28" s="169">
        <f>'기성내역서(수지-수원_시티_건가)'!D28+'기성내역서(2025열수송관_시티_건가)'!D28+'기성내역서(2024용인_지성_제조)'!D28+'기성내역서(중앙_2권역 대행)'!D28</f>
        <v>24</v>
      </c>
      <c r="E28" s="101"/>
      <c r="F28" s="119"/>
      <c r="G28" s="107">
        <f>SUM(G7:G27)</f>
        <v>635174350</v>
      </c>
      <c r="H28" s="107"/>
      <c r="I28" s="107">
        <f>SUM(I7:I27)</f>
        <v>99018174</v>
      </c>
      <c r="J28" s="107"/>
      <c r="K28" s="107">
        <f>SUM(K7:K27)</f>
        <v>40680026</v>
      </c>
      <c r="L28" s="107"/>
      <c r="M28" s="107">
        <f>SUM(M7:M27)</f>
        <v>774872550</v>
      </c>
      <c r="N28" s="110"/>
      <c r="Q28">
        <v>6048633596</v>
      </c>
      <c r="S28">
        <v>794466200</v>
      </c>
      <c r="U28">
        <v>289886458</v>
      </c>
    </row>
    <row r="29" spans="1:28" ht="22.5" customHeight="1">
      <c r="A29" s="102" t="s">
        <v>117</v>
      </c>
      <c r="B29" s="102" t="s">
        <v>118</v>
      </c>
      <c r="C29" s="103" t="s">
        <v>10</v>
      </c>
      <c r="D29" s="105" t="s">
        <v>10</v>
      </c>
      <c r="E29" s="105" t="s">
        <v>10</v>
      </c>
      <c r="F29" s="111"/>
      <c r="G29" s="111" t="s">
        <v>10</v>
      </c>
      <c r="H29" s="111"/>
      <c r="I29" s="111" t="s">
        <v>10</v>
      </c>
      <c r="J29" s="111" t="s">
        <v>10</v>
      </c>
      <c r="K29" s="111" t="s">
        <v>10</v>
      </c>
      <c r="L29" s="111" t="s">
        <v>10</v>
      </c>
      <c r="M29" s="111" t="s">
        <v>10</v>
      </c>
      <c r="N29" s="112" t="s">
        <v>10</v>
      </c>
      <c r="P29" t="s">
        <v>10</v>
      </c>
      <c r="Q29" t="s">
        <v>10</v>
      </c>
      <c r="R29" t="s">
        <v>10</v>
      </c>
      <c r="S29" t="s">
        <v>10</v>
      </c>
      <c r="T29" t="s">
        <v>10</v>
      </c>
      <c r="U29" t="s">
        <v>10</v>
      </c>
    </row>
    <row r="30" spans="1:28" ht="22.5" customHeight="1">
      <c r="A30" s="101" t="s">
        <v>379</v>
      </c>
      <c r="B30" s="56" t="s">
        <v>49</v>
      </c>
      <c r="C30" s="101" t="s">
        <v>114</v>
      </c>
      <c r="D30" s="169">
        <f>'기성내역서(중앙_2권역 대행)'!D30+'기성내역서(수지-수원_시티_건가)'!D30+'기성내역서(2025열수송관_시티_건가)'!D30+'기성내역서(2024용인_지성_제조)'!D30+'기성내역서(2024용인_지성_건가)'!D30+'기성내역서(2024용인_지성_예수금)'!D30</f>
        <v>0</v>
      </c>
      <c r="E30" s="101" t="s">
        <v>53</v>
      </c>
      <c r="F30" s="107">
        <f t="shared" ref="F30:F43" si="15">W30</f>
        <v>473488</v>
      </c>
      <c r="G30" s="107">
        <f t="shared" ref="G30:G43" si="16">F30*D30</f>
        <v>0</v>
      </c>
      <c r="H30" s="107">
        <f t="shared" ref="H30:H43" si="17">Y30</f>
        <v>632217</v>
      </c>
      <c r="I30" s="107">
        <f t="shared" ref="I30:I43" si="18">D30*H30</f>
        <v>0</v>
      </c>
      <c r="J30" s="107">
        <f t="shared" ref="J30:J43" si="19">AA30</f>
        <v>13220</v>
      </c>
      <c r="K30" s="107">
        <f t="shared" ref="K30:K43" si="20">D30*J30</f>
        <v>0</v>
      </c>
      <c r="L30" s="107">
        <f t="shared" ref="L30:L43" si="21">F30+H30+J30</f>
        <v>1118925</v>
      </c>
      <c r="M30" s="107">
        <f t="shared" ref="M30:M43" si="22">L30*D30</f>
        <v>0</v>
      </c>
      <c r="N30" s="110"/>
      <c r="P30">
        <v>556795</v>
      </c>
      <c r="Q30">
        <v>0</v>
      </c>
      <c r="R30">
        <v>633484</v>
      </c>
      <c r="S30">
        <v>0</v>
      </c>
      <c r="T30">
        <v>15547</v>
      </c>
      <c r="U30">
        <v>0</v>
      </c>
      <c r="W30">
        <f t="shared" ref="W30:W43" si="23">INT(P30*$V$6)</f>
        <v>473488</v>
      </c>
      <c r="X30">
        <f t="shared" ref="X30:X43" si="24">INT(Q30*$V$6)</f>
        <v>0</v>
      </c>
      <c r="Y30">
        <f t="shared" ref="Y30:Y43" si="25">INT(R30*$V$4)</f>
        <v>632217</v>
      </c>
      <c r="Z30">
        <f t="shared" ref="Z30:Z43" si="26">INT(S30*$V$6)</f>
        <v>0</v>
      </c>
      <c r="AA30">
        <f t="shared" ref="AA30:AA43" si="27">INT(T30*$V$6)</f>
        <v>13220</v>
      </c>
      <c r="AB30">
        <f t="shared" ref="AB30:AB43" si="28">INT(U30*$V$6)</f>
        <v>0</v>
      </c>
    </row>
    <row r="31" spans="1:28" ht="22.5" customHeight="1">
      <c r="A31" s="101" t="s">
        <v>362</v>
      </c>
      <c r="B31" s="56" t="s">
        <v>49</v>
      </c>
      <c r="C31" s="101" t="s">
        <v>113</v>
      </c>
      <c r="D31" s="169">
        <f>'기성내역서(중앙_2권역 대행)'!D31+'기성내역서(수지-수원_시티_건가)'!D31+'기성내역서(2025열수송관_시티_건가)'!D31+'기성내역서(2024용인_지성_제조)'!D31+'기성내역서(2024용인_지성_건가)'!D31+'기성내역서(2024용인_지성_예수금)'!D31</f>
        <v>0</v>
      </c>
      <c r="E31" s="101" t="s">
        <v>53</v>
      </c>
      <c r="F31" s="107">
        <f t="shared" si="15"/>
        <v>2096059</v>
      </c>
      <c r="G31" s="107">
        <f t="shared" si="16"/>
        <v>0</v>
      </c>
      <c r="H31" s="107">
        <f t="shared" si="17"/>
        <v>1176471</v>
      </c>
      <c r="I31" s="107">
        <f t="shared" si="18"/>
        <v>0</v>
      </c>
      <c r="J31" s="107">
        <f t="shared" si="19"/>
        <v>61358</v>
      </c>
      <c r="K31" s="107">
        <f t="shared" si="20"/>
        <v>0</v>
      </c>
      <c r="L31" s="107">
        <f t="shared" si="21"/>
        <v>3333888</v>
      </c>
      <c r="M31" s="107">
        <f t="shared" si="22"/>
        <v>0</v>
      </c>
      <c r="N31" s="110"/>
      <c r="P31">
        <v>2464842</v>
      </c>
      <c r="Q31">
        <v>0</v>
      </c>
      <c r="R31">
        <v>1178829</v>
      </c>
      <c r="S31">
        <v>0</v>
      </c>
      <c r="T31">
        <v>72154</v>
      </c>
      <c r="U31">
        <v>0</v>
      </c>
      <c r="W31">
        <f t="shared" si="23"/>
        <v>2096059</v>
      </c>
      <c r="X31">
        <f t="shared" si="24"/>
        <v>0</v>
      </c>
      <c r="Y31">
        <f t="shared" si="25"/>
        <v>1176471</v>
      </c>
      <c r="Z31">
        <f t="shared" si="26"/>
        <v>0</v>
      </c>
      <c r="AA31">
        <f t="shared" si="27"/>
        <v>61358</v>
      </c>
      <c r="AB31">
        <f t="shared" si="28"/>
        <v>0</v>
      </c>
    </row>
    <row r="32" spans="1:28" ht="22.5" customHeight="1">
      <c r="A32" s="101" t="s">
        <v>265</v>
      </c>
      <c r="B32" s="56" t="s">
        <v>49</v>
      </c>
      <c r="C32" s="101" t="s">
        <v>51</v>
      </c>
      <c r="D32" s="169">
        <f>'기성내역서(중앙_2권역 대행)'!D32+'기성내역서(수지-수원_시티_건가)'!D32+'기성내역서(2025열수송관_시티_건가)'!D32+'기성내역서(2024용인_지성_제조)'!D32+'기성내역서(2024용인_지성_건가)'!D32+'기성내역서(2024용인_지성_예수금)'!D32</f>
        <v>0</v>
      </c>
      <c r="E32" s="101" t="s">
        <v>53</v>
      </c>
      <c r="F32" s="107">
        <f t="shared" si="15"/>
        <v>4688285</v>
      </c>
      <c r="G32" s="107">
        <f t="shared" si="16"/>
        <v>0</v>
      </c>
      <c r="H32" s="107">
        <f t="shared" si="17"/>
        <v>1698490</v>
      </c>
      <c r="I32" s="107">
        <f t="shared" si="18"/>
        <v>0</v>
      </c>
      <c r="J32" s="107">
        <f t="shared" si="19"/>
        <v>133030</v>
      </c>
      <c r="K32" s="107">
        <f t="shared" si="20"/>
        <v>0</v>
      </c>
      <c r="L32" s="107">
        <f t="shared" si="21"/>
        <v>6519805</v>
      </c>
      <c r="M32" s="107">
        <f t="shared" si="22"/>
        <v>0</v>
      </c>
      <c r="N32" s="110"/>
      <c r="P32">
        <v>5513146</v>
      </c>
      <c r="Q32">
        <v>22052584</v>
      </c>
      <c r="R32">
        <v>1701894</v>
      </c>
      <c r="S32">
        <v>6807576</v>
      </c>
      <c r="T32">
        <v>156436</v>
      </c>
      <c r="U32">
        <v>625744</v>
      </c>
      <c r="W32">
        <f t="shared" si="23"/>
        <v>4688285</v>
      </c>
      <c r="X32">
        <f t="shared" si="24"/>
        <v>18753141</v>
      </c>
      <c r="Y32">
        <f t="shared" si="25"/>
        <v>1698490</v>
      </c>
      <c r="Z32">
        <f t="shared" si="26"/>
        <v>5789046</v>
      </c>
      <c r="AA32">
        <f t="shared" si="27"/>
        <v>133030</v>
      </c>
      <c r="AB32">
        <f t="shared" si="28"/>
        <v>532122</v>
      </c>
    </row>
    <row r="33" spans="1:28" ht="22.5" customHeight="1">
      <c r="A33" s="101" t="s">
        <v>266</v>
      </c>
      <c r="B33" s="56" t="s">
        <v>49</v>
      </c>
      <c r="C33" s="101" t="s">
        <v>52</v>
      </c>
      <c r="D33" s="169">
        <f>'기성내역서(중앙_2권역 대행)'!D33+'기성내역서(수지-수원_시티_건가)'!D33+'기성내역서(2025열수송관_시티_건가)'!D33+'기성내역서(2024용인_지성_제조)'!D33+'기성내역서(2024용인_지성_건가)'!D33+'기성내역서(2024용인_지성_예수금)'!D33</f>
        <v>4</v>
      </c>
      <c r="E33" s="101" t="s">
        <v>53</v>
      </c>
      <c r="F33" s="107">
        <f t="shared" si="15"/>
        <v>7175084</v>
      </c>
      <c r="G33" s="107">
        <f t="shared" si="16"/>
        <v>28700336</v>
      </c>
      <c r="H33" s="107">
        <f t="shared" si="17"/>
        <v>2392787</v>
      </c>
      <c r="I33" s="107">
        <f t="shared" si="18"/>
        <v>9571148</v>
      </c>
      <c r="J33" s="107">
        <f t="shared" si="19"/>
        <v>256626</v>
      </c>
      <c r="K33" s="107">
        <f t="shared" si="20"/>
        <v>1026504</v>
      </c>
      <c r="L33" s="107">
        <f t="shared" si="21"/>
        <v>9824497</v>
      </c>
      <c r="M33" s="107">
        <f t="shared" si="22"/>
        <v>39297988</v>
      </c>
      <c r="N33" s="110"/>
      <c r="P33">
        <v>8437474</v>
      </c>
      <c r="Q33">
        <v>33749896</v>
      </c>
      <c r="R33">
        <v>2397583</v>
      </c>
      <c r="S33">
        <v>9590332</v>
      </c>
      <c r="T33">
        <v>301778</v>
      </c>
      <c r="U33">
        <v>1207112</v>
      </c>
      <c r="W33">
        <f t="shared" si="23"/>
        <v>7175084</v>
      </c>
      <c r="X33">
        <f t="shared" si="24"/>
        <v>28700336</v>
      </c>
      <c r="Y33">
        <f t="shared" si="25"/>
        <v>2392787</v>
      </c>
      <c r="Z33">
        <f t="shared" si="26"/>
        <v>8155455</v>
      </c>
      <c r="AA33">
        <f t="shared" si="27"/>
        <v>256626</v>
      </c>
      <c r="AB33">
        <f t="shared" si="28"/>
        <v>1026507</v>
      </c>
    </row>
    <row r="34" spans="1:28" ht="22.5" customHeight="1">
      <c r="A34" s="101" t="s">
        <v>363</v>
      </c>
      <c r="B34" s="56" t="s">
        <v>49</v>
      </c>
      <c r="C34" s="101" t="s">
        <v>141</v>
      </c>
      <c r="D34" s="169">
        <f>'기성내역서(중앙_2권역 대행)'!D34+'기성내역서(수지-수원_시티_건가)'!D34+'기성내역서(2025열수송관_시티_건가)'!D34+'기성내역서(2024용인_지성_제조)'!D34+'기성내역서(2024용인_지성_건가)'!D34+'기성내역서(2024용인_지성_예수금)'!D34</f>
        <v>0</v>
      </c>
      <c r="E34" s="101" t="s">
        <v>53</v>
      </c>
      <c r="F34" s="107">
        <f t="shared" si="15"/>
        <v>9658163</v>
      </c>
      <c r="G34" s="107">
        <f t="shared" si="16"/>
        <v>0</v>
      </c>
      <c r="H34" s="107">
        <f t="shared" si="17"/>
        <v>2647683</v>
      </c>
      <c r="I34" s="107">
        <f t="shared" si="18"/>
        <v>0</v>
      </c>
      <c r="J34" s="107">
        <f t="shared" si="19"/>
        <v>308857</v>
      </c>
      <c r="K34" s="107">
        <f t="shared" si="20"/>
        <v>0</v>
      </c>
      <c r="L34" s="107">
        <f t="shared" si="21"/>
        <v>12614703</v>
      </c>
      <c r="M34" s="107">
        <f t="shared" si="22"/>
        <v>0</v>
      </c>
      <c r="N34" s="110"/>
      <c r="P34">
        <v>11357428</v>
      </c>
      <c r="Q34">
        <v>0</v>
      </c>
      <c r="R34">
        <v>2652989</v>
      </c>
      <c r="S34">
        <v>0</v>
      </c>
      <c r="T34">
        <v>363198</v>
      </c>
      <c r="U34">
        <v>0</v>
      </c>
      <c r="W34">
        <f t="shared" si="23"/>
        <v>9658163</v>
      </c>
      <c r="X34">
        <f t="shared" si="24"/>
        <v>0</v>
      </c>
      <c r="Y34">
        <f t="shared" si="25"/>
        <v>2647683</v>
      </c>
      <c r="Z34">
        <f t="shared" si="26"/>
        <v>0</v>
      </c>
      <c r="AA34">
        <f t="shared" si="27"/>
        <v>308857</v>
      </c>
      <c r="AB34">
        <f t="shared" si="28"/>
        <v>0</v>
      </c>
    </row>
    <row r="35" spans="1:28" ht="22.5" customHeight="1">
      <c r="A35" s="101" t="s">
        <v>364</v>
      </c>
      <c r="B35" s="56" t="s">
        <v>49</v>
      </c>
      <c r="C35" s="101" t="s">
        <v>22</v>
      </c>
      <c r="D35" s="169">
        <f>'기성내역서(중앙_2권역 대행)'!D35+'기성내역서(수지-수원_시티_건가)'!D35+'기성내역서(2025열수송관_시티_건가)'!D35+'기성내역서(2024용인_지성_제조)'!D35+'기성내역서(2024용인_지성_건가)'!D35+'기성내역서(2024용인_지성_예수금)'!D35</f>
        <v>0</v>
      </c>
      <c r="E35" s="101" t="s">
        <v>53</v>
      </c>
      <c r="F35" s="107">
        <f t="shared" si="15"/>
        <v>12169198</v>
      </c>
      <c r="G35" s="107">
        <f t="shared" si="16"/>
        <v>0</v>
      </c>
      <c r="H35" s="107">
        <f t="shared" si="17"/>
        <v>2940693</v>
      </c>
      <c r="I35" s="107">
        <f t="shared" si="18"/>
        <v>0</v>
      </c>
      <c r="J35" s="107">
        <f t="shared" si="19"/>
        <v>341364</v>
      </c>
      <c r="K35" s="107">
        <f t="shared" si="20"/>
        <v>0</v>
      </c>
      <c r="L35" s="107">
        <f t="shared" si="21"/>
        <v>15451255</v>
      </c>
      <c r="M35" s="107">
        <f t="shared" si="22"/>
        <v>0</v>
      </c>
      <c r="N35" s="110" t="s">
        <v>10</v>
      </c>
      <c r="P35">
        <v>14310256</v>
      </c>
      <c r="Q35">
        <v>0</v>
      </c>
      <c r="R35">
        <v>2946587</v>
      </c>
      <c r="S35">
        <v>0</v>
      </c>
      <c r="T35">
        <v>401425</v>
      </c>
      <c r="U35">
        <v>0</v>
      </c>
      <c r="W35">
        <f t="shared" si="23"/>
        <v>12169198</v>
      </c>
      <c r="X35">
        <f t="shared" si="24"/>
        <v>0</v>
      </c>
      <c r="Y35">
        <f t="shared" si="25"/>
        <v>2940693</v>
      </c>
      <c r="Z35">
        <f t="shared" si="26"/>
        <v>0</v>
      </c>
      <c r="AA35">
        <f t="shared" si="27"/>
        <v>341364</v>
      </c>
      <c r="AB35">
        <f t="shared" si="28"/>
        <v>0</v>
      </c>
    </row>
    <row r="36" spans="1:28" ht="22.5" customHeight="1">
      <c r="A36" s="101" t="s">
        <v>365</v>
      </c>
      <c r="B36" s="56" t="s">
        <v>49</v>
      </c>
      <c r="C36" s="101" t="s">
        <v>142</v>
      </c>
      <c r="D36" s="169">
        <f>'기성내역서(중앙_2권역 대행)'!D36+'기성내역서(수지-수원_시티_건가)'!D36+'기성내역서(2025열수송관_시티_건가)'!D36+'기성내역서(2024용인_지성_제조)'!D36+'기성내역서(2024용인_지성_건가)'!D36+'기성내역서(2024용인_지성_예수금)'!D36</f>
        <v>8</v>
      </c>
      <c r="E36" s="101" t="s">
        <v>53</v>
      </c>
      <c r="F36" s="107">
        <f t="shared" si="15"/>
        <v>17976470</v>
      </c>
      <c r="G36" s="107">
        <f t="shared" si="16"/>
        <v>143811760</v>
      </c>
      <c r="H36" s="107">
        <f t="shared" si="17"/>
        <v>4065640</v>
      </c>
      <c r="I36" s="107">
        <f t="shared" si="18"/>
        <v>32525120</v>
      </c>
      <c r="J36" s="107">
        <f t="shared" si="19"/>
        <v>594821</v>
      </c>
      <c r="K36" s="107">
        <f t="shared" si="20"/>
        <v>4758568</v>
      </c>
      <c r="L36" s="107">
        <f t="shared" si="21"/>
        <v>22636931</v>
      </c>
      <c r="M36" s="107">
        <f t="shared" si="22"/>
        <v>181095448</v>
      </c>
      <c r="N36" s="110" t="s">
        <v>10</v>
      </c>
      <c r="P36">
        <v>21139264</v>
      </c>
      <c r="Q36">
        <v>169114112</v>
      </c>
      <c r="R36">
        <v>4073788</v>
      </c>
      <c r="S36">
        <v>32590304</v>
      </c>
      <c r="T36">
        <v>699475</v>
      </c>
      <c r="U36">
        <v>5595800</v>
      </c>
      <c r="W36">
        <f t="shared" si="23"/>
        <v>17976470</v>
      </c>
      <c r="X36">
        <f t="shared" si="24"/>
        <v>143811761</v>
      </c>
      <c r="Y36">
        <f t="shared" si="25"/>
        <v>4065640</v>
      </c>
      <c r="Z36">
        <f t="shared" si="26"/>
        <v>27714239</v>
      </c>
      <c r="AA36">
        <f t="shared" si="27"/>
        <v>594821</v>
      </c>
      <c r="AB36">
        <f t="shared" si="28"/>
        <v>4758573</v>
      </c>
    </row>
    <row r="37" spans="1:28" ht="22.5" customHeight="1">
      <c r="A37" s="101" t="s">
        <v>366</v>
      </c>
      <c r="B37" s="56" t="s">
        <v>49</v>
      </c>
      <c r="C37" s="101" t="s">
        <v>33</v>
      </c>
      <c r="D37" s="169">
        <f>'기성내역서(중앙_2권역 대행)'!D37+'기성내역서(수지-수원_시티_건가)'!D37+'기성내역서(2025열수송관_시티_건가)'!D37+'기성내역서(2024용인_지성_제조)'!D37+'기성내역서(2024용인_지성_건가)'!D37+'기성내역서(2024용인_지성_예수금)'!D37</f>
        <v>0</v>
      </c>
      <c r="E37" s="101" t="s">
        <v>53</v>
      </c>
      <c r="F37" s="107">
        <f t="shared" si="15"/>
        <v>18408234</v>
      </c>
      <c r="G37" s="107">
        <f t="shared" si="16"/>
        <v>0</v>
      </c>
      <c r="H37" s="107">
        <f t="shared" si="17"/>
        <v>4803583</v>
      </c>
      <c r="I37" s="107">
        <f t="shared" si="18"/>
        <v>0</v>
      </c>
      <c r="J37" s="107">
        <f t="shared" si="19"/>
        <v>664149</v>
      </c>
      <c r="K37" s="107">
        <f t="shared" si="20"/>
        <v>0</v>
      </c>
      <c r="L37" s="107">
        <f t="shared" si="21"/>
        <v>23875966</v>
      </c>
      <c r="M37" s="107">
        <f t="shared" si="22"/>
        <v>0</v>
      </c>
      <c r="N37" s="110" t="s">
        <v>10</v>
      </c>
      <c r="P37">
        <v>21646993</v>
      </c>
      <c r="Q37">
        <v>0</v>
      </c>
      <c r="R37">
        <v>4813210</v>
      </c>
      <c r="S37">
        <v>0</v>
      </c>
      <c r="T37">
        <v>781000</v>
      </c>
      <c r="U37">
        <v>0</v>
      </c>
      <c r="W37">
        <f t="shared" si="23"/>
        <v>18408234</v>
      </c>
      <c r="X37">
        <f t="shared" si="24"/>
        <v>0</v>
      </c>
      <c r="Y37">
        <f t="shared" si="25"/>
        <v>4803583</v>
      </c>
      <c r="Z37">
        <f t="shared" si="26"/>
        <v>0</v>
      </c>
      <c r="AA37">
        <f t="shared" si="27"/>
        <v>664149</v>
      </c>
      <c r="AB37">
        <f t="shared" si="28"/>
        <v>0</v>
      </c>
    </row>
    <row r="38" spans="1:28" ht="22.5" customHeight="1">
      <c r="A38" s="101" t="s">
        <v>367</v>
      </c>
      <c r="B38" s="56" t="s">
        <v>49</v>
      </c>
      <c r="C38" s="101" t="s">
        <v>31</v>
      </c>
      <c r="D38" s="169">
        <f>'기성내역서(중앙_2권역 대행)'!D38+'기성내역서(수지-수원_시티_건가)'!D38+'기성내역서(2025열수송관_시티_건가)'!D38+'기성내역서(2024용인_지성_제조)'!D38+'기성내역서(2024용인_지성_건가)'!D38+'기성내역서(2024용인_지성_예수금)'!D38</f>
        <v>0</v>
      </c>
      <c r="E38" s="101" t="s">
        <v>53</v>
      </c>
      <c r="F38" s="107">
        <f t="shared" si="15"/>
        <v>24638400</v>
      </c>
      <c r="G38" s="107">
        <f t="shared" si="16"/>
        <v>0</v>
      </c>
      <c r="H38" s="107">
        <f t="shared" si="17"/>
        <v>6942629</v>
      </c>
      <c r="I38" s="107">
        <f t="shared" si="18"/>
        <v>0</v>
      </c>
      <c r="J38" s="107">
        <f t="shared" si="19"/>
        <v>1047465</v>
      </c>
      <c r="K38" s="107">
        <f t="shared" si="20"/>
        <v>0</v>
      </c>
      <c r="L38" s="107">
        <f t="shared" si="21"/>
        <v>32628494</v>
      </c>
      <c r="M38" s="107">
        <f t="shared" si="22"/>
        <v>0</v>
      </c>
      <c r="N38" s="110"/>
      <c r="P38">
        <v>28973300</v>
      </c>
      <c r="Q38">
        <v>0</v>
      </c>
      <c r="R38">
        <v>6956543</v>
      </c>
      <c r="S38">
        <v>0</v>
      </c>
      <c r="T38">
        <v>1231757</v>
      </c>
      <c r="U38">
        <v>0</v>
      </c>
      <c r="W38">
        <f t="shared" si="23"/>
        <v>24638400</v>
      </c>
      <c r="X38">
        <f t="shared" si="24"/>
        <v>0</v>
      </c>
      <c r="Y38">
        <f t="shared" si="25"/>
        <v>6942629</v>
      </c>
      <c r="Z38">
        <f t="shared" si="26"/>
        <v>0</v>
      </c>
      <c r="AA38">
        <f t="shared" si="27"/>
        <v>1047465</v>
      </c>
      <c r="AB38">
        <f t="shared" si="28"/>
        <v>0</v>
      </c>
    </row>
    <row r="39" spans="1:28" ht="22.5" customHeight="1">
      <c r="A39" s="101" t="s">
        <v>271</v>
      </c>
      <c r="B39" s="56" t="s">
        <v>49</v>
      </c>
      <c r="C39" s="101" t="s">
        <v>143</v>
      </c>
      <c r="D39" s="169">
        <f>'기성내역서(중앙_2권역 대행)'!D39+'기성내역서(수지-수원_시티_건가)'!D39+'기성내역서(2025열수송관_시티_건가)'!D39+'기성내역서(2024용인_지성_제조)'!D39+'기성내역서(2024용인_지성_건가)'!D39+'기성내역서(2024용인_지성_예수금)'!D39</f>
        <v>0</v>
      </c>
      <c r="E39" s="101" t="s">
        <v>53</v>
      </c>
      <c r="F39" s="107">
        <f t="shared" si="15"/>
        <v>25877998</v>
      </c>
      <c r="G39" s="107">
        <f t="shared" si="16"/>
        <v>0</v>
      </c>
      <c r="H39" s="107">
        <f t="shared" si="17"/>
        <v>7691243</v>
      </c>
      <c r="I39" s="107">
        <f t="shared" si="18"/>
        <v>0</v>
      </c>
      <c r="J39" s="107">
        <f t="shared" si="19"/>
        <v>1733663</v>
      </c>
      <c r="K39" s="107">
        <f t="shared" si="20"/>
        <v>0</v>
      </c>
      <c r="L39" s="107">
        <f t="shared" si="21"/>
        <v>35302904</v>
      </c>
      <c r="M39" s="107">
        <f t="shared" si="22"/>
        <v>0</v>
      </c>
      <c r="N39" s="110"/>
      <c r="P39">
        <v>30430993</v>
      </c>
      <c r="Q39">
        <v>0</v>
      </c>
      <c r="R39">
        <v>7706657</v>
      </c>
      <c r="S39">
        <v>0</v>
      </c>
      <c r="T39">
        <v>2038686</v>
      </c>
      <c r="U39">
        <v>0</v>
      </c>
      <c r="W39">
        <f t="shared" si="23"/>
        <v>25877998</v>
      </c>
      <c r="X39">
        <f t="shared" si="24"/>
        <v>0</v>
      </c>
      <c r="Y39">
        <f t="shared" si="25"/>
        <v>7691243</v>
      </c>
      <c r="Z39">
        <f t="shared" si="26"/>
        <v>0</v>
      </c>
      <c r="AA39">
        <f t="shared" si="27"/>
        <v>1733663</v>
      </c>
      <c r="AB39">
        <f t="shared" si="28"/>
        <v>0</v>
      </c>
    </row>
    <row r="40" spans="1:28" ht="22.5" customHeight="1">
      <c r="A40" s="101" t="s">
        <v>275</v>
      </c>
      <c r="B40" s="56" t="s">
        <v>49</v>
      </c>
      <c r="C40" s="101" t="s">
        <v>24</v>
      </c>
      <c r="D40" s="169">
        <f>'기성내역서(중앙_2권역 대행)'!D40+'기성내역서(수지-수원_시티_건가)'!D40+'기성내역서(2025열수송관_시티_건가)'!D40+'기성내역서(2024용인_지성_제조)'!D40+'기성내역서(2024용인_지성_건가)'!D40+'기성내역서(2024용인_지성_예수금)'!D40</f>
        <v>0</v>
      </c>
      <c r="E40" s="101" t="s">
        <v>53</v>
      </c>
      <c r="F40" s="107">
        <f t="shared" si="15"/>
        <v>32881624</v>
      </c>
      <c r="G40" s="107">
        <f t="shared" si="16"/>
        <v>0</v>
      </c>
      <c r="H40" s="107">
        <f t="shared" si="17"/>
        <v>9231123</v>
      </c>
      <c r="I40" s="107">
        <f t="shared" si="18"/>
        <v>0</v>
      </c>
      <c r="J40" s="107">
        <f t="shared" si="19"/>
        <v>1981912</v>
      </c>
      <c r="K40" s="107">
        <f t="shared" si="20"/>
        <v>0</v>
      </c>
      <c r="L40" s="107">
        <f t="shared" si="21"/>
        <v>44094659</v>
      </c>
      <c r="M40" s="107">
        <f t="shared" si="22"/>
        <v>0</v>
      </c>
      <c r="N40" s="110"/>
      <c r="P40">
        <v>38666843</v>
      </c>
      <c r="Q40">
        <v>0</v>
      </c>
      <c r="R40">
        <v>9249623</v>
      </c>
      <c r="S40">
        <v>0</v>
      </c>
      <c r="T40">
        <v>2330612</v>
      </c>
      <c r="U40">
        <v>0</v>
      </c>
      <c r="W40">
        <f t="shared" si="23"/>
        <v>32881624</v>
      </c>
      <c r="X40">
        <f t="shared" si="24"/>
        <v>0</v>
      </c>
      <c r="Y40">
        <f t="shared" si="25"/>
        <v>9231123</v>
      </c>
      <c r="Z40">
        <f t="shared" si="26"/>
        <v>0</v>
      </c>
      <c r="AA40">
        <f t="shared" si="27"/>
        <v>1981912</v>
      </c>
      <c r="AB40">
        <f t="shared" si="28"/>
        <v>0</v>
      </c>
    </row>
    <row r="41" spans="1:28" ht="22.5" customHeight="1">
      <c r="A41" s="101" t="s">
        <v>278</v>
      </c>
      <c r="B41" s="56" t="s">
        <v>49</v>
      </c>
      <c r="C41" s="101" t="s">
        <v>28</v>
      </c>
      <c r="D41" s="169">
        <f>'기성내역서(중앙_2권역 대행)'!D41+'기성내역서(수지-수원_시티_건가)'!D41+'기성내역서(2025열수송관_시티_건가)'!D41+'기성내역서(2024용인_지성_제조)'!D41+'기성내역서(2024용인_지성_건가)'!D41+'기성내역서(2024용인_지성_예수금)'!D41</f>
        <v>0</v>
      </c>
      <c r="E41" s="101" t="s">
        <v>53</v>
      </c>
      <c r="F41" s="107">
        <f t="shared" si="15"/>
        <v>44317123</v>
      </c>
      <c r="G41" s="107">
        <f t="shared" si="16"/>
        <v>0</v>
      </c>
      <c r="H41" s="107">
        <f t="shared" si="17"/>
        <v>11562746</v>
      </c>
      <c r="I41" s="107">
        <f t="shared" si="18"/>
        <v>0</v>
      </c>
      <c r="J41" s="107">
        <f t="shared" si="19"/>
        <v>4659138</v>
      </c>
      <c r="K41" s="107">
        <f t="shared" si="20"/>
        <v>0</v>
      </c>
      <c r="L41" s="107">
        <f t="shared" si="21"/>
        <v>60539007</v>
      </c>
      <c r="M41" s="107">
        <f t="shared" si="22"/>
        <v>0</v>
      </c>
      <c r="N41" s="110"/>
      <c r="P41">
        <v>52114312</v>
      </c>
      <c r="Q41">
        <v>0</v>
      </c>
      <c r="R41">
        <v>11585918</v>
      </c>
      <c r="S41">
        <v>0</v>
      </c>
      <c r="T41">
        <v>5478871</v>
      </c>
      <c r="U41">
        <v>0</v>
      </c>
      <c r="W41">
        <f t="shared" si="23"/>
        <v>44317123</v>
      </c>
      <c r="X41">
        <f t="shared" si="24"/>
        <v>0</v>
      </c>
      <c r="Y41">
        <f t="shared" si="25"/>
        <v>11562746</v>
      </c>
      <c r="Z41">
        <f t="shared" si="26"/>
        <v>0</v>
      </c>
      <c r="AA41">
        <f t="shared" si="27"/>
        <v>4659138</v>
      </c>
      <c r="AB41">
        <f t="shared" si="28"/>
        <v>0</v>
      </c>
    </row>
    <row r="42" spans="1:28" ht="22.5" customHeight="1">
      <c r="A42" s="101" t="s">
        <v>368</v>
      </c>
      <c r="B42" s="56" t="s">
        <v>49</v>
      </c>
      <c r="C42" s="101" t="s">
        <v>27</v>
      </c>
      <c r="D42" s="169">
        <f>'기성내역서(중앙_2권역 대행)'!D42+'기성내역서(수지-수원_시티_건가)'!D42+'기성내역서(2025열수송관_시티_건가)'!D42+'기성내역서(2024용인_지성_제조)'!D42+'기성내역서(2024용인_지성_건가)'!D42+'기성내역서(2024용인_지성_예수금)'!D42</f>
        <v>0</v>
      </c>
      <c r="E42" s="101" t="s">
        <v>53</v>
      </c>
      <c r="F42" s="107">
        <f t="shared" si="15"/>
        <v>47002938</v>
      </c>
      <c r="G42" s="107">
        <f t="shared" si="16"/>
        <v>0</v>
      </c>
      <c r="H42" s="107">
        <f t="shared" si="17"/>
        <v>12161036</v>
      </c>
      <c r="I42" s="107">
        <f t="shared" si="18"/>
        <v>0</v>
      </c>
      <c r="J42" s="107">
        <f t="shared" si="19"/>
        <v>4931649</v>
      </c>
      <c r="K42" s="107">
        <f t="shared" si="20"/>
        <v>0</v>
      </c>
      <c r="L42" s="107">
        <f t="shared" si="21"/>
        <v>64095623</v>
      </c>
      <c r="M42" s="107">
        <f t="shared" si="22"/>
        <v>0</v>
      </c>
      <c r="N42" s="110"/>
      <c r="P42">
        <v>55272671</v>
      </c>
      <c r="Q42">
        <v>0</v>
      </c>
      <c r="R42">
        <v>12185407</v>
      </c>
      <c r="S42">
        <v>0</v>
      </c>
      <c r="T42">
        <v>5799328</v>
      </c>
      <c r="U42">
        <v>0</v>
      </c>
      <c r="W42">
        <f t="shared" si="23"/>
        <v>47002938</v>
      </c>
      <c r="X42">
        <f t="shared" si="24"/>
        <v>0</v>
      </c>
      <c r="Y42">
        <f t="shared" si="25"/>
        <v>12161036</v>
      </c>
      <c r="Z42">
        <f t="shared" si="26"/>
        <v>0</v>
      </c>
      <c r="AA42">
        <f t="shared" si="27"/>
        <v>4931649</v>
      </c>
      <c r="AB42">
        <f t="shared" si="28"/>
        <v>0</v>
      </c>
    </row>
    <row r="43" spans="1:28" ht="22.5" customHeight="1">
      <c r="A43" s="101" t="s">
        <v>369</v>
      </c>
      <c r="B43" s="56" t="s">
        <v>49</v>
      </c>
      <c r="C43" s="101" t="s">
        <v>25</v>
      </c>
      <c r="D43" s="169">
        <f>'기성내역서(중앙_2권역 대행)'!D43+'기성내역서(수지-수원_시티_건가)'!D43+'기성내역서(2025열수송관_시티_건가)'!D43+'기성내역서(2024용인_지성_제조)'!D43+'기성내역서(2024용인_지성_건가)'!D43+'기성내역서(2024용인_지성_예수금)'!D43</f>
        <v>0</v>
      </c>
      <c r="E43" s="101" t="s">
        <v>53</v>
      </c>
      <c r="F43" s="107">
        <f t="shared" si="15"/>
        <v>56158837</v>
      </c>
      <c r="G43" s="107">
        <f t="shared" si="16"/>
        <v>0</v>
      </c>
      <c r="H43" s="107">
        <f t="shared" si="17"/>
        <v>12875632</v>
      </c>
      <c r="I43" s="107">
        <f t="shared" si="18"/>
        <v>0</v>
      </c>
      <c r="J43" s="107">
        <f t="shared" si="19"/>
        <v>5363775</v>
      </c>
      <c r="K43" s="107">
        <f t="shared" si="20"/>
        <v>0</v>
      </c>
      <c r="L43" s="107">
        <f t="shared" si="21"/>
        <v>74398244</v>
      </c>
      <c r="M43" s="107">
        <f t="shared" si="22"/>
        <v>0</v>
      </c>
      <c r="N43" s="110"/>
      <c r="P43">
        <v>66039466</v>
      </c>
      <c r="Q43">
        <v>0</v>
      </c>
      <c r="R43">
        <v>12901435</v>
      </c>
      <c r="S43">
        <v>0</v>
      </c>
      <c r="T43">
        <v>6307482</v>
      </c>
      <c r="U43">
        <v>0</v>
      </c>
      <c r="W43">
        <f t="shared" si="23"/>
        <v>56158837</v>
      </c>
      <c r="X43">
        <f t="shared" si="24"/>
        <v>0</v>
      </c>
      <c r="Y43">
        <f t="shared" si="25"/>
        <v>12875632</v>
      </c>
      <c r="Z43">
        <f t="shared" si="26"/>
        <v>0</v>
      </c>
      <c r="AA43">
        <f t="shared" si="27"/>
        <v>5363775</v>
      </c>
      <c r="AB43">
        <f t="shared" si="28"/>
        <v>0</v>
      </c>
    </row>
    <row r="44" spans="1:28" ht="22.5" customHeight="1">
      <c r="A44" s="101"/>
      <c r="B44" s="56" t="s">
        <v>116</v>
      </c>
      <c r="C44" s="101"/>
      <c r="D44" s="169">
        <f>SUM(D30:D43)</f>
        <v>12</v>
      </c>
      <c r="E44" s="101"/>
      <c r="F44" s="119"/>
      <c r="G44" s="107">
        <f>SUM(G30:G43)</f>
        <v>172512096</v>
      </c>
      <c r="H44" s="107"/>
      <c r="I44" s="107">
        <f>SUM(I30:I43)</f>
        <v>42096268</v>
      </c>
      <c r="J44" s="107"/>
      <c r="K44" s="107">
        <f>SUM(K30:K43)</f>
        <v>5785072</v>
      </c>
      <c r="L44" s="107"/>
      <c r="M44" s="107">
        <f>SUM(M30:M43)</f>
        <v>220393436</v>
      </c>
      <c r="N44" s="110"/>
      <c r="Q44">
        <v>224916592</v>
      </c>
      <c r="S44">
        <v>48988212</v>
      </c>
      <c r="U44">
        <v>7428656</v>
      </c>
    </row>
    <row r="45" spans="1:28" ht="22.5" customHeight="1">
      <c r="A45" s="102" t="s">
        <v>131</v>
      </c>
      <c r="B45" s="102" t="s">
        <v>133</v>
      </c>
      <c r="C45" s="103" t="s">
        <v>10</v>
      </c>
      <c r="D45" s="104">
        <v>0</v>
      </c>
      <c r="E45" s="105" t="s">
        <v>10</v>
      </c>
      <c r="F45" s="111"/>
      <c r="G45" s="111"/>
      <c r="H45" s="111"/>
      <c r="I45" s="111" t="s">
        <v>10</v>
      </c>
      <c r="J45" s="111" t="s">
        <v>10</v>
      </c>
      <c r="K45" s="111" t="s">
        <v>10</v>
      </c>
      <c r="L45" s="111" t="s">
        <v>10</v>
      </c>
      <c r="M45" s="111" t="s">
        <v>10</v>
      </c>
      <c r="N45" s="112" t="s">
        <v>10</v>
      </c>
      <c r="P45" t="s">
        <v>10</v>
      </c>
      <c r="R45" t="s">
        <v>10</v>
      </c>
      <c r="S45" t="s">
        <v>10</v>
      </c>
      <c r="T45" t="s">
        <v>10</v>
      </c>
      <c r="U45" t="s">
        <v>10</v>
      </c>
    </row>
    <row r="46" spans="1:28" ht="22.5" customHeight="1">
      <c r="A46" s="101" t="s">
        <v>380</v>
      </c>
      <c r="B46" s="56" t="s">
        <v>132</v>
      </c>
      <c r="C46" s="101" t="s">
        <v>138</v>
      </c>
      <c r="D46" s="169">
        <f>'기성내역서(중앙_2권역 대행)'!D46+'기성내역서(수지-수원_시티_건가)'!D46+'기성내역서(2025열수송관_시티_건가)'!D46+'기성내역서(2024용인_지성_제조)'!D46+'기성내역서(2024용인_지성_건가)'!D46+'기성내역서(2024용인_지성_예수금)'!D46</f>
        <v>0</v>
      </c>
      <c r="E46" s="101" t="s">
        <v>130</v>
      </c>
      <c r="F46" s="107">
        <f t="shared" ref="F46:F50" si="29">W46</f>
        <v>26432884</v>
      </c>
      <c r="G46" s="107">
        <f t="shared" ref="G46:G50" si="30">F46*D46</f>
        <v>0</v>
      </c>
      <c r="H46" s="107">
        <f t="shared" ref="H46:H50" si="31">Y46</f>
        <v>1649432</v>
      </c>
      <c r="I46" s="107">
        <f t="shared" ref="I46:I50" si="32">D46*H46</f>
        <v>0</v>
      </c>
      <c r="J46" s="107">
        <f t="shared" ref="J46:J50" si="33">AA46</f>
        <v>419928</v>
      </c>
      <c r="K46" s="107">
        <f t="shared" ref="K46:K50" si="34">D46*J46</f>
        <v>0</v>
      </c>
      <c r="L46" s="107">
        <f t="shared" ref="L46:L50" si="35">F46+H46+J46</f>
        <v>28502244</v>
      </c>
      <c r="M46" s="107">
        <f t="shared" ref="M46:M50" si="36">L46*D46</f>
        <v>0</v>
      </c>
      <c r="N46" s="110"/>
      <c r="P46">
        <v>31083506</v>
      </c>
      <c r="Q46">
        <v>0</v>
      </c>
      <c r="R46">
        <v>1652738</v>
      </c>
      <c r="S46">
        <v>0</v>
      </c>
      <c r="T46">
        <v>493811</v>
      </c>
      <c r="U46">
        <v>0</v>
      </c>
      <c r="W46">
        <f t="shared" ref="W46:W50" si="37">INT(P46*$V$6)</f>
        <v>26432884</v>
      </c>
      <c r="X46">
        <f t="shared" ref="X46:X50" si="38">INT(Q46*$V$6)</f>
        <v>0</v>
      </c>
      <c r="Y46">
        <f t="shared" ref="Y46:Y50" si="39">INT(R46*$V$4)</f>
        <v>1649432</v>
      </c>
      <c r="Z46">
        <f t="shared" ref="Z46:Z50" si="40">INT(S46*$V$6)</f>
        <v>0</v>
      </c>
      <c r="AA46">
        <f t="shared" ref="AA46:AA50" si="41">INT(T46*$V$6)</f>
        <v>419928</v>
      </c>
      <c r="AB46">
        <f t="shared" ref="AB46:AB50" si="42">INT(U46*$V$6)</f>
        <v>0</v>
      </c>
    </row>
    <row r="47" spans="1:28" ht="22.5" customHeight="1">
      <c r="A47" s="101" t="s">
        <v>285</v>
      </c>
      <c r="B47" s="56" t="s">
        <v>132</v>
      </c>
      <c r="C47" s="101" t="s">
        <v>134</v>
      </c>
      <c r="D47" s="169">
        <f>'기성내역서(중앙_2권역 대행)'!D47+'기성내역서(수지-수원_시티_건가)'!D47+'기성내역서(2025열수송관_시티_건가)'!D47+'기성내역서(2024용인_지성_제조)'!D47+'기성내역서(2024용인_지성_건가)'!D47+'기성내역서(2024용인_지성_예수금)'!D47</f>
        <v>0</v>
      </c>
      <c r="E47" s="101" t="s">
        <v>130</v>
      </c>
      <c r="F47" s="107">
        <f t="shared" si="29"/>
        <v>58301697</v>
      </c>
      <c r="G47" s="107">
        <f t="shared" si="30"/>
        <v>0</v>
      </c>
      <c r="H47" s="107">
        <f t="shared" si="31"/>
        <v>5130868</v>
      </c>
      <c r="I47" s="107">
        <f t="shared" si="32"/>
        <v>0</v>
      </c>
      <c r="J47" s="107">
        <f t="shared" si="33"/>
        <v>2543989</v>
      </c>
      <c r="K47" s="107">
        <f t="shared" si="34"/>
        <v>0</v>
      </c>
      <c r="L47" s="107">
        <f t="shared" si="35"/>
        <v>65976554</v>
      </c>
      <c r="M47" s="107">
        <f t="shared" si="36"/>
        <v>0</v>
      </c>
      <c r="N47" s="110"/>
      <c r="P47" s="171">
        <v>68559343</v>
      </c>
      <c r="Q47">
        <v>0</v>
      </c>
      <c r="R47">
        <v>5141151</v>
      </c>
      <c r="S47">
        <v>0</v>
      </c>
      <c r="T47" s="171">
        <v>2991581</v>
      </c>
      <c r="U47">
        <v>0</v>
      </c>
      <c r="W47">
        <f t="shared" si="37"/>
        <v>58301697</v>
      </c>
      <c r="X47">
        <f t="shared" si="38"/>
        <v>0</v>
      </c>
      <c r="Y47">
        <f t="shared" si="39"/>
        <v>5130868</v>
      </c>
      <c r="Z47">
        <f t="shared" si="40"/>
        <v>0</v>
      </c>
      <c r="AA47">
        <f t="shared" si="41"/>
        <v>2543989</v>
      </c>
      <c r="AB47">
        <f t="shared" si="42"/>
        <v>0</v>
      </c>
    </row>
    <row r="48" spans="1:28" ht="22.5" customHeight="1">
      <c r="A48" s="101" t="s">
        <v>371</v>
      </c>
      <c r="B48" s="56" t="s">
        <v>132</v>
      </c>
      <c r="C48" s="101" t="s">
        <v>119</v>
      </c>
      <c r="D48" s="169">
        <f>'기성내역서(중앙_2권역 대행)'!D48+'기성내역서(수지-수원_시티_건가)'!D48+'기성내역서(2025열수송관_시티_건가)'!D48+'기성내역서(2024용인_지성_제조)'!D48+'기성내역서(2024용인_지성_건가)'!D48+'기성내역서(2024용인_지성_예수금)'!D48</f>
        <v>0</v>
      </c>
      <c r="E48" s="101" t="s">
        <v>130</v>
      </c>
      <c r="F48" s="107">
        <f t="shared" si="29"/>
        <v>67170931</v>
      </c>
      <c r="G48" s="107">
        <f t="shared" si="30"/>
        <v>0</v>
      </c>
      <c r="H48" s="107">
        <f t="shared" si="31"/>
        <v>5926788</v>
      </c>
      <c r="I48" s="107">
        <f t="shared" si="32"/>
        <v>0</v>
      </c>
      <c r="J48" s="107">
        <f t="shared" si="33"/>
        <v>5128336</v>
      </c>
      <c r="K48" s="107">
        <f t="shared" si="34"/>
        <v>0</v>
      </c>
      <c r="L48" s="107">
        <f t="shared" si="35"/>
        <v>78226055</v>
      </c>
      <c r="M48" s="107">
        <f t="shared" si="36"/>
        <v>0</v>
      </c>
      <c r="N48" s="110"/>
      <c r="P48" s="171">
        <v>78989036</v>
      </c>
      <c r="Q48">
        <v>0</v>
      </c>
      <c r="R48">
        <v>5938666</v>
      </c>
      <c r="S48">
        <v>0</v>
      </c>
      <c r="T48" s="171">
        <v>6030620</v>
      </c>
      <c r="U48">
        <v>0</v>
      </c>
      <c r="W48">
        <f t="shared" si="37"/>
        <v>67170931</v>
      </c>
      <c r="X48">
        <f t="shared" si="38"/>
        <v>0</v>
      </c>
      <c r="Y48">
        <f t="shared" si="39"/>
        <v>5926788</v>
      </c>
      <c r="Z48">
        <f t="shared" si="40"/>
        <v>0</v>
      </c>
      <c r="AA48">
        <f t="shared" si="41"/>
        <v>5128336</v>
      </c>
      <c r="AB48">
        <f t="shared" si="42"/>
        <v>0</v>
      </c>
    </row>
    <row r="49" spans="1:28" ht="22.5" customHeight="1">
      <c r="A49" s="101" t="s">
        <v>372</v>
      </c>
      <c r="B49" s="56" t="s">
        <v>132</v>
      </c>
      <c r="C49" s="101" t="s">
        <v>135</v>
      </c>
      <c r="D49" s="169">
        <f>'기성내역서(중앙_2권역 대행)'!D49+'기성내역서(수지-수원_시티_건가)'!D49+'기성내역서(2025열수송관_시티_건가)'!D49+'기성내역서(2024용인_지성_제조)'!D49+'기성내역서(2024용인_지성_건가)'!D49+'기성내역서(2024용인_지성_예수금)'!D49</f>
        <v>2</v>
      </c>
      <c r="E49" s="101" t="s">
        <v>130</v>
      </c>
      <c r="F49" s="107">
        <f t="shared" si="29"/>
        <v>91562155</v>
      </c>
      <c r="G49" s="107">
        <f t="shared" si="30"/>
        <v>183124310</v>
      </c>
      <c r="H49" s="107">
        <f t="shared" si="31"/>
        <v>6754833</v>
      </c>
      <c r="I49" s="107">
        <f t="shared" si="32"/>
        <v>13509666</v>
      </c>
      <c r="J49" s="107">
        <f t="shared" si="33"/>
        <v>6416064</v>
      </c>
      <c r="K49" s="107">
        <f t="shared" si="34"/>
        <v>12832128</v>
      </c>
      <c r="L49" s="107">
        <f t="shared" si="35"/>
        <v>104733052</v>
      </c>
      <c r="M49" s="107">
        <f t="shared" si="36"/>
        <v>209466104</v>
      </c>
      <c r="N49" s="110"/>
      <c r="P49" s="171">
        <v>107671671</v>
      </c>
      <c r="Q49">
        <v>861373368</v>
      </c>
      <c r="R49">
        <v>6768370</v>
      </c>
      <c r="S49">
        <v>54146960</v>
      </c>
      <c r="T49" s="171">
        <v>7544912</v>
      </c>
      <c r="U49">
        <v>60359296</v>
      </c>
      <c r="W49">
        <f t="shared" si="37"/>
        <v>91562155</v>
      </c>
      <c r="X49">
        <f t="shared" si="38"/>
        <v>732497243</v>
      </c>
      <c r="Y49">
        <f t="shared" si="39"/>
        <v>6754833</v>
      </c>
      <c r="Z49">
        <f t="shared" si="40"/>
        <v>46045652</v>
      </c>
      <c r="AA49">
        <f t="shared" si="41"/>
        <v>6416064</v>
      </c>
      <c r="AB49">
        <f t="shared" si="42"/>
        <v>51328517</v>
      </c>
    </row>
    <row r="50" spans="1:28" ht="22.5" customHeight="1">
      <c r="A50" s="101" t="s">
        <v>373</v>
      </c>
      <c r="B50" s="56" t="s">
        <v>132</v>
      </c>
      <c r="C50" s="101" t="s">
        <v>136</v>
      </c>
      <c r="D50" s="169">
        <f>'기성내역서(중앙_2권역 대행)'!D50+'기성내역서(수지-수원_시티_건가)'!D50+'기성내역서(2025열수송관_시티_건가)'!D50+'기성내역서(2024용인_지성_제조)'!D50+'기성내역서(2024용인_지성_건가)'!D50+'기성내역서(2024용인_지성_예수금)'!D50</f>
        <v>0</v>
      </c>
      <c r="E50" s="101" t="s">
        <v>130</v>
      </c>
      <c r="F50" s="107">
        <f t="shared" si="29"/>
        <v>101618610</v>
      </c>
      <c r="G50" s="107">
        <f t="shared" si="30"/>
        <v>0</v>
      </c>
      <c r="H50" s="107">
        <f t="shared" si="31"/>
        <v>7151107</v>
      </c>
      <c r="I50" s="107">
        <f t="shared" si="32"/>
        <v>0</v>
      </c>
      <c r="J50" s="107">
        <f t="shared" si="33"/>
        <v>7086024</v>
      </c>
      <c r="K50" s="107">
        <f t="shared" si="34"/>
        <v>0</v>
      </c>
      <c r="L50" s="107">
        <f t="shared" si="35"/>
        <v>115855741</v>
      </c>
      <c r="M50" s="107">
        <f t="shared" si="36"/>
        <v>0</v>
      </c>
      <c r="N50" s="110"/>
      <c r="P50" s="171">
        <v>119497466</v>
      </c>
      <c r="Q50">
        <v>0</v>
      </c>
      <c r="R50">
        <v>7165438</v>
      </c>
      <c r="S50">
        <v>0</v>
      </c>
      <c r="T50" s="171">
        <v>8332745</v>
      </c>
      <c r="U50">
        <v>0</v>
      </c>
      <c r="W50">
        <f t="shared" si="37"/>
        <v>101618610</v>
      </c>
      <c r="X50">
        <f t="shared" si="38"/>
        <v>0</v>
      </c>
      <c r="Y50">
        <f t="shared" si="39"/>
        <v>7151107</v>
      </c>
      <c r="Z50">
        <f t="shared" si="40"/>
        <v>0</v>
      </c>
      <c r="AA50">
        <f t="shared" si="41"/>
        <v>7086024</v>
      </c>
      <c r="AB50">
        <f t="shared" si="42"/>
        <v>0</v>
      </c>
    </row>
    <row r="51" spans="1:28" ht="22.5" customHeight="1">
      <c r="A51" s="101"/>
      <c r="B51" s="56" t="s">
        <v>116</v>
      </c>
      <c r="C51" s="101"/>
      <c r="D51" s="169">
        <f>SUM(D46:D50)</f>
        <v>2</v>
      </c>
      <c r="E51" s="101"/>
      <c r="F51" s="119"/>
      <c r="G51" s="107">
        <f>SUM(G46:G50)</f>
        <v>183124310</v>
      </c>
      <c r="H51" s="107"/>
      <c r="I51" s="107">
        <f>SUM(I46:I50)</f>
        <v>13509666</v>
      </c>
      <c r="J51" s="107"/>
      <c r="K51" s="107">
        <f>SUM(K46:K50)</f>
        <v>12832128</v>
      </c>
      <c r="L51" s="107"/>
      <c r="M51" s="107">
        <f>SUM(M46:M50)</f>
        <v>209466104</v>
      </c>
      <c r="N51" s="110"/>
      <c r="Q51">
        <v>861373368</v>
      </c>
      <c r="S51">
        <v>54146960</v>
      </c>
      <c r="U51">
        <v>60359296</v>
      </c>
    </row>
    <row r="52" spans="1:28" ht="22.5" customHeight="1">
      <c r="A52" s="102" t="s">
        <v>137</v>
      </c>
      <c r="B52" s="102" t="s">
        <v>140</v>
      </c>
      <c r="C52" s="103" t="s">
        <v>10</v>
      </c>
      <c r="D52" s="104">
        <v>0</v>
      </c>
      <c r="E52" s="105" t="s">
        <v>10</v>
      </c>
      <c r="F52" s="111"/>
      <c r="G52" s="111" t="s">
        <v>10</v>
      </c>
      <c r="H52" s="111"/>
      <c r="I52" s="111" t="s">
        <v>10</v>
      </c>
      <c r="J52" s="111" t="s">
        <v>10</v>
      </c>
      <c r="K52" s="111" t="s">
        <v>10</v>
      </c>
      <c r="L52" s="111" t="s">
        <v>10</v>
      </c>
      <c r="M52" s="111" t="s">
        <v>10</v>
      </c>
      <c r="N52" s="112" t="s">
        <v>10</v>
      </c>
      <c r="P52" t="s">
        <v>10</v>
      </c>
      <c r="Q52" t="s">
        <v>10</v>
      </c>
      <c r="R52" t="s">
        <v>10</v>
      </c>
      <c r="S52" t="s">
        <v>10</v>
      </c>
      <c r="T52" t="s">
        <v>10</v>
      </c>
      <c r="U52" t="s">
        <v>10</v>
      </c>
    </row>
    <row r="53" spans="1:28" ht="22.5" customHeight="1">
      <c r="A53" s="101" t="s">
        <v>381</v>
      </c>
      <c r="B53" s="56" t="s">
        <v>132</v>
      </c>
      <c r="C53" s="101" t="s">
        <v>136</v>
      </c>
      <c r="D53" s="169">
        <f>'기성내역서(중앙_2권역 대행)'!D53+'기성내역서(수지-수원_시티_건가)'!D53+'기성내역서(2025열수송관_시티_건가)'!D53+'기성내역서(2024용인_지성_제조)'!D53+'기성내역서(2024용인_지성_건가)'!D53+'기성내역서(2024용인_지성_예수금)'!D53</f>
        <v>0</v>
      </c>
      <c r="E53" s="101" t="s">
        <v>130</v>
      </c>
      <c r="F53" s="107">
        <f t="shared" ref="F53" si="43">W53</f>
        <v>101618610</v>
      </c>
      <c r="G53" s="107">
        <f t="shared" ref="G53" si="44">F53*D53</f>
        <v>0</v>
      </c>
      <c r="H53" s="107">
        <f t="shared" ref="H53" si="45">Y53</f>
        <v>12875632</v>
      </c>
      <c r="I53" s="107">
        <f t="shared" ref="I53" si="46">D53*H53</f>
        <v>0</v>
      </c>
      <c r="J53" s="107">
        <f t="shared" ref="J53" si="47">AA53</f>
        <v>7086025</v>
      </c>
      <c r="K53" s="107">
        <f t="shared" ref="K53" si="48">D53*J53</f>
        <v>0</v>
      </c>
      <c r="L53" s="107">
        <f t="shared" ref="L53" si="49">F53+H53+J53</f>
        <v>121580267</v>
      </c>
      <c r="M53" s="107">
        <f t="shared" ref="M53" si="50">L53*D53</f>
        <v>0</v>
      </c>
      <c r="N53" s="110"/>
      <c r="P53">
        <v>119497466</v>
      </c>
      <c r="Q53">
        <v>0</v>
      </c>
      <c r="R53">
        <v>12901435</v>
      </c>
      <c r="S53">
        <v>0</v>
      </c>
      <c r="T53">
        <v>8332746</v>
      </c>
      <c r="U53">
        <v>0</v>
      </c>
      <c r="W53">
        <f t="shared" ref="W53" si="51">INT(P53*$V$6)</f>
        <v>101618610</v>
      </c>
      <c r="X53">
        <f t="shared" ref="X53" si="52">INT(Q53*$V$6)</f>
        <v>0</v>
      </c>
      <c r="Y53">
        <f t="shared" ref="Y53" si="53">INT(R53*$V$4)</f>
        <v>12875632</v>
      </c>
      <c r="Z53">
        <f t="shared" ref="Z53" si="54">INT(S53*$V$6)</f>
        <v>0</v>
      </c>
      <c r="AA53">
        <f t="shared" ref="AA53" si="55">INT(T53*$V$6)</f>
        <v>7086025</v>
      </c>
      <c r="AB53">
        <f t="shared" ref="AB53" si="56">INT(U53*$V$6)</f>
        <v>0</v>
      </c>
    </row>
    <row r="54" spans="1:28" ht="22.5" customHeight="1">
      <c r="A54" s="101"/>
      <c r="B54" s="56" t="s">
        <v>116</v>
      </c>
      <c r="C54" s="101"/>
      <c r="D54" s="169">
        <f>SUM(D53)</f>
        <v>0</v>
      </c>
      <c r="E54" s="101"/>
      <c r="F54" s="119"/>
      <c r="G54" s="107">
        <f>SUM(G53)</f>
        <v>0</v>
      </c>
      <c r="H54" s="107"/>
      <c r="I54" s="107">
        <f>SUM(I53)</f>
        <v>0</v>
      </c>
      <c r="J54" s="107"/>
      <c r="K54" s="107">
        <f>SUM(K53)</f>
        <v>0</v>
      </c>
      <c r="L54" s="107"/>
      <c r="M54" s="107">
        <f>SUM(M53)</f>
        <v>0</v>
      </c>
      <c r="N54" s="110"/>
      <c r="Q54">
        <v>0</v>
      </c>
      <c r="S54">
        <v>0</v>
      </c>
      <c r="U54">
        <v>0</v>
      </c>
    </row>
    <row r="55" spans="1:28" ht="22.5" customHeight="1">
      <c r="A55" s="102" t="s">
        <v>139</v>
      </c>
      <c r="B55" s="102" t="s">
        <v>120</v>
      </c>
      <c r="C55" s="103" t="s">
        <v>10</v>
      </c>
      <c r="D55" s="104">
        <v>0</v>
      </c>
      <c r="E55" s="105" t="s">
        <v>10</v>
      </c>
      <c r="F55" s="111"/>
      <c r="G55" s="111" t="s">
        <v>10</v>
      </c>
      <c r="H55" s="111"/>
      <c r="I55" s="111" t="s">
        <v>10</v>
      </c>
      <c r="J55" s="111" t="s">
        <v>10</v>
      </c>
      <c r="K55" s="111" t="s">
        <v>10</v>
      </c>
      <c r="L55" s="111" t="s">
        <v>10</v>
      </c>
      <c r="M55" s="111" t="s">
        <v>10</v>
      </c>
      <c r="N55" s="112" t="s">
        <v>10</v>
      </c>
      <c r="P55" t="s">
        <v>10</v>
      </c>
      <c r="Q55" t="s">
        <v>10</v>
      </c>
      <c r="R55" t="s">
        <v>10</v>
      </c>
      <c r="S55" t="s">
        <v>10</v>
      </c>
      <c r="T55" t="s">
        <v>10</v>
      </c>
      <c r="U55" t="s">
        <v>10</v>
      </c>
    </row>
    <row r="56" spans="1:28" ht="22.5" customHeight="1">
      <c r="A56" s="101" t="s">
        <v>393</v>
      </c>
      <c r="B56" s="56" t="s">
        <v>21</v>
      </c>
      <c r="C56" s="101" t="s">
        <v>121</v>
      </c>
      <c r="D56" s="169">
        <f>'기성내역서(중앙_2권역 대행)'!D56+'기성내역서(수지-수원_시티_건가)'!D56+'기성내역서(2025열수송관_시티_건가)'!D56+'기성내역서(2024용인_지성_제조)'!D56+'기성내역서(2024용인_지성_건가)'!D56+'기성내역서(2024용인_지성_예수금)'!D56</f>
        <v>0</v>
      </c>
      <c r="E56" s="101" t="s">
        <v>125</v>
      </c>
      <c r="F56" s="107">
        <f t="shared" ref="F56:F59" si="57">W56</f>
        <v>0</v>
      </c>
      <c r="G56" s="107">
        <f t="shared" ref="G56:G59" si="58">F56*D56</f>
        <v>0</v>
      </c>
      <c r="H56" s="107">
        <f t="shared" ref="H56:H59" si="59">Y56</f>
        <v>37560</v>
      </c>
      <c r="I56" s="107">
        <f t="shared" ref="I56:I59" si="60">D56*H56</f>
        <v>0</v>
      </c>
      <c r="J56" s="107">
        <f t="shared" ref="J56:J59" si="61">AA56</f>
        <v>0</v>
      </c>
      <c r="K56" s="107">
        <f t="shared" ref="K56:K59" si="62">D56*J56</f>
        <v>0</v>
      </c>
      <c r="L56" s="107">
        <f t="shared" ref="L56:L59" si="63">F56+H56+J56</f>
        <v>37560</v>
      </c>
      <c r="M56" s="107">
        <f t="shared" ref="M56:M59" si="64">L56*D56</f>
        <v>0</v>
      </c>
      <c r="N56" s="110"/>
      <c r="P56">
        <v>0</v>
      </c>
      <c r="Q56">
        <v>0</v>
      </c>
      <c r="R56">
        <v>37636</v>
      </c>
      <c r="S56">
        <v>1204352</v>
      </c>
      <c r="T56">
        <v>0</v>
      </c>
      <c r="U56">
        <v>0</v>
      </c>
      <c r="W56">
        <f t="shared" ref="W56:W59" si="65">INT(P56*$V$6)</f>
        <v>0</v>
      </c>
      <c r="X56">
        <f t="shared" ref="X56:X59" si="66">INT(Q56*$V$6)</f>
        <v>0</v>
      </c>
      <c r="Y56">
        <f t="shared" ref="Y56:Y59" si="67">INT(R56*$V$4)</f>
        <v>37560</v>
      </c>
      <c r="Z56">
        <f t="shared" ref="Z56:Z59" si="68">INT(S56*$V$6)</f>
        <v>1024160</v>
      </c>
      <c r="AA56">
        <f t="shared" ref="AA56:AA59" si="69">INT(T56*$V$6)</f>
        <v>0</v>
      </c>
      <c r="AB56">
        <f t="shared" ref="AB56:AB59" si="70">INT(U56*$V$6)</f>
        <v>0</v>
      </c>
    </row>
    <row r="57" spans="1:28" ht="22.5" customHeight="1">
      <c r="A57" s="101" t="s">
        <v>376</v>
      </c>
      <c r="B57" s="56" t="s">
        <v>123</v>
      </c>
      <c r="C57" s="101" t="s">
        <v>121</v>
      </c>
      <c r="D57" s="169">
        <f>'기성내역서(중앙_2권역 대행)'!D57+'기성내역서(수지-수원_시티_건가)'!D57+'기성내역서(2025열수송관_시티_건가)'!D57+'기성내역서(2024용인_지성_제조)'!D57+'기성내역서(2024용인_지성_건가)'!D57+'기성내역서(2024용인_지성_예수금)'!D57</f>
        <v>0</v>
      </c>
      <c r="E57" s="101" t="s">
        <v>126</v>
      </c>
      <c r="F57" s="107">
        <f t="shared" si="57"/>
        <v>12998</v>
      </c>
      <c r="G57" s="107">
        <f t="shared" si="58"/>
        <v>0</v>
      </c>
      <c r="H57" s="107">
        <f t="shared" si="59"/>
        <v>35841</v>
      </c>
      <c r="I57" s="107">
        <f t="shared" si="60"/>
        <v>0</v>
      </c>
      <c r="J57" s="107">
        <f t="shared" si="61"/>
        <v>3899</v>
      </c>
      <c r="K57" s="107">
        <f t="shared" si="62"/>
        <v>0</v>
      </c>
      <c r="L57" s="107">
        <f t="shared" si="63"/>
        <v>52738</v>
      </c>
      <c r="M57" s="107">
        <f t="shared" si="64"/>
        <v>0</v>
      </c>
      <c r="N57" s="110"/>
      <c r="P57">
        <v>15286</v>
      </c>
      <c r="Q57">
        <v>489152</v>
      </c>
      <c r="R57">
        <v>35913</v>
      </c>
      <c r="S57">
        <v>1149216</v>
      </c>
      <c r="T57">
        <v>4585</v>
      </c>
      <c r="U57">
        <v>146720</v>
      </c>
      <c r="W57">
        <f t="shared" si="65"/>
        <v>12998</v>
      </c>
      <c r="X57">
        <f t="shared" si="66"/>
        <v>415966</v>
      </c>
      <c r="Y57">
        <f t="shared" si="67"/>
        <v>35841</v>
      </c>
      <c r="Z57">
        <f t="shared" si="68"/>
        <v>977273</v>
      </c>
      <c r="AA57">
        <f t="shared" si="69"/>
        <v>3899</v>
      </c>
      <c r="AB57">
        <f t="shared" si="70"/>
        <v>124768</v>
      </c>
    </row>
    <row r="58" spans="1:28" ht="22.5" customHeight="1">
      <c r="A58" s="101" t="s">
        <v>377</v>
      </c>
      <c r="B58" s="56" t="s">
        <v>124</v>
      </c>
      <c r="C58" s="101" t="s">
        <v>121</v>
      </c>
      <c r="D58" s="169">
        <f>'기성내역서(중앙_2권역 대행)'!D58+'기성내역서(수지-수원_시티_건가)'!D58+'기성내역서(2025열수송관_시티_건가)'!D58+'기성내역서(2024용인_지성_제조)'!D58+'기성내역서(2024용인_지성_건가)'!D58+'기성내역서(2024용인_지성_예수금)'!D58</f>
        <v>0</v>
      </c>
      <c r="E58" s="101" t="s">
        <v>127</v>
      </c>
      <c r="F58" s="107">
        <f t="shared" si="57"/>
        <v>0</v>
      </c>
      <c r="G58" s="107">
        <f t="shared" si="58"/>
        <v>0</v>
      </c>
      <c r="H58" s="107">
        <f t="shared" si="59"/>
        <v>0</v>
      </c>
      <c r="I58" s="107">
        <f t="shared" si="60"/>
        <v>0</v>
      </c>
      <c r="J58" s="107">
        <f t="shared" si="61"/>
        <v>98</v>
      </c>
      <c r="K58" s="107">
        <f t="shared" si="62"/>
        <v>0</v>
      </c>
      <c r="L58" s="107">
        <f t="shared" si="63"/>
        <v>98</v>
      </c>
      <c r="M58" s="107">
        <f t="shared" si="64"/>
        <v>0</v>
      </c>
      <c r="N58" s="110" t="s">
        <v>10</v>
      </c>
      <c r="P58">
        <v>0</v>
      </c>
      <c r="Q58">
        <v>0</v>
      </c>
      <c r="R58">
        <v>0</v>
      </c>
      <c r="S58">
        <v>0</v>
      </c>
      <c r="T58">
        <v>116</v>
      </c>
      <c r="U58">
        <v>3712</v>
      </c>
      <c r="W58">
        <f t="shared" si="65"/>
        <v>0</v>
      </c>
      <c r="X58">
        <f t="shared" si="66"/>
        <v>0</v>
      </c>
      <c r="Y58">
        <f t="shared" si="67"/>
        <v>0</v>
      </c>
      <c r="Z58">
        <f t="shared" si="68"/>
        <v>0</v>
      </c>
      <c r="AA58">
        <f t="shared" si="69"/>
        <v>98</v>
      </c>
      <c r="AB58">
        <f t="shared" si="70"/>
        <v>3156</v>
      </c>
    </row>
    <row r="59" spans="1:28" ht="22.5" customHeight="1">
      <c r="A59" s="101" t="s">
        <v>378</v>
      </c>
      <c r="B59" s="56" t="s">
        <v>122</v>
      </c>
      <c r="C59" s="101" t="s">
        <v>121</v>
      </c>
      <c r="D59" s="169">
        <f>'기성내역서(중앙_2권역 대행)'!D59+'기성내역서(수지-수원_시티_건가)'!D59+'기성내역서(2025열수송관_시티_건가)'!D59+'기성내역서(2024용인_지성_제조)'!D59+'기성내역서(2024용인_지성_건가)'!D59+'기성내역서(2024용인_지성_예수금)'!D59</f>
        <v>0</v>
      </c>
      <c r="E59" s="101" t="s">
        <v>127</v>
      </c>
      <c r="F59" s="107">
        <f t="shared" si="57"/>
        <v>10216</v>
      </c>
      <c r="G59" s="107">
        <f t="shared" si="58"/>
        <v>0</v>
      </c>
      <c r="H59" s="107">
        <f t="shared" si="59"/>
        <v>58179</v>
      </c>
      <c r="I59" s="107">
        <f t="shared" si="60"/>
        <v>0</v>
      </c>
      <c r="J59" s="107">
        <f t="shared" si="61"/>
        <v>49420</v>
      </c>
      <c r="K59" s="107">
        <f t="shared" si="62"/>
        <v>0</v>
      </c>
      <c r="L59" s="107">
        <f t="shared" si="63"/>
        <v>117815</v>
      </c>
      <c r="M59" s="107">
        <f t="shared" si="64"/>
        <v>0</v>
      </c>
      <c r="N59" s="110" t="s">
        <v>10</v>
      </c>
      <c r="P59">
        <v>12014</v>
      </c>
      <c r="Q59">
        <v>384448</v>
      </c>
      <c r="R59">
        <v>58296</v>
      </c>
      <c r="S59">
        <v>1865472</v>
      </c>
      <c r="T59">
        <v>58116</v>
      </c>
      <c r="U59">
        <v>1859712</v>
      </c>
      <c r="W59">
        <f t="shared" si="65"/>
        <v>10216</v>
      </c>
      <c r="X59">
        <f t="shared" si="66"/>
        <v>326928</v>
      </c>
      <c r="Y59">
        <f t="shared" si="67"/>
        <v>58179</v>
      </c>
      <c r="Z59">
        <f t="shared" si="68"/>
        <v>1586365</v>
      </c>
      <c r="AA59">
        <f t="shared" si="69"/>
        <v>49420</v>
      </c>
      <c r="AB59">
        <f t="shared" si="70"/>
        <v>1581467</v>
      </c>
    </row>
    <row r="60" spans="1:28" ht="22.5" customHeight="1">
      <c r="A60" s="101"/>
      <c r="B60" s="56" t="s">
        <v>116</v>
      </c>
      <c r="C60" s="101"/>
      <c r="D60" s="169">
        <f>SUM(D56:D59)</f>
        <v>0</v>
      </c>
      <c r="E60" s="101"/>
      <c r="F60" s="119"/>
      <c r="G60" s="119">
        <f>SUM(G56:G59)</f>
        <v>0</v>
      </c>
      <c r="H60" s="119"/>
      <c r="I60" s="119">
        <f>SUM(I56:I59)</f>
        <v>0</v>
      </c>
      <c r="J60" s="119"/>
      <c r="K60" s="119">
        <f>SUM(K56:K59)</f>
        <v>0</v>
      </c>
      <c r="L60" s="119"/>
      <c r="M60" s="119">
        <f>SUM(M56:M59)</f>
        <v>0</v>
      </c>
      <c r="N60" s="110"/>
      <c r="Q60">
        <v>873600</v>
      </c>
      <c r="S60">
        <v>4219040</v>
      </c>
      <c r="U60">
        <v>2010144</v>
      </c>
    </row>
    <row r="61" spans="1:28" ht="22.5" customHeight="1">
      <c r="A61" s="106" t="s">
        <v>45</v>
      </c>
      <c r="B61" s="106" t="s">
        <v>10</v>
      </c>
      <c r="C61" s="106" t="s">
        <v>10</v>
      </c>
      <c r="D61" s="108">
        <v>0</v>
      </c>
      <c r="E61" s="109" t="s">
        <v>10</v>
      </c>
      <c r="F61" s="113"/>
      <c r="G61" s="113">
        <f>G28+G44+G51+G60</f>
        <v>990810756</v>
      </c>
      <c r="H61" s="113"/>
      <c r="I61" s="113">
        <f>I28+I44+I51+I60</f>
        <v>154624108</v>
      </c>
      <c r="J61" s="113"/>
      <c r="K61" s="113">
        <f>K28+K44+K51+K60</f>
        <v>59297226</v>
      </c>
      <c r="L61" s="113"/>
      <c r="M61" s="113">
        <f>M28+M44+M51+M60</f>
        <v>1204732090</v>
      </c>
      <c r="N61" s="114" t="s">
        <v>10</v>
      </c>
    </row>
    <row r="62" spans="1:28">
      <c r="C62" s="295"/>
      <c r="D62" s="295">
        <f>D28+D44+D51+D54</f>
        <v>38</v>
      </c>
    </row>
  </sheetData>
  <autoFilter ref="A4:N61"/>
  <mergeCells count="1">
    <mergeCell ref="A1:N1"/>
  </mergeCells>
  <phoneticPr fontId="13" type="noConversion"/>
  <printOptions horizontalCentered="1"/>
  <pageMargins left="0.51181102362204722" right="0.51181102362204722" top="0.82677165354330717" bottom="0.86614173228346458" header="0.51181102362204722" footer="0.59055118110236227"/>
  <pageSetup paperSize="9" scale="63" fitToHeight="0" orientation="landscape" horizontalDpi="360" verticalDpi="360" r:id="rId1"/>
  <headerFooter alignWithMargins="0"/>
  <ignoredErrors>
    <ignoredError sqref="A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CC"/>
  </sheetPr>
  <dimension ref="A1:DN41"/>
  <sheetViews>
    <sheetView view="pageBreakPreview" zoomScale="85" zoomScaleNormal="90" zoomScaleSheetLayoutView="85" workbookViewId="0">
      <pane xSplit="10" ySplit="3" topLeftCell="K22" activePane="bottomRight" state="frozen"/>
      <selection activeCell="F18" sqref="F18"/>
      <selection pane="topRight" activeCell="F18" sqref="F18"/>
      <selection pane="bottomLeft" activeCell="F18" sqref="F18"/>
      <selection pane="bottomRight" activeCell="L35" sqref="L35"/>
    </sheetView>
  </sheetViews>
  <sheetFormatPr defaultRowHeight="34.700000000000003" customHeight="1"/>
  <cols>
    <col min="1" max="1" width="4.625" style="1" customWidth="1"/>
    <col min="2" max="2" width="27.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4.625" style="38" customWidth="1"/>
    <col min="8" max="8" width="10.625" style="40" customWidth="1"/>
    <col min="9" max="9" width="9.875" style="38" customWidth="1"/>
    <col min="10" max="10" width="18.125" style="38" bestFit="1" customWidth="1"/>
    <col min="11" max="11" width="18.125" style="40" bestFit="1" customWidth="1"/>
    <col min="12" max="12" width="18.125" style="40" customWidth="1"/>
    <col min="13" max="13" width="9.625" style="5" customWidth="1"/>
    <col min="14" max="233" width="9" style="1"/>
    <col min="234" max="234" width="4.625" style="1" customWidth="1"/>
    <col min="235" max="235" width="34.625" style="1" customWidth="1"/>
    <col min="236" max="236" width="11.625" style="1" customWidth="1"/>
    <col min="237" max="238" width="6.625" style="1" customWidth="1"/>
    <col min="239" max="239" width="10.625" style="1" customWidth="1"/>
    <col min="240" max="240" width="14.625" style="1" customWidth="1"/>
    <col min="241" max="241" width="10.625" style="1" customWidth="1"/>
    <col min="242" max="242" width="14.625" style="1" customWidth="1"/>
    <col min="243" max="243" width="10.625" style="1" customWidth="1"/>
    <col min="244" max="244" width="14.625" style="1" customWidth="1"/>
    <col min="245" max="245" width="10.625" style="1" customWidth="1"/>
    <col min="246" max="246" width="18.625" style="1" customWidth="1"/>
    <col min="247" max="247" width="9.625" style="1" customWidth="1"/>
    <col min="248" max="248" width="10.5" style="1" customWidth="1"/>
    <col min="249" max="249" width="20.375" style="1" bestFit="1" customWidth="1"/>
    <col min="250" max="250" width="12.5" style="1" customWidth="1"/>
    <col min="251" max="251" width="13.125" style="1" customWidth="1"/>
    <col min="252" max="256" width="9" style="1"/>
    <col min="257" max="257" width="11.25" style="1" bestFit="1" customWidth="1"/>
    <col min="258" max="258" width="11.625" style="1" bestFit="1" customWidth="1"/>
    <col min="259" max="489" width="9" style="1"/>
    <col min="490" max="490" width="4.625" style="1" customWidth="1"/>
    <col min="491" max="491" width="34.625" style="1" customWidth="1"/>
    <col min="492" max="492" width="11.625" style="1" customWidth="1"/>
    <col min="493" max="494" width="6.625" style="1" customWidth="1"/>
    <col min="495" max="495" width="10.625" style="1" customWidth="1"/>
    <col min="496" max="496" width="14.625" style="1" customWidth="1"/>
    <col min="497" max="497" width="10.625" style="1" customWidth="1"/>
    <col min="498" max="498" width="14.625" style="1" customWidth="1"/>
    <col min="499" max="499" width="10.625" style="1" customWidth="1"/>
    <col min="500" max="500" width="14.625" style="1" customWidth="1"/>
    <col min="501" max="501" width="10.625" style="1" customWidth="1"/>
    <col min="502" max="502" width="18.625" style="1" customWidth="1"/>
    <col min="503" max="503" width="9.625" style="1" customWidth="1"/>
    <col min="504" max="504" width="10.5" style="1" customWidth="1"/>
    <col min="505" max="505" width="20.375" style="1" bestFit="1" customWidth="1"/>
    <col min="506" max="506" width="12.5" style="1" customWidth="1"/>
    <col min="507" max="507" width="13.125" style="1" customWidth="1"/>
    <col min="508" max="512" width="9" style="1"/>
    <col min="513" max="513" width="11.25" style="1" bestFit="1" customWidth="1"/>
    <col min="514" max="514" width="11.625" style="1" bestFit="1" customWidth="1"/>
    <col min="515" max="745" width="9" style="1"/>
    <col min="746" max="746" width="4.625" style="1" customWidth="1"/>
    <col min="747" max="747" width="34.625" style="1" customWidth="1"/>
    <col min="748" max="748" width="11.625" style="1" customWidth="1"/>
    <col min="749" max="750" width="6.625" style="1" customWidth="1"/>
    <col min="751" max="751" width="10.625" style="1" customWidth="1"/>
    <col min="752" max="752" width="14.625" style="1" customWidth="1"/>
    <col min="753" max="753" width="10.625" style="1" customWidth="1"/>
    <col min="754" max="754" width="14.625" style="1" customWidth="1"/>
    <col min="755" max="755" width="10.625" style="1" customWidth="1"/>
    <col min="756" max="756" width="14.625" style="1" customWidth="1"/>
    <col min="757" max="757" width="10.625" style="1" customWidth="1"/>
    <col min="758" max="758" width="18.625" style="1" customWidth="1"/>
    <col min="759" max="759" width="9.625" style="1" customWidth="1"/>
    <col min="760" max="760" width="10.5" style="1" customWidth="1"/>
    <col min="761" max="761" width="20.375" style="1" bestFit="1" customWidth="1"/>
    <col min="762" max="762" width="12.5" style="1" customWidth="1"/>
    <col min="763" max="763" width="13.125" style="1" customWidth="1"/>
    <col min="764" max="768" width="9" style="1"/>
    <col min="769" max="769" width="11.25" style="1" bestFit="1" customWidth="1"/>
    <col min="770" max="770" width="11.625" style="1" bestFit="1" customWidth="1"/>
    <col min="771" max="1001" width="9" style="1"/>
    <col min="1002" max="1002" width="4.625" style="1" customWidth="1"/>
    <col min="1003" max="1003" width="34.625" style="1" customWidth="1"/>
    <col min="1004" max="1004" width="11.625" style="1" customWidth="1"/>
    <col min="1005" max="1006" width="6.625" style="1" customWidth="1"/>
    <col min="1007" max="1007" width="10.625" style="1" customWidth="1"/>
    <col min="1008" max="1008" width="14.625" style="1" customWidth="1"/>
    <col min="1009" max="1009" width="10.625" style="1" customWidth="1"/>
    <col min="1010" max="1010" width="14.625" style="1" customWidth="1"/>
    <col min="1011" max="1011" width="10.625" style="1" customWidth="1"/>
    <col min="1012" max="1012" width="14.625" style="1" customWidth="1"/>
    <col min="1013" max="1013" width="10.625" style="1" customWidth="1"/>
    <col min="1014" max="1014" width="18.625" style="1" customWidth="1"/>
    <col min="1015" max="1015" width="9.625" style="1" customWidth="1"/>
    <col min="1016" max="1016" width="10.5" style="1" customWidth="1"/>
    <col min="1017" max="1017" width="20.375" style="1" bestFit="1" customWidth="1"/>
    <col min="1018" max="1018" width="12.5" style="1" customWidth="1"/>
    <col min="1019" max="1019" width="13.125" style="1" customWidth="1"/>
    <col min="1020" max="1024" width="9" style="1"/>
    <col min="1025" max="1025" width="11.25" style="1" bestFit="1" customWidth="1"/>
    <col min="1026" max="1026" width="11.625" style="1" bestFit="1" customWidth="1"/>
    <col min="1027" max="1257" width="9" style="1"/>
    <col min="1258" max="1258" width="4.625" style="1" customWidth="1"/>
    <col min="1259" max="1259" width="34.625" style="1" customWidth="1"/>
    <col min="1260" max="1260" width="11.625" style="1" customWidth="1"/>
    <col min="1261" max="1262" width="6.625" style="1" customWidth="1"/>
    <col min="1263" max="1263" width="10.625" style="1" customWidth="1"/>
    <col min="1264" max="1264" width="14.625" style="1" customWidth="1"/>
    <col min="1265" max="1265" width="10.625" style="1" customWidth="1"/>
    <col min="1266" max="1266" width="14.625" style="1" customWidth="1"/>
    <col min="1267" max="1267" width="10.625" style="1" customWidth="1"/>
    <col min="1268" max="1268" width="14.625" style="1" customWidth="1"/>
    <col min="1269" max="1269" width="10.625" style="1" customWidth="1"/>
    <col min="1270" max="1270" width="18.625" style="1" customWidth="1"/>
    <col min="1271" max="1271" width="9.625" style="1" customWidth="1"/>
    <col min="1272" max="1272" width="10.5" style="1" customWidth="1"/>
    <col min="1273" max="1273" width="20.375" style="1" bestFit="1" customWidth="1"/>
    <col min="1274" max="1274" width="12.5" style="1" customWidth="1"/>
    <col min="1275" max="1275" width="13.125" style="1" customWidth="1"/>
    <col min="1276" max="1280" width="9" style="1"/>
    <col min="1281" max="1281" width="11.25" style="1" bestFit="1" customWidth="1"/>
    <col min="1282" max="1282" width="11.625" style="1" bestFit="1" customWidth="1"/>
    <col min="1283" max="1513" width="9" style="1"/>
    <col min="1514" max="1514" width="4.625" style="1" customWidth="1"/>
    <col min="1515" max="1515" width="34.625" style="1" customWidth="1"/>
    <col min="1516" max="1516" width="11.625" style="1" customWidth="1"/>
    <col min="1517" max="1518" width="6.625" style="1" customWidth="1"/>
    <col min="1519" max="1519" width="10.625" style="1" customWidth="1"/>
    <col min="1520" max="1520" width="14.625" style="1" customWidth="1"/>
    <col min="1521" max="1521" width="10.625" style="1" customWidth="1"/>
    <col min="1522" max="1522" width="14.625" style="1" customWidth="1"/>
    <col min="1523" max="1523" width="10.625" style="1" customWidth="1"/>
    <col min="1524" max="1524" width="14.625" style="1" customWidth="1"/>
    <col min="1525" max="1525" width="10.625" style="1" customWidth="1"/>
    <col min="1526" max="1526" width="18.625" style="1" customWidth="1"/>
    <col min="1527" max="1527" width="9.625" style="1" customWidth="1"/>
    <col min="1528" max="1528" width="10.5" style="1" customWidth="1"/>
    <col min="1529" max="1529" width="20.375" style="1" bestFit="1" customWidth="1"/>
    <col min="1530" max="1530" width="12.5" style="1" customWidth="1"/>
    <col min="1531" max="1531" width="13.125" style="1" customWidth="1"/>
    <col min="1532" max="1536" width="9" style="1"/>
    <col min="1537" max="1537" width="11.25" style="1" bestFit="1" customWidth="1"/>
    <col min="1538" max="1538" width="11.625" style="1" bestFit="1" customWidth="1"/>
    <col min="1539" max="1769" width="9" style="1"/>
    <col min="1770" max="1770" width="4.625" style="1" customWidth="1"/>
    <col min="1771" max="1771" width="34.625" style="1" customWidth="1"/>
    <col min="1772" max="1772" width="11.625" style="1" customWidth="1"/>
    <col min="1773" max="1774" width="6.625" style="1" customWidth="1"/>
    <col min="1775" max="1775" width="10.625" style="1" customWidth="1"/>
    <col min="1776" max="1776" width="14.625" style="1" customWidth="1"/>
    <col min="1777" max="1777" width="10.625" style="1" customWidth="1"/>
    <col min="1778" max="1778" width="14.625" style="1" customWidth="1"/>
    <col min="1779" max="1779" width="10.625" style="1" customWidth="1"/>
    <col min="1780" max="1780" width="14.625" style="1" customWidth="1"/>
    <col min="1781" max="1781" width="10.625" style="1" customWidth="1"/>
    <col min="1782" max="1782" width="18.625" style="1" customWidth="1"/>
    <col min="1783" max="1783" width="9.625" style="1" customWidth="1"/>
    <col min="1784" max="1784" width="10.5" style="1" customWidth="1"/>
    <col min="1785" max="1785" width="20.375" style="1" bestFit="1" customWidth="1"/>
    <col min="1786" max="1786" width="12.5" style="1" customWidth="1"/>
    <col min="1787" max="1787" width="13.125" style="1" customWidth="1"/>
    <col min="1788" max="1792" width="9" style="1"/>
    <col min="1793" max="1793" width="11.25" style="1" bestFit="1" customWidth="1"/>
    <col min="1794" max="1794" width="11.625" style="1" bestFit="1" customWidth="1"/>
    <col min="1795" max="2025" width="9" style="1"/>
    <col min="2026" max="2026" width="4.625" style="1" customWidth="1"/>
    <col min="2027" max="2027" width="34.625" style="1" customWidth="1"/>
    <col min="2028" max="2028" width="11.625" style="1" customWidth="1"/>
    <col min="2029" max="2030" width="6.625" style="1" customWidth="1"/>
    <col min="2031" max="2031" width="10.625" style="1" customWidth="1"/>
    <col min="2032" max="2032" width="14.625" style="1" customWidth="1"/>
    <col min="2033" max="2033" width="10.625" style="1" customWidth="1"/>
    <col min="2034" max="2034" width="14.625" style="1" customWidth="1"/>
    <col min="2035" max="2035" width="10.625" style="1" customWidth="1"/>
    <col min="2036" max="2036" width="14.625" style="1" customWidth="1"/>
    <col min="2037" max="2037" width="10.625" style="1" customWidth="1"/>
    <col min="2038" max="2038" width="18.625" style="1" customWidth="1"/>
    <col min="2039" max="2039" width="9.625" style="1" customWidth="1"/>
    <col min="2040" max="2040" width="10.5" style="1" customWidth="1"/>
    <col min="2041" max="2041" width="20.375" style="1" bestFit="1" customWidth="1"/>
    <col min="2042" max="2042" width="12.5" style="1" customWidth="1"/>
    <col min="2043" max="2043" width="13.125" style="1" customWidth="1"/>
    <col min="2044" max="2048" width="9" style="1"/>
    <col min="2049" max="2049" width="11.25" style="1" bestFit="1" customWidth="1"/>
    <col min="2050" max="2050" width="11.625" style="1" bestFit="1" customWidth="1"/>
    <col min="2051" max="2281" width="9" style="1"/>
    <col min="2282" max="2282" width="4.625" style="1" customWidth="1"/>
    <col min="2283" max="2283" width="34.625" style="1" customWidth="1"/>
    <col min="2284" max="2284" width="11.625" style="1" customWidth="1"/>
    <col min="2285" max="2286" width="6.625" style="1" customWidth="1"/>
    <col min="2287" max="2287" width="10.625" style="1" customWidth="1"/>
    <col min="2288" max="2288" width="14.625" style="1" customWidth="1"/>
    <col min="2289" max="2289" width="10.625" style="1" customWidth="1"/>
    <col min="2290" max="2290" width="14.625" style="1" customWidth="1"/>
    <col min="2291" max="2291" width="10.625" style="1" customWidth="1"/>
    <col min="2292" max="2292" width="14.625" style="1" customWidth="1"/>
    <col min="2293" max="2293" width="10.625" style="1" customWidth="1"/>
    <col min="2294" max="2294" width="18.625" style="1" customWidth="1"/>
    <col min="2295" max="2295" width="9.625" style="1" customWidth="1"/>
    <col min="2296" max="2296" width="10.5" style="1" customWidth="1"/>
    <col min="2297" max="2297" width="20.375" style="1" bestFit="1" customWidth="1"/>
    <col min="2298" max="2298" width="12.5" style="1" customWidth="1"/>
    <col min="2299" max="2299" width="13.125" style="1" customWidth="1"/>
    <col min="2300" max="2304" width="9" style="1"/>
    <col min="2305" max="2305" width="11.25" style="1" bestFit="1" customWidth="1"/>
    <col min="2306" max="2306" width="11.625" style="1" bestFit="1" customWidth="1"/>
    <col min="2307" max="2537" width="9" style="1"/>
    <col min="2538" max="2538" width="4.625" style="1" customWidth="1"/>
    <col min="2539" max="2539" width="34.625" style="1" customWidth="1"/>
    <col min="2540" max="2540" width="11.625" style="1" customWidth="1"/>
    <col min="2541" max="2542" width="6.625" style="1" customWidth="1"/>
    <col min="2543" max="2543" width="10.625" style="1" customWidth="1"/>
    <col min="2544" max="2544" width="14.625" style="1" customWidth="1"/>
    <col min="2545" max="2545" width="10.625" style="1" customWidth="1"/>
    <col min="2546" max="2546" width="14.625" style="1" customWidth="1"/>
    <col min="2547" max="2547" width="10.625" style="1" customWidth="1"/>
    <col min="2548" max="2548" width="14.625" style="1" customWidth="1"/>
    <col min="2549" max="2549" width="10.625" style="1" customWidth="1"/>
    <col min="2550" max="2550" width="18.625" style="1" customWidth="1"/>
    <col min="2551" max="2551" width="9.625" style="1" customWidth="1"/>
    <col min="2552" max="2552" width="10.5" style="1" customWidth="1"/>
    <col min="2553" max="2553" width="20.375" style="1" bestFit="1" customWidth="1"/>
    <col min="2554" max="2554" width="12.5" style="1" customWidth="1"/>
    <col min="2555" max="2555" width="13.125" style="1" customWidth="1"/>
    <col min="2556" max="2560" width="9" style="1"/>
    <col min="2561" max="2561" width="11.25" style="1" bestFit="1" customWidth="1"/>
    <col min="2562" max="2562" width="11.625" style="1" bestFit="1" customWidth="1"/>
    <col min="2563" max="2793" width="9" style="1"/>
    <col min="2794" max="2794" width="4.625" style="1" customWidth="1"/>
    <col min="2795" max="2795" width="34.625" style="1" customWidth="1"/>
    <col min="2796" max="2796" width="11.625" style="1" customWidth="1"/>
    <col min="2797" max="2798" width="6.625" style="1" customWidth="1"/>
    <col min="2799" max="2799" width="10.625" style="1" customWidth="1"/>
    <col min="2800" max="2800" width="14.625" style="1" customWidth="1"/>
    <col min="2801" max="2801" width="10.625" style="1" customWidth="1"/>
    <col min="2802" max="2802" width="14.625" style="1" customWidth="1"/>
    <col min="2803" max="2803" width="10.625" style="1" customWidth="1"/>
    <col min="2804" max="2804" width="14.625" style="1" customWidth="1"/>
    <col min="2805" max="2805" width="10.625" style="1" customWidth="1"/>
    <col min="2806" max="2806" width="18.625" style="1" customWidth="1"/>
    <col min="2807" max="2807" width="9.625" style="1" customWidth="1"/>
    <col min="2808" max="2808" width="10.5" style="1" customWidth="1"/>
    <col min="2809" max="2809" width="20.375" style="1" bestFit="1" customWidth="1"/>
    <col min="2810" max="2810" width="12.5" style="1" customWidth="1"/>
    <col min="2811" max="2811" width="13.125" style="1" customWidth="1"/>
    <col min="2812" max="2816" width="9" style="1"/>
    <col min="2817" max="2817" width="11.25" style="1" bestFit="1" customWidth="1"/>
    <col min="2818" max="2818" width="11.625" style="1" bestFit="1" customWidth="1"/>
    <col min="2819" max="3049" width="9" style="1"/>
    <col min="3050" max="3050" width="4.625" style="1" customWidth="1"/>
    <col min="3051" max="3051" width="34.625" style="1" customWidth="1"/>
    <col min="3052" max="3052" width="11.625" style="1" customWidth="1"/>
    <col min="3053" max="3054" width="6.625" style="1" customWidth="1"/>
    <col min="3055" max="3055" width="10.625" style="1" customWidth="1"/>
    <col min="3056" max="3056" width="14.625" style="1" customWidth="1"/>
    <col min="3057" max="3057" width="10.625" style="1" customWidth="1"/>
    <col min="3058" max="3058" width="14.625" style="1" customWidth="1"/>
    <col min="3059" max="3059" width="10.625" style="1" customWidth="1"/>
    <col min="3060" max="3060" width="14.625" style="1" customWidth="1"/>
    <col min="3061" max="3061" width="10.625" style="1" customWidth="1"/>
    <col min="3062" max="3062" width="18.625" style="1" customWidth="1"/>
    <col min="3063" max="3063" width="9.625" style="1" customWidth="1"/>
    <col min="3064" max="3064" width="10.5" style="1" customWidth="1"/>
    <col min="3065" max="3065" width="20.375" style="1" bestFit="1" customWidth="1"/>
    <col min="3066" max="3066" width="12.5" style="1" customWidth="1"/>
    <col min="3067" max="3067" width="13.125" style="1" customWidth="1"/>
    <col min="3068" max="3072" width="9" style="1"/>
    <col min="3073" max="3073" width="11.25" style="1" bestFit="1" customWidth="1"/>
    <col min="3074" max="3074" width="11.625" style="1" bestFit="1" customWidth="1"/>
    <col min="3075" max="3305" width="9" style="1"/>
    <col min="3306" max="3306" width="4.625" style="1" customWidth="1"/>
    <col min="3307" max="3307" width="34.625" style="1" customWidth="1"/>
    <col min="3308" max="3308" width="11.625" style="1" customWidth="1"/>
    <col min="3309" max="3310" width="6.625" style="1" customWidth="1"/>
    <col min="3311" max="3311" width="10.625" style="1" customWidth="1"/>
    <col min="3312" max="3312" width="14.625" style="1" customWidth="1"/>
    <col min="3313" max="3313" width="10.625" style="1" customWidth="1"/>
    <col min="3314" max="3314" width="14.625" style="1" customWidth="1"/>
    <col min="3315" max="3315" width="10.625" style="1" customWidth="1"/>
    <col min="3316" max="3316" width="14.625" style="1" customWidth="1"/>
    <col min="3317" max="3317" width="10.625" style="1" customWidth="1"/>
    <col min="3318" max="3318" width="18.625" style="1" customWidth="1"/>
    <col min="3319" max="3319" width="9.625" style="1" customWidth="1"/>
    <col min="3320" max="3320" width="10.5" style="1" customWidth="1"/>
    <col min="3321" max="3321" width="20.375" style="1" bestFit="1" customWidth="1"/>
    <col min="3322" max="3322" width="12.5" style="1" customWidth="1"/>
    <col min="3323" max="3323" width="13.125" style="1" customWidth="1"/>
    <col min="3324" max="3328" width="9" style="1"/>
    <col min="3329" max="3329" width="11.25" style="1" bestFit="1" customWidth="1"/>
    <col min="3330" max="3330" width="11.625" style="1" bestFit="1" customWidth="1"/>
    <col min="3331" max="3561" width="9" style="1"/>
    <col min="3562" max="3562" width="4.625" style="1" customWidth="1"/>
    <col min="3563" max="3563" width="34.625" style="1" customWidth="1"/>
    <col min="3564" max="3564" width="11.625" style="1" customWidth="1"/>
    <col min="3565" max="3566" width="6.625" style="1" customWidth="1"/>
    <col min="3567" max="3567" width="10.625" style="1" customWidth="1"/>
    <col min="3568" max="3568" width="14.625" style="1" customWidth="1"/>
    <col min="3569" max="3569" width="10.625" style="1" customWidth="1"/>
    <col min="3570" max="3570" width="14.625" style="1" customWidth="1"/>
    <col min="3571" max="3571" width="10.625" style="1" customWidth="1"/>
    <col min="3572" max="3572" width="14.625" style="1" customWidth="1"/>
    <col min="3573" max="3573" width="10.625" style="1" customWidth="1"/>
    <col min="3574" max="3574" width="18.625" style="1" customWidth="1"/>
    <col min="3575" max="3575" width="9.625" style="1" customWidth="1"/>
    <col min="3576" max="3576" width="10.5" style="1" customWidth="1"/>
    <col min="3577" max="3577" width="20.375" style="1" bestFit="1" customWidth="1"/>
    <col min="3578" max="3578" width="12.5" style="1" customWidth="1"/>
    <col min="3579" max="3579" width="13.125" style="1" customWidth="1"/>
    <col min="3580" max="3584" width="9" style="1"/>
    <col min="3585" max="3585" width="11.25" style="1" bestFit="1" customWidth="1"/>
    <col min="3586" max="3586" width="11.625" style="1" bestFit="1" customWidth="1"/>
    <col min="3587" max="3817" width="9" style="1"/>
    <col min="3818" max="3818" width="4.625" style="1" customWidth="1"/>
    <col min="3819" max="3819" width="34.625" style="1" customWidth="1"/>
    <col min="3820" max="3820" width="11.625" style="1" customWidth="1"/>
    <col min="3821" max="3822" width="6.625" style="1" customWidth="1"/>
    <col min="3823" max="3823" width="10.625" style="1" customWidth="1"/>
    <col min="3824" max="3824" width="14.625" style="1" customWidth="1"/>
    <col min="3825" max="3825" width="10.625" style="1" customWidth="1"/>
    <col min="3826" max="3826" width="14.625" style="1" customWidth="1"/>
    <col min="3827" max="3827" width="10.625" style="1" customWidth="1"/>
    <col min="3828" max="3828" width="14.625" style="1" customWidth="1"/>
    <col min="3829" max="3829" width="10.625" style="1" customWidth="1"/>
    <col min="3830" max="3830" width="18.625" style="1" customWidth="1"/>
    <col min="3831" max="3831" width="9.625" style="1" customWidth="1"/>
    <col min="3832" max="3832" width="10.5" style="1" customWidth="1"/>
    <col min="3833" max="3833" width="20.375" style="1" bestFit="1" customWidth="1"/>
    <col min="3834" max="3834" width="12.5" style="1" customWidth="1"/>
    <col min="3835" max="3835" width="13.125" style="1" customWidth="1"/>
    <col min="3836" max="3840" width="9" style="1"/>
    <col min="3841" max="3841" width="11.25" style="1" bestFit="1" customWidth="1"/>
    <col min="3842" max="3842" width="11.625" style="1" bestFit="1" customWidth="1"/>
    <col min="3843" max="4073" width="9" style="1"/>
    <col min="4074" max="4074" width="4.625" style="1" customWidth="1"/>
    <col min="4075" max="4075" width="34.625" style="1" customWidth="1"/>
    <col min="4076" max="4076" width="11.625" style="1" customWidth="1"/>
    <col min="4077" max="4078" width="6.625" style="1" customWidth="1"/>
    <col min="4079" max="4079" width="10.625" style="1" customWidth="1"/>
    <col min="4080" max="4080" width="14.625" style="1" customWidth="1"/>
    <col min="4081" max="4081" width="10.625" style="1" customWidth="1"/>
    <col min="4082" max="4082" width="14.625" style="1" customWidth="1"/>
    <col min="4083" max="4083" width="10.625" style="1" customWidth="1"/>
    <col min="4084" max="4084" width="14.625" style="1" customWidth="1"/>
    <col min="4085" max="4085" width="10.625" style="1" customWidth="1"/>
    <col min="4086" max="4086" width="18.625" style="1" customWidth="1"/>
    <col min="4087" max="4087" width="9.625" style="1" customWidth="1"/>
    <col min="4088" max="4088" width="10.5" style="1" customWidth="1"/>
    <col min="4089" max="4089" width="20.375" style="1" bestFit="1" customWidth="1"/>
    <col min="4090" max="4090" width="12.5" style="1" customWidth="1"/>
    <col min="4091" max="4091" width="13.125" style="1" customWidth="1"/>
    <col min="4092" max="4096" width="9" style="1"/>
    <col min="4097" max="4097" width="11.25" style="1" bestFit="1" customWidth="1"/>
    <col min="4098" max="4098" width="11.625" style="1" bestFit="1" customWidth="1"/>
    <col min="4099" max="4329" width="9" style="1"/>
    <col min="4330" max="4330" width="4.625" style="1" customWidth="1"/>
    <col min="4331" max="4331" width="34.625" style="1" customWidth="1"/>
    <col min="4332" max="4332" width="11.625" style="1" customWidth="1"/>
    <col min="4333" max="4334" width="6.625" style="1" customWidth="1"/>
    <col min="4335" max="4335" width="10.625" style="1" customWidth="1"/>
    <col min="4336" max="4336" width="14.625" style="1" customWidth="1"/>
    <col min="4337" max="4337" width="10.625" style="1" customWidth="1"/>
    <col min="4338" max="4338" width="14.625" style="1" customWidth="1"/>
    <col min="4339" max="4339" width="10.625" style="1" customWidth="1"/>
    <col min="4340" max="4340" width="14.625" style="1" customWidth="1"/>
    <col min="4341" max="4341" width="10.625" style="1" customWidth="1"/>
    <col min="4342" max="4342" width="18.625" style="1" customWidth="1"/>
    <col min="4343" max="4343" width="9.625" style="1" customWidth="1"/>
    <col min="4344" max="4344" width="10.5" style="1" customWidth="1"/>
    <col min="4345" max="4345" width="20.375" style="1" bestFit="1" customWidth="1"/>
    <col min="4346" max="4346" width="12.5" style="1" customWidth="1"/>
    <col min="4347" max="4347" width="13.125" style="1" customWidth="1"/>
    <col min="4348" max="4352" width="9" style="1"/>
    <col min="4353" max="4353" width="11.25" style="1" bestFit="1" customWidth="1"/>
    <col min="4354" max="4354" width="11.625" style="1" bestFit="1" customWidth="1"/>
    <col min="4355" max="4585" width="9" style="1"/>
    <col min="4586" max="4586" width="4.625" style="1" customWidth="1"/>
    <col min="4587" max="4587" width="34.625" style="1" customWidth="1"/>
    <col min="4588" max="4588" width="11.625" style="1" customWidth="1"/>
    <col min="4589" max="4590" width="6.625" style="1" customWidth="1"/>
    <col min="4591" max="4591" width="10.625" style="1" customWidth="1"/>
    <col min="4592" max="4592" width="14.625" style="1" customWidth="1"/>
    <col min="4593" max="4593" width="10.625" style="1" customWidth="1"/>
    <col min="4594" max="4594" width="14.625" style="1" customWidth="1"/>
    <col min="4595" max="4595" width="10.625" style="1" customWidth="1"/>
    <col min="4596" max="4596" width="14.625" style="1" customWidth="1"/>
    <col min="4597" max="4597" width="10.625" style="1" customWidth="1"/>
    <col min="4598" max="4598" width="18.625" style="1" customWidth="1"/>
    <col min="4599" max="4599" width="9.625" style="1" customWidth="1"/>
    <col min="4600" max="4600" width="10.5" style="1" customWidth="1"/>
    <col min="4601" max="4601" width="20.375" style="1" bestFit="1" customWidth="1"/>
    <col min="4602" max="4602" width="12.5" style="1" customWidth="1"/>
    <col min="4603" max="4603" width="13.125" style="1" customWidth="1"/>
    <col min="4604" max="4608" width="9" style="1"/>
    <col min="4609" max="4609" width="11.25" style="1" bestFit="1" customWidth="1"/>
    <col min="4610" max="4610" width="11.625" style="1" bestFit="1" customWidth="1"/>
    <col min="4611" max="4841" width="9" style="1"/>
    <col min="4842" max="4842" width="4.625" style="1" customWidth="1"/>
    <col min="4843" max="4843" width="34.625" style="1" customWidth="1"/>
    <col min="4844" max="4844" width="11.625" style="1" customWidth="1"/>
    <col min="4845" max="4846" width="6.625" style="1" customWidth="1"/>
    <col min="4847" max="4847" width="10.625" style="1" customWidth="1"/>
    <col min="4848" max="4848" width="14.625" style="1" customWidth="1"/>
    <col min="4849" max="4849" width="10.625" style="1" customWidth="1"/>
    <col min="4850" max="4850" width="14.625" style="1" customWidth="1"/>
    <col min="4851" max="4851" width="10.625" style="1" customWidth="1"/>
    <col min="4852" max="4852" width="14.625" style="1" customWidth="1"/>
    <col min="4853" max="4853" width="10.625" style="1" customWidth="1"/>
    <col min="4854" max="4854" width="18.625" style="1" customWidth="1"/>
    <col min="4855" max="4855" width="9.625" style="1" customWidth="1"/>
    <col min="4856" max="4856" width="10.5" style="1" customWidth="1"/>
    <col min="4857" max="4857" width="20.375" style="1" bestFit="1" customWidth="1"/>
    <col min="4858" max="4858" width="12.5" style="1" customWidth="1"/>
    <col min="4859" max="4859" width="13.125" style="1" customWidth="1"/>
    <col min="4860" max="4864" width="9" style="1"/>
    <col min="4865" max="4865" width="11.25" style="1" bestFit="1" customWidth="1"/>
    <col min="4866" max="4866" width="11.625" style="1" bestFit="1" customWidth="1"/>
    <col min="4867" max="5097" width="9" style="1"/>
    <col min="5098" max="5098" width="4.625" style="1" customWidth="1"/>
    <col min="5099" max="5099" width="34.625" style="1" customWidth="1"/>
    <col min="5100" max="5100" width="11.625" style="1" customWidth="1"/>
    <col min="5101" max="5102" width="6.625" style="1" customWidth="1"/>
    <col min="5103" max="5103" width="10.625" style="1" customWidth="1"/>
    <col min="5104" max="5104" width="14.625" style="1" customWidth="1"/>
    <col min="5105" max="5105" width="10.625" style="1" customWidth="1"/>
    <col min="5106" max="5106" width="14.625" style="1" customWidth="1"/>
    <col min="5107" max="5107" width="10.625" style="1" customWidth="1"/>
    <col min="5108" max="5108" width="14.625" style="1" customWidth="1"/>
    <col min="5109" max="5109" width="10.625" style="1" customWidth="1"/>
    <col min="5110" max="5110" width="18.625" style="1" customWidth="1"/>
    <col min="5111" max="5111" width="9.625" style="1" customWidth="1"/>
    <col min="5112" max="5112" width="10.5" style="1" customWidth="1"/>
    <col min="5113" max="5113" width="20.375" style="1" bestFit="1" customWidth="1"/>
    <col min="5114" max="5114" width="12.5" style="1" customWidth="1"/>
    <col min="5115" max="5115" width="13.125" style="1" customWidth="1"/>
    <col min="5116" max="5120" width="9" style="1"/>
    <col min="5121" max="5121" width="11.25" style="1" bestFit="1" customWidth="1"/>
    <col min="5122" max="5122" width="11.625" style="1" bestFit="1" customWidth="1"/>
    <col min="5123" max="5353" width="9" style="1"/>
    <col min="5354" max="5354" width="4.625" style="1" customWidth="1"/>
    <col min="5355" max="5355" width="34.625" style="1" customWidth="1"/>
    <col min="5356" max="5356" width="11.625" style="1" customWidth="1"/>
    <col min="5357" max="5358" width="6.625" style="1" customWidth="1"/>
    <col min="5359" max="5359" width="10.625" style="1" customWidth="1"/>
    <col min="5360" max="5360" width="14.625" style="1" customWidth="1"/>
    <col min="5361" max="5361" width="10.625" style="1" customWidth="1"/>
    <col min="5362" max="5362" width="14.625" style="1" customWidth="1"/>
    <col min="5363" max="5363" width="10.625" style="1" customWidth="1"/>
    <col min="5364" max="5364" width="14.625" style="1" customWidth="1"/>
    <col min="5365" max="5365" width="10.625" style="1" customWidth="1"/>
    <col min="5366" max="5366" width="18.625" style="1" customWidth="1"/>
    <col min="5367" max="5367" width="9.625" style="1" customWidth="1"/>
    <col min="5368" max="5368" width="10.5" style="1" customWidth="1"/>
    <col min="5369" max="5369" width="20.375" style="1" bestFit="1" customWidth="1"/>
    <col min="5370" max="5370" width="12.5" style="1" customWidth="1"/>
    <col min="5371" max="5371" width="13.125" style="1" customWidth="1"/>
    <col min="5372" max="5376" width="9" style="1"/>
    <col min="5377" max="5377" width="11.25" style="1" bestFit="1" customWidth="1"/>
    <col min="5378" max="5378" width="11.625" style="1" bestFit="1" customWidth="1"/>
    <col min="5379" max="5609" width="9" style="1"/>
    <col min="5610" max="5610" width="4.625" style="1" customWidth="1"/>
    <col min="5611" max="5611" width="34.625" style="1" customWidth="1"/>
    <col min="5612" max="5612" width="11.625" style="1" customWidth="1"/>
    <col min="5613" max="5614" width="6.625" style="1" customWidth="1"/>
    <col min="5615" max="5615" width="10.625" style="1" customWidth="1"/>
    <col min="5616" max="5616" width="14.625" style="1" customWidth="1"/>
    <col min="5617" max="5617" width="10.625" style="1" customWidth="1"/>
    <col min="5618" max="5618" width="14.625" style="1" customWidth="1"/>
    <col min="5619" max="5619" width="10.625" style="1" customWidth="1"/>
    <col min="5620" max="5620" width="14.625" style="1" customWidth="1"/>
    <col min="5621" max="5621" width="10.625" style="1" customWidth="1"/>
    <col min="5622" max="5622" width="18.625" style="1" customWidth="1"/>
    <col min="5623" max="5623" width="9.625" style="1" customWidth="1"/>
    <col min="5624" max="5624" width="10.5" style="1" customWidth="1"/>
    <col min="5625" max="5625" width="20.375" style="1" bestFit="1" customWidth="1"/>
    <col min="5626" max="5626" width="12.5" style="1" customWidth="1"/>
    <col min="5627" max="5627" width="13.125" style="1" customWidth="1"/>
    <col min="5628" max="5632" width="9" style="1"/>
    <col min="5633" max="5633" width="11.25" style="1" bestFit="1" customWidth="1"/>
    <col min="5634" max="5634" width="11.625" style="1" bestFit="1" customWidth="1"/>
    <col min="5635" max="5865" width="9" style="1"/>
    <col min="5866" max="5866" width="4.625" style="1" customWidth="1"/>
    <col min="5867" max="5867" width="34.625" style="1" customWidth="1"/>
    <col min="5868" max="5868" width="11.625" style="1" customWidth="1"/>
    <col min="5869" max="5870" width="6.625" style="1" customWidth="1"/>
    <col min="5871" max="5871" width="10.625" style="1" customWidth="1"/>
    <col min="5872" max="5872" width="14.625" style="1" customWidth="1"/>
    <col min="5873" max="5873" width="10.625" style="1" customWidth="1"/>
    <col min="5874" max="5874" width="14.625" style="1" customWidth="1"/>
    <col min="5875" max="5875" width="10.625" style="1" customWidth="1"/>
    <col min="5876" max="5876" width="14.625" style="1" customWidth="1"/>
    <col min="5877" max="5877" width="10.625" style="1" customWidth="1"/>
    <col min="5878" max="5878" width="18.625" style="1" customWidth="1"/>
    <col min="5879" max="5879" width="9.625" style="1" customWidth="1"/>
    <col min="5880" max="5880" width="10.5" style="1" customWidth="1"/>
    <col min="5881" max="5881" width="20.375" style="1" bestFit="1" customWidth="1"/>
    <col min="5882" max="5882" width="12.5" style="1" customWidth="1"/>
    <col min="5883" max="5883" width="13.125" style="1" customWidth="1"/>
    <col min="5884" max="5888" width="9" style="1"/>
    <col min="5889" max="5889" width="11.25" style="1" bestFit="1" customWidth="1"/>
    <col min="5890" max="5890" width="11.625" style="1" bestFit="1" customWidth="1"/>
    <col min="5891" max="6121" width="9" style="1"/>
    <col min="6122" max="6122" width="4.625" style="1" customWidth="1"/>
    <col min="6123" max="6123" width="34.625" style="1" customWidth="1"/>
    <col min="6124" max="6124" width="11.625" style="1" customWidth="1"/>
    <col min="6125" max="6126" width="6.625" style="1" customWidth="1"/>
    <col min="6127" max="6127" width="10.625" style="1" customWidth="1"/>
    <col min="6128" max="6128" width="14.625" style="1" customWidth="1"/>
    <col min="6129" max="6129" width="10.625" style="1" customWidth="1"/>
    <col min="6130" max="6130" width="14.625" style="1" customWidth="1"/>
    <col min="6131" max="6131" width="10.625" style="1" customWidth="1"/>
    <col min="6132" max="6132" width="14.625" style="1" customWidth="1"/>
    <col min="6133" max="6133" width="10.625" style="1" customWidth="1"/>
    <col min="6134" max="6134" width="18.625" style="1" customWidth="1"/>
    <col min="6135" max="6135" width="9.625" style="1" customWidth="1"/>
    <col min="6136" max="6136" width="10.5" style="1" customWidth="1"/>
    <col min="6137" max="6137" width="20.375" style="1" bestFit="1" customWidth="1"/>
    <col min="6138" max="6138" width="12.5" style="1" customWidth="1"/>
    <col min="6139" max="6139" width="13.125" style="1" customWidth="1"/>
    <col min="6140" max="6144" width="9" style="1"/>
    <col min="6145" max="6145" width="11.25" style="1" bestFit="1" customWidth="1"/>
    <col min="6146" max="6146" width="11.625" style="1" bestFit="1" customWidth="1"/>
    <col min="6147" max="6377" width="9" style="1"/>
    <col min="6378" max="6378" width="4.625" style="1" customWidth="1"/>
    <col min="6379" max="6379" width="34.625" style="1" customWidth="1"/>
    <col min="6380" max="6380" width="11.625" style="1" customWidth="1"/>
    <col min="6381" max="6382" width="6.625" style="1" customWidth="1"/>
    <col min="6383" max="6383" width="10.625" style="1" customWidth="1"/>
    <col min="6384" max="6384" width="14.625" style="1" customWidth="1"/>
    <col min="6385" max="6385" width="10.625" style="1" customWidth="1"/>
    <col min="6386" max="6386" width="14.625" style="1" customWidth="1"/>
    <col min="6387" max="6387" width="10.625" style="1" customWidth="1"/>
    <col min="6388" max="6388" width="14.625" style="1" customWidth="1"/>
    <col min="6389" max="6389" width="10.625" style="1" customWidth="1"/>
    <col min="6390" max="6390" width="18.625" style="1" customWidth="1"/>
    <col min="6391" max="6391" width="9.625" style="1" customWidth="1"/>
    <col min="6392" max="6392" width="10.5" style="1" customWidth="1"/>
    <col min="6393" max="6393" width="20.375" style="1" bestFit="1" customWidth="1"/>
    <col min="6394" max="6394" width="12.5" style="1" customWidth="1"/>
    <col min="6395" max="6395" width="13.125" style="1" customWidth="1"/>
    <col min="6396" max="6400" width="9" style="1"/>
    <col min="6401" max="6401" width="11.25" style="1" bestFit="1" customWidth="1"/>
    <col min="6402" max="6402" width="11.625" style="1" bestFit="1" customWidth="1"/>
    <col min="6403" max="6633" width="9" style="1"/>
    <col min="6634" max="6634" width="4.625" style="1" customWidth="1"/>
    <col min="6635" max="6635" width="34.625" style="1" customWidth="1"/>
    <col min="6636" max="6636" width="11.625" style="1" customWidth="1"/>
    <col min="6637" max="6638" width="6.625" style="1" customWidth="1"/>
    <col min="6639" max="6639" width="10.625" style="1" customWidth="1"/>
    <col min="6640" max="6640" width="14.625" style="1" customWidth="1"/>
    <col min="6641" max="6641" width="10.625" style="1" customWidth="1"/>
    <col min="6642" max="6642" width="14.625" style="1" customWidth="1"/>
    <col min="6643" max="6643" width="10.625" style="1" customWidth="1"/>
    <col min="6644" max="6644" width="14.625" style="1" customWidth="1"/>
    <col min="6645" max="6645" width="10.625" style="1" customWidth="1"/>
    <col min="6646" max="6646" width="18.625" style="1" customWidth="1"/>
    <col min="6647" max="6647" width="9.625" style="1" customWidth="1"/>
    <col min="6648" max="6648" width="10.5" style="1" customWidth="1"/>
    <col min="6649" max="6649" width="20.375" style="1" bestFit="1" customWidth="1"/>
    <col min="6650" max="6650" width="12.5" style="1" customWidth="1"/>
    <col min="6651" max="6651" width="13.125" style="1" customWidth="1"/>
    <col min="6652" max="6656" width="9" style="1"/>
    <col min="6657" max="6657" width="11.25" style="1" bestFit="1" customWidth="1"/>
    <col min="6658" max="6658" width="11.625" style="1" bestFit="1" customWidth="1"/>
    <col min="6659" max="6889" width="9" style="1"/>
    <col min="6890" max="6890" width="4.625" style="1" customWidth="1"/>
    <col min="6891" max="6891" width="34.625" style="1" customWidth="1"/>
    <col min="6892" max="6892" width="11.625" style="1" customWidth="1"/>
    <col min="6893" max="6894" width="6.625" style="1" customWidth="1"/>
    <col min="6895" max="6895" width="10.625" style="1" customWidth="1"/>
    <col min="6896" max="6896" width="14.625" style="1" customWidth="1"/>
    <col min="6897" max="6897" width="10.625" style="1" customWidth="1"/>
    <col min="6898" max="6898" width="14.625" style="1" customWidth="1"/>
    <col min="6899" max="6899" width="10.625" style="1" customWidth="1"/>
    <col min="6900" max="6900" width="14.625" style="1" customWidth="1"/>
    <col min="6901" max="6901" width="10.625" style="1" customWidth="1"/>
    <col min="6902" max="6902" width="18.625" style="1" customWidth="1"/>
    <col min="6903" max="6903" width="9.625" style="1" customWidth="1"/>
    <col min="6904" max="6904" width="10.5" style="1" customWidth="1"/>
    <col min="6905" max="6905" width="20.375" style="1" bestFit="1" customWidth="1"/>
    <col min="6906" max="6906" width="12.5" style="1" customWidth="1"/>
    <col min="6907" max="6907" width="13.125" style="1" customWidth="1"/>
    <col min="6908" max="6912" width="9" style="1"/>
    <col min="6913" max="6913" width="11.25" style="1" bestFit="1" customWidth="1"/>
    <col min="6914" max="6914" width="11.625" style="1" bestFit="1" customWidth="1"/>
    <col min="6915" max="7145" width="9" style="1"/>
    <col min="7146" max="7146" width="4.625" style="1" customWidth="1"/>
    <col min="7147" max="7147" width="34.625" style="1" customWidth="1"/>
    <col min="7148" max="7148" width="11.625" style="1" customWidth="1"/>
    <col min="7149" max="7150" width="6.625" style="1" customWidth="1"/>
    <col min="7151" max="7151" width="10.625" style="1" customWidth="1"/>
    <col min="7152" max="7152" width="14.625" style="1" customWidth="1"/>
    <col min="7153" max="7153" width="10.625" style="1" customWidth="1"/>
    <col min="7154" max="7154" width="14.625" style="1" customWidth="1"/>
    <col min="7155" max="7155" width="10.625" style="1" customWidth="1"/>
    <col min="7156" max="7156" width="14.625" style="1" customWidth="1"/>
    <col min="7157" max="7157" width="10.625" style="1" customWidth="1"/>
    <col min="7158" max="7158" width="18.625" style="1" customWidth="1"/>
    <col min="7159" max="7159" width="9.625" style="1" customWidth="1"/>
    <col min="7160" max="7160" width="10.5" style="1" customWidth="1"/>
    <col min="7161" max="7161" width="20.375" style="1" bestFit="1" customWidth="1"/>
    <col min="7162" max="7162" width="12.5" style="1" customWidth="1"/>
    <col min="7163" max="7163" width="13.125" style="1" customWidth="1"/>
    <col min="7164" max="7168" width="9" style="1"/>
    <col min="7169" max="7169" width="11.25" style="1" bestFit="1" customWidth="1"/>
    <col min="7170" max="7170" width="11.625" style="1" bestFit="1" customWidth="1"/>
    <col min="7171" max="7401" width="9" style="1"/>
    <col min="7402" max="7402" width="4.625" style="1" customWidth="1"/>
    <col min="7403" max="7403" width="34.625" style="1" customWidth="1"/>
    <col min="7404" max="7404" width="11.625" style="1" customWidth="1"/>
    <col min="7405" max="7406" width="6.625" style="1" customWidth="1"/>
    <col min="7407" max="7407" width="10.625" style="1" customWidth="1"/>
    <col min="7408" max="7408" width="14.625" style="1" customWidth="1"/>
    <col min="7409" max="7409" width="10.625" style="1" customWidth="1"/>
    <col min="7410" max="7410" width="14.625" style="1" customWidth="1"/>
    <col min="7411" max="7411" width="10.625" style="1" customWidth="1"/>
    <col min="7412" max="7412" width="14.625" style="1" customWidth="1"/>
    <col min="7413" max="7413" width="10.625" style="1" customWidth="1"/>
    <col min="7414" max="7414" width="18.625" style="1" customWidth="1"/>
    <col min="7415" max="7415" width="9.625" style="1" customWidth="1"/>
    <col min="7416" max="7416" width="10.5" style="1" customWidth="1"/>
    <col min="7417" max="7417" width="20.375" style="1" bestFit="1" customWidth="1"/>
    <col min="7418" max="7418" width="12.5" style="1" customWidth="1"/>
    <col min="7419" max="7419" width="13.125" style="1" customWidth="1"/>
    <col min="7420" max="7424" width="9" style="1"/>
    <col min="7425" max="7425" width="11.25" style="1" bestFit="1" customWidth="1"/>
    <col min="7426" max="7426" width="11.625" style="1" bestFit="1" customWidth="1"/>
    <col min="7427" max="7657" width="9" style="1"/>
    <col min="7658" max="7658" width="4.625" style="1" customWidth="1"/>
    <col min="7659" max="7659" width="34.625" style="1" customWidth="1"/>
    <col min="7660" max="7660" width="11.625" style="1" customWidth="1"/>
    <col min="7661" max="7662" width="6.625" style="1" customWidth="1"/>
    <col min="7663" max="7663" width="10.625" style="1" customWidth="1"/>
    <col min="7664" max="7664" width="14.625" style="1" customWidth="1"/>
    <col min="7665" max="7665" width="10.625" style="1" customWidth="1"/>
    <col min="7666" max="7666" width="14.625" style="1" customWidth="1"/>
    <col min="7667" max="7667" width="10.625" style="1" customWidth="1"/>
    <col min="7668" max="7668" width="14.625" style="1" customWidth="1"/>
    <col min="7669" max="7669" width="10.625" style="1" customWidth="1"/>
    <col min="7670" max="7670" width="18.625" style="1" customWidth="1"/>
    <col min="7671" max="7671" width="9.625" style="1" customWidth="1"/>
    <col min="7672" max="7672" width="10.5" style="1" customWidth="1"/>
    <col min="7673" max="7673" width="20.375" style="1" bestFit="1" customWidth="1"/>
    <col min="7674" max="7674" width="12.5" style="1" customWidth="1"/>
    <col min="7675" max="7675" width="13.125" style="1" customWidth="1"/>
    <col min="7676" max="7680" width="9" style="1"/>
    <col min="7681" max="7681" width="11.25" style="1" bestFit="1" customWidth="1"/>
    <col min="7682" max="7682" width="11.625" style="1" bestFit="1" customWidth="1"/>
    <col min="7683" max="7913" width="9" style="1"/>
    <col min="7914" max="7914" width="4.625" style="1" customWidth="1"/>
    <col min="7915" max="7915" width="34.625" style="1" customWidth="1"/>
    <col min="7916" max="7916" width="11.625" style="1" customWidth="1"/>
    <col min="7917" max="7918" width="6.625" style="1" customWidth="1"/>
    <col min="7919" max="7919" width="10.625" style="1" customWidth="1"/>
    <col min="7920" max="7920" width="14.625" style="1" customWidth="1"/>
    <col min="7921" max="7921" width="10.625" style="1" customWidth="1"/>
    <col min="7922" max="7922" width="14.625" style="1" customWidth="1"/>
    <col min="7923" max="7923" width="10.625" style="1" customWidth="1"/>
    <col min="7924" max="7924" width="14.625" style="1" customWidth="1"/>
    <col min="7925" max="7925" width="10.625" style="1" customWidth="1"/>
    <col min="7926" max="7926" width="18.625" style="1" customWidth="1"/>
    <col min="7927" max="7927" width="9.625" style="1" customWidth="1"/>
    <col min="7928" max="7928" width="10.5" style="1" customWidth="1"/>
    <col min="7929" max="7929" width="20.375" style="1" bestFit="1" customWidth="1"/>
    <col min="7930" max="7930" width="12.5" style="1" customWidth="1"/>
    <col min="7931" max="7931" width="13.125" style="1" customWidth="1"/>
    <col min="7932" max="7936" width="9" style="1"/>
    <col min="7937" max="7937" width="11.25" style="1" bestFit="1" customWidth="1"/>
    <col min="7938" max="7938" width="11.625" style="1" bestFit="1" customWidth="1"/>
    <col min="7939" max="8169" width="9" style="1"/>
    <col min="8170" max="8170" width="4.625" style="1" customWidth="1"/>
    <col min="8171" max="8171" width="34.625" style="1" customWidth="1"/>
    <col min="8172" max="8172" width="11.625" style="1" customWidth="1"/>
    <col min="8173" max="8174" width="6.625" style="1" customWidth="1"/>
    <col min="8175" max="8175" width="10.625" style="1" customWidth="1"/>
    <col min="8176" max="8176" width="14.625" style="1" customWidth="1"/>
    <col min="8177" max="8177" width="10.625" style="1" customWidth="1"/>
    <col min="8178" max="8178" width="14.625" style="1" customWidth="1"/>
    <col min="8179" max="8179" width="10.625" style="1" customWidth="1"/>
    <col min="8180" max="8180" width="14.625" style="1" customWidth="1"/>
    <col min="8181" max="8181" width="10.625" style="1" customWidth="1"/>
    <col min="8182" max="8182" width="18.625" style="1" customWidth="1"/>
    <col min="8183" max="8183" width="9.625" style="1" customWidth="1"/>
    <col min="8184" max="8184" width="10.5" style="1" customWidth="1"/>
    <col min="8185" max="8185" width="20.375" style="1" bestFit="1" customWidth="1"/>
    <col min="8186" max="8186" width="12.5" style="1" customWidth="1"/>
    <col min="8187" max="8187" width="13.125" style="1" customWidth="1"/>
    <col min="8188" max="8192" width="9" style="1"/>
    <col min="8193" max="8193" width="11.25" style="1" bestFit="1" customWidth="1"/>
    <col min="8194" max="8194" width="11.625" style="1" bestFit="1" customWidth="1"/>
    <col min="8195" max="8425" width="9" style="1"/>
    <col min="8426" max="8426" width="4.625" style="1" customWidth="1"/>
    <col min="8427" max="8427" width="34.625" style="1" customWidth="1"/>
    <col min="8428" max="8428" width="11.625" style="1" customWidth="1"/>
    <col min="8429" max="8430" width="6.625" style="1" customWidth="1"/>
    <col min="8431" max="8431" width="10.625" style="1" customWidth="1"/>
    <col min="8432" max="8432" width="14.625" style="1" customWidth="1"/>
    <col min="8433" max="8433" width="10.625" style="1" customWidth="1"/>
    <col min="8434" max="8434" width="14.625" style="1" customWidth="1"/>
    <col min="8435" max="8435" width="10.625" style="1" customWidth="1"/>
    <col min="8436" max="8436" width="14.625" style="1" customWidth="1"/>
    <col min="8437" max="8437" width="10.625" style="1" customWidth="1"/>
    <col min="8438" max="8438" width="18.625" style="1" customWidth="1"/>
    <col min="8439" max="8439" width="9.625" style="1" customWidth="1"/>
    <col min="8440" max="8440" width="10.5" style="1" customWidth="1"/>
    <col min="8441" max="8441" width="20.375" style="1" bestFit="1" customWidth="1"/>
    <col min="8442" max="8442" width="12.5" style="1" customWidth="1"/>
    <col min="8443" max="8443" width="13.125" style="1" customWidth="1"/>
    <col min="8444" max="8448" width="9" style="1"/>
    <col min="8449" max="8449" width="11.25" style="1" bestFit="1" customWidth="1"/>
    <col min="8450" max="8450" width="11.625" style="1" bestFit="1" customWidth="1"/>
    <col min="8451" max="8681" width="9" style="1"/>
    <col min="8682" max="8682" width="4.625" style="1" customWidth="1"/>
    <col min="8683" max="8683" width="34.625" style="1" customWidth="1"/>
    <col min="8684" max="8684" width="11.625" style="1" customWidth="1"/>
    <col min="8685" max="8686" width="6.625" style="1" customWidth="1"/>
    <col min="8687" max="8687" width="10.625" style="1" customWidth="1"/>
    <col min="8688" max="8688" width="14.625" style="1" customWidth="1"/>
    <col min="8689" max="8689" width="10.625" style="1" customWidth="1"/>
    <col min="8690" max="8690" width="14.625" style="1" customWidth="1"/>
    <col min="8691" max="8691" width="10.625" style="1" customWidth="1"/>
    <col min="8692" max="8692" width="14.625" style="1" customWidth="1"/>
    <col min="8693" max="8693" width="10.625" style="1" customWidth="1"/>
    <col min="8694" max="8694" width="18.625" style="1" customWidth="1"/>
    <col min="8695" max="8695" width="9.625" style="1" customWidth="1"/>
    <col min="8696" max="8696" width="10.5" style="1" customWidth="1"/>
    <col min="8697" max="8697" width="20.375" style="1" bestFit="1" customWidth="1"/>
    <col min="8698" max="8698" width="12.5" style="1" customWidth="1"/>
    <col min="8699" max="8699" width="13.125" style="1" customWidth="1"/>
    <col min="8700" max="8704" width="9" style="1"/>
    <col min="8705" max="8705" width="11.25" style="1" bestFit="1" customWidth="1"/>
    <col min="8706" max="8706" width="11.625" style="1" bestFit="1" customWidth="1"/>
    <col min="8707" max="8937" width="9" style="1"/>
    <col min="8938" max="8938" width="4.625" style="1" customWidth="1"/>
    <col min="8939" max="8939" width="34.625" style="1" customWidth="1"/>
    <col min="8940" max="8940" width="11.625" style="1" customWidth="1"/>
    <col min="8941" max="8942" width="6.625" style="1" customWidth="1"/>
    <col min="8943" max="8943" width="10.625" style="1" customWidth="1"/>
    <col min="8944" max="8944" width="14.625" style="1" customWidth="1"/>
    <col min="8945" max="8945" width="10.625" style="1" customWidth="1"/>
    <col min="8946" max="8946" width="14.625" style="1" customWidth="1"/>
    <col min="8947" max="8947" width="10.625" style="1" customWidth="1"/>
    <col min="8948" max="8948" width="14.625" style="1" customWidth="1"/>
    <col min="8949" max="8949" width="10.625" style="1" customWidth="1"/>
    <col min="8950" max="8950" width="18.625" style="1" customWidth="1"/>
    <col min="8951" max="8951" width="9.625" style="1" customWidth="1"/>
    <col min="8952" max="8952" width="10.5" style="1" customWidth="1"/>
    <col min="8953" max="8953" width="20.375" style="1" bestFit="1" customWidth="1"/>
    <col min="8954" max="8954" width="12.5" style="1" customWidth="1"/>
    <col min="8955" max="8955" width="13.125" style="1" customWidth="1"/>
    <col min="8956" max="8960" width="9" style="1"/>
    <col min="8961" max="8961" width="11.25" style="1" bestFit="1" customWidth="1"/>
    <col min="8962" max="8962" width="11.625" style="1" bestFit="1" customWidth="1"/>
    <col min="8963" max="9193" width="9" style="1"/>
    <col min="9194" max="9194" width="4.625" style="1" customWidth="1"/>
    <col min="9195" max="9195" width="34.625" style="1" customWidth="1"/>
    <col min="9196" max="9196" width="11.625" style="1" customWidth="1"/>
    <col min="9197" max="9198" width="6.625" style="1" customWidth="1"/>
    <col min="9199" max="9199" width="10.625" style="1" customWidth="1"/>
    <col min="9200" max="9200" width="14.625" style="1" customWidth="1"/>
    <col min="9201" max="9201" width="10.625" style="1" customWidth="1"/>
    <col min="9202" max="9202" width="14.625" style="1" customWidth="1"/>
    <col min="9203" max="9203" width="10.625" style="1" customWidth="1"/>
    <col min="9204" max="9204" width="14.625" style="1" customWidth="1"/>
    <col min="9205" max="9205" width="10.625" style="1" customWidth="1"/>
    <col min="9206" max="9206" width="18.625" style="1" customWidth="1"/>
    <col min="9207" max="9207" width="9.625" style="1" customWidth="1"/>
    <col min="9208" max="9208" width="10.5" style="1" customWidth="1"/>
    <col min="9209" max="9209" width="20.375" style="1" bestFit="1" customWidth="1"/>
    <col min="9210" max="9210" width="12.5" style="1" customWidth="1"/>
    <col min="9211" max="9211" width="13.125" style="1" customWidth="1"/>
    <col min="9212" max="9216" width="9" style="1"/>
    <col min="9217" max="9217" width="11.25" style="1" bestFit="1" customWidth="1"/>
    <col min="9218" max="9218" width="11.625" style="1" bestFit="1" customWidth="1"/>
    <col min="9219" max="9449" width="9" style="1"/>
    <col min="9450" max="9450" width="4.625" style="1" customWidth="1"/>
    <col min="9451" max="9451" width="34.625" style="1" customWidth="1"/>
    <col min="9452" max="9452" width="11.625" style="1" customWidth="1"/>
    <col min="9453" max="9454" width="6.625" style="1" customWidth="1"/>
    <col min="9455" max="9455" width="10.625" style="1" customWidth="1"/>
    <col min="9456" max="9456" width="14.625" style="1" customWidth="1"/>
    <col min="9457" max="9457" width="10.625" style="1" customWidth="1"/>
    <col min="9458" max="9458" width="14.625" style="1" customWidth="1"/>
    <col min="9459" max="9459" width="10.625" style="1" customWidth="1"/>
    <col min="9460" max="9460" width="14.625" style="1" customWidth="1"/>
    <col min="9461" max="9461" width="10.625" style="1" customWidth="1"/>
    <col min="9462" max="9462" width="18.625" style="1" customWidth="1"/>
    <col min="9463" max="9463" width="9.625" style="1" customWidth="1"/>
    <col min="9464" max="9464" width="10.5" style="1" customWidth="1"/>
    <col min="9465" max="9465" width="20.375" style="1" bestFit="1" customWidth="1"/>
    <col min="9466" max="9466" width="12.5" style="1" customWidth="1"/>
    <col min="9467" max="9467" width="13.125" style="1" customWidth="1"/>
    <col min="9468" max="9472" width="9" style="1"/>
    <col min="9473" max="9473" width="11.25" style="1" bestFit="1" customWidth="1"/>
    <col min="9474" max="9474" width="11.625" style="1" bestFit="1" customWidth="1"/>
    <col min="9475" max="9705" width="9" style="1"/>
    <col min="9706" max="9706" width="4.625" style="1" customWidth="1"/>
    <col min="9707" max="9707" width="34.625" style="1" customWidth="1"/>
    <col min="9708" max="9708" width="11.625" style="1" customWidth="1"/>
    <col min="9709" max="9710" width="6.625" style="1" customWidth="1"/>
    <col min="9711" max="9711" width="10.625" style="1" customWidth="1"/>
    <col min="9712" max="9712" width="14.625" style="1" customWidth="1"/>
    <col min="9713" max="9713" width="10.625" style="1" customWidth="1"/>
    <col min="9714" max="9714" width="14.625" style="1" customWidth="1"/>
    <col min="9715" max="9715" width="10.625" style="1" customWidth="1"/>
    <col min="9716" max="9716" width="14.625" style="1" customWidth="1"/>
    <col min="9717" max="9717" width="10.625" style="1" customWidth="1"/>
    <col min="9718" max="9718" width="18.625" style="1" customWidth="1"/>
    <col min="9719" max="9719" width="9.625" style="1" customWidth="1"/>
    <col min="9720" max="9720" width="10.5" style="1" customWidth="1"/>
    <col min="9721" max="9721" width="20.375" style="1" bestFit="1" customWidth="1"/>
    <col min="9722" max="9722" width="12.5" style="1" customWidth="1"/>
    <col min="9723" max="9723" width="13.125" style="1" customWidth="1"/>
    <col min="9724" max="9728" width="9" style="1"/>
    <col min="9729" max="9729" width="11.25" style="1" bestFit="1" customWidth="1"/>
    <col min="9730" max="9730" width="11.625" style="1" bestFit="1" customWidth="1"/>
    <col min="9731" max="9961" width="9" style="1"/>
    <col min="9962" max="9962" width="4.625" style="1" customWidth="1"/>
    <col min="9963" max="9963" width="34.625" style="1" customWidth="1"/>
    <col min="9964" max="9964" width="11.625" style="1" customWidth="1"/>
    <col min="9965" max="9966" width="6.625" style="1" customWidth="1"/>
    <col min="9967" max="9967" width="10.625" style="1" customWidth="1"/>
    <col min="9968" max="9968" width="14.625" style="1" customWidth="1"/>
    <col min="9969" max="9969" width="10.625" style="1" customWidth="1"/>
    <col min="9970" max="9970" width="14.625" style="1" customWidth="1"/>
    <col min="9971" max="9971" width="10.625" style="1" customWidth="1"/>
    <col min="9972" max="9972" width="14.625" style="1" customWidth="1"/>
    <col min="9973" max="9973" width="10.625" style="1" customWidth="1"/>
    <col min="9974" max="9974" width="18.625" style="1" customWidth="1"/>
    <col min="9975" max="9975" width="9.625" style="1" customWidth="1"/>
    <col min="9976" max="9976" width="10.5" style="1" customWidth="1"/>
    <col min="9977" max="9977" width="20.375" style="1" bestFit="1" customWidth="1"/>
    <col min="9978" max="9978" width="12.5" style="1" customWidth="1"/>
    <col min="9979" max="9979" width="13.125" style="1" customWidth="1"/>
    <col min="9980" max="9984" width="9" style="1"/>
    <col min="9985" max="9985" width="11.25" style="1" bestFit="1" customWidth="1"/>
    <col min="9986" max="9986" width="11.625" style="1" bestFit="1" customWidth="1"/>
    <col min="9987" max="10217" width="9" style="1"/>
    <col min="10218" max="10218" width="4.625" style="1" customWidth="1"/>
    <col min="10219" max="10219" width="34.625" style="1" customWidth="1"/>
    <col min="10220" max="10220" width="11.625" style="1" customWidth="1"/>
    <col min="10221" max="10222" width="6.625" style="1" customWidth="1"/>
    <col min="10223" max="10223" width="10.625" style="1" customWidth="1"/>
    <col min="10224" max="10224" width="14.625" style="1" customWidth="1"/>
    <col min="10225" max="10225" width="10.625" style="1" customWidth="1"/>
    <col min="10226" max="10226" width="14.625" style="1" customWidth="1"/>
    <col min="10227" max="10227" width="10.625" style="1" customWidth="1"/>
    <col min="10228" max="10228" width="14.625" style="1" customWidth="1"/>
    <col min="10229" max="10229" width="10.625" style="1" customWidth="1"/>
    <col min="10230" max="10230" width="18.625" style="1" customWidth="1"/>
    <col min="10231" max="10231" width="9.625" style="1" customWidth="1"/>
    <col min="10232" max="10232" width="10.5" style="1" customWidth="1"/>
    <col min="10233" max="10233" width="20.375" style="1" bestFit="1" customWidth="1"/>
    <col min="10234" max="10234" width="12.5" style="1" customWidth="1"/>
    <col min="10235" max="10235" width="13.125" style="1" customWidth="1"/>
    <col min="10236" max="10240" width="9" style="1"/>
    <col min="10241" max="10241" width="11.25" style="1" bestFit="1" customWidth="1"/>
    <col min="10242" max="10242" width="11.625" style="1" bestFit="1" customWidth="1"/>
    <col min="10243" max="10473" width="9" style="1"/>
    <col min="10474" max="10474" width="4.625" style="1" customWidth="1"/>
    <col min="10475" max="10475" width="34.625" style="1" customWidth="1"/>
    <col min="10476" max="10476" width="11.625" style="1" customWidth="1"/>
    <col min="10477" max="10478" width="6.625" style="1" customWidth="1"/>
    <col min="10479" max="10479" width="10.625" style="1" customWidth="1"/>
    <col min="10480" max="10480" width="14.625" style="1" customWidth="1"/>
    <col min="10481" max="10481" width="10.625" style="1" customWidth="1"/>
    <col min="10482" max="10482" width="14.625" style="1" customWidth="1"/>
    <col min="10483" max="10483" width="10.625" style="1" customWidth="1"/>
    <col min="10484" max="10484" width="14.625" style="1" customWidth="1"/>
    <col min="10485" max="10485" width="10.625" style="1" customWidth="1"/>
    <col min="10486" max="10486" width="18.625" style="1" customWidth="1"/>
    <col min="10487" max="10487" width="9.625" style="1" customWidth="1"/>
    <col min="10488" max="10488" width="10.5" style="1" customWidth="1"/>
    <col min="10489" max="10489" width="20.375" style="1" bestFit="1" customWidth="1"/>
    <col min="10490" max="10490" width="12.5" style="1" customWidth="1"/>
    <col min="10491" max="10491" width="13.125" style="1" customWidth="1"/>
    <col min="10492" max="10496" width="9" style="1"/>
    <col min="10497" max="10497" width="11.25" style="1" bestFit="1" customWidth="1"/>
    <col min="10498" max="10498" width="11.625" style="1" bestFit="1" customWidth="1"/>
    <col min="10499" max="10729" width="9" style="1"/>
    <col min="10730" max="10730" width="4.625" style="1" customWidth="1"/>
    <col min="10731" max="10731" width="34.625" style="1" customWidth="1"/>
    <col min="10732" max="10732" width="11.625" style="1" customWidth="1"/>
    <col min="10733" max="10734" width="6.625" style="1" customWidth="1"/>
    <col min="10735" max="10735" width="10.625" style="1" customWidth="1"/>
    <col min="10736" max="10736" width="14.625" style="1" customWidth="1"/>
    <col min="10737" max="10737" width="10.625" style="1" customWidth="1"/>
    <col min="10738" max="10738" width="14.625" style="1" customWidth="1"/>
    <col min="10739" max="10739" width="10.625" style="1" customWidth="1"/>
    <col min="10740" max="10740" width="14.625" style="1" customWidth="1"/>
    <col min="10741" max="10741" width="10.625" style="1" customWidth="1"/>
    <col min="10742" max="10742" width="18.625" style="1" customWidth="1"/>
    <col min="10743" max="10743" width="9.625" style="1" customWidth="1"/>
    <col min="10744" max="10744" width="10.5" style="1" customWidth="1"/>
    <col min="10745" max="10745" width="20.375" style="1" bestFit="1" customWidth="1"/>
    <col min="10746" max="10746" width="12.5" style="1" customWidth="1"/>
    <col min="10747" max="10747" width="13.125" style="1" customWidth="1"/>
    <col min="10748" max="10752" width="9" style="1"/>
    <col min="10753" max="10753" width="11.25" style="1" bestFit="1" customWidth="1"/>
    <col min="10754" max="10754" width="11.625" style="1" bestFit="1" customWidth="1"/>
    <col min="10755" max="10985" width="9" style="1"/>
    <col min="10986" max="10986" width="4.625" style="1" customWidth="1"/>
    <col min="10987" max="10987" width="34.625" style="1" customWidth="1"/>
    <col min="10988" max="10988" width="11.625" style="1" customWidth="1"/>
    <col min="10989" max="10990" width="6.625" style="1" customWidth="1"/>
    <col min="10991" max="10991" width="10.625" style="1" customWidth="1"/>
    <col min="10992" max="10992" width="14.625" style="1" customWidth="1"/>
    <col min="10993" max="10993" width="10.625" style="1" customWidth="1"/>
    <col min="10994" max="10994" width="14.625" style="1" customWidth="1"/>
    <col min="10995" max="10995" width="10.625" style="1" customWidth="1"/>
    <col min="10996" max="10996" width="14.625" style="1" customWidth="1"/>
    <col min="10997" max="10997" width="10.625" style="1" customWidth="1"/>
    <col min="10998" max="10998" width="18.625" style="1" customWidth="1"/>
    <col min="10999" max="10999" width="9.625" style="1" customWidth="1"/>
    <col min="11000" max="11000" width="10.5" style="1" customWidth="1"/>
    <col min="11001" max="11001" width="20.375" style="1" bestFit="1" customWidth="1"/>
    <col min="11002" max="11002" width="12.5" style="1" customWidth="1"/>
    <col min="11003" max="11003" width="13.125" style="1" customWidth="1"/>
    <col min="11004" max="11008" width="9" style="1"/>
    <col min="11009" max="11009" width="11.25" style="1" bestFit="1" customWidth="1"/>
    <col min="11010" max="11010" width="11.625" style="1" bestFit="1" customWidth="1"/>
    <col min="11011" max="11241" width="9" style="1"/>
    <col min="11242" max="11242" width="4.625" style="1" customWidth="1"/>
    <col min="11243" max="11243" width="34.625" style="1" customWidth="1"/>
    <col min="11244" max="11244" width="11.625" style="1" customWidth="1"/>
    <col min="11245" max="11246" width="6.625" style="1" customWidth="1"/>
    <col min="11247" max="11247" width="10.625" style="1" customWidth="1"/>
    <col min="11248" max="11248" width="14.625" style="1" customWidth="1"/>
    <col min="11249" max="11249" width="10.625" style="1" customWidth="1"/>
    <col min="11250" max="11250" width="14.625" style="1" customWidth="1"/>
    <col min="11251" max="11251" width="10.625" style="1" customWidth="1"/>
    <col min="11252" max="11252" width="14.625" style="1" customWidth="1"/>
    <col min="11253" max="11253" width="10.625" style="1" customWidth="1"/>
    <col min="11254" max="11254" width="18.625" style="1" customWidth="1"/>
    <col min="11255" max="11255" width="9.625" style="1" customWidth="1"/>
    <col min="11256" max="11256" width="10.5" style="1" customWidth="1"/>
    <col min="11257" max="11257" width="20.375" style="1" bestFit="1" customWidth="1"/>
    <col min="11258" max="11258" width="12.5" style="1" customWidth="1"/>
    <col min="11259" max="11259" width="13.125" style="1" customWidth="1"/>
    <col min="11260" max="11264" width="9" style="1"/>
    <col min="11265" max="11265" width="11.25" style="1" bestFit="1" customWidth="1"/>
    <col min="11266" max="11266" width="11.625" style="1" bestFit="1" customWidth="1"/>
    <col min="11267" max="11497" width="9" style="1"/>
    <col min="11498" max="11498" width="4.625" style="1" customWidth="1"/>
    <col min="11499" max="11499" width="34.625" style="1" customWidth="1"/>
    <col min="11500" max="11500" width="11.625" style="1" customWidth="1"/>
    <col min="11501" max="11502" width="6.625" style="1" customWidth="1"/>
    <col min="11503" max="11503" width="10.625" style="1" customWidth="1"/>
    <col min="11504" max="11504" width="14.625" style="1" customWidth="1"/>
    <col min="11505" max="11505" width="10.625" style="1" customWidth="1"/>
    <col min="11506" max="11506" width="14.625" style="1" customWidth="1"/>
    <col min="11507" max="11507" width="10.625" style="1" customWidth="1"/>
    <col min="11508" max="11508" width="14.625" style="1" customWidth="1"/>
    <col min="11509" max="11509" width="10.625" style="1" customWidth="1"/>
    <col min="11510" max="11510" width="18.625" style="1" customWidth="1"/>
    <col min="11511" max="11511" width="9.625" style="1" customWidth="1"/>
    <col min="11512" max="11512" width="10.5" style="1" customWidth="1"/>
    <col min="11513" max="11513" width="20.375" style="1" bestFit="1" customWidth="1"/>
    <col min="11514" max="11514" width="12.5" style="1" customWidth="1"/>
    <col min="11515" max="11515" width="13.125" style="1" customWidth="1"/>
    <col min="11516" max="11520" width="9" style="1"/>
    <col min="11521" max="11521" width="11.25" style="1" bestFit="1" customWidth="1"/>
    <col min="11522" max="11522" width="11.625" style="1" bestFit="1" customWidth="1"/>
    <col min="11523" max="11753" width="9" style="1"/>
    <col min="11754" max="11754" width="4.625" style="1" customWidth="1"/>
    <col min="11755" max="11755" width="34.625" style="1" customWidth="1"/>
    <col min="11756" max="11756" width="11.625" style="1" customWidth="1"/>
    <col min="11757" max="11758" width="6.625" style="1" customWidth="1"/>
    <col min="11759" max="11759" width="10.625" style="1" customWidth="1"/>
    <col min="11760" max="11760" width="14.625" style="1" customWidth="1"/>
    <col min="11761" max="11761" width="10.625" style="1" customWidth="1"/>
    <col min="11762" max="11762" width="14.625" style="1" customWidth="1"/>
    <col min="11763" max="11763" width="10.625" style="1" customWidth="1"/>
    <col min="11764" max="11764" width="14.625" style="1" customWidth="1"/>
    <col min="11765" max="11765" width="10.625" style="1" customWidth="1"/>
    <col min="11766" max="11766" width="18.625" style="1" customWidth="1"/>
    <col min="11767" max="11767" width="9.625" style="1" customWidth="1"/>
    <col min="11768" max="11768" width="10.5" style="1" customWidth="1"/>
    <col min="11769" max="11769" width="20.375" style="1" bestFit="1" customWidth="1"/>
    <col min="11770" max="11770" width="12.5" style="1" customWidth="1"/>
    <col min="11771" max="11771" width="13.125" style="1" customWidth="1"/>
    <col min="11772" max="11776" width="9" style="1"/>
    <col min="11777" max="11777" width="11.25" style="1" bestFit="1" customWidth="1"/>
    <col min="11778" max="11778" width="11.625" style="1" bestFit="1" customWidth="1"/>
    <col min="11779" max="12009" width="9" style="1"/>
    <col min="12010" max="12010" width="4.625" style="1" customWidth="1"/>
    <col min="12011" max="12011" width="34.625" style="1" customWidth="1"/>
    <col min="12012" max="12012" width="11.625" style="1" customWidth="1"/>
    <col min="12013" max="12014" width="6.625" style="1" customWidth="1"/>
    <col min="12015" max="12015" width="10.625" style="1" customWidth="1"/>
    <col min="12016" max="12016" width="14.625" style="1" customWidth="1"/>
    <col min="12017" max="12017" width="10.625" style="1" customWidth="1"/>
    <col min="12018" max="12018" width="14.625" style="1" customWidth="1"/>
    <col min="12019" max="12019" width="10.625" style="1" customWidth="1"/>
    <col min="12020" max="12020" width="14.625" style="1" customWidth="1"/>
    <col min="12021" max="12021" width="10.625" style="1" customWidth="1"/>
    <col min="12022" max="12022" width="18.625" style="1" customWidth="1"/>
    <col min="12023" max="12023" width="9.625" style="1" customWidth="1"/>
    <col min="12024" max="12024" width="10.5" style="1" customWidth="1"/>
    <col min="12025" max="12025" width="20.375" style="1" bestFit="1" customWidth="1"/>
    <col min="12026" max="12026" width="12.5" style="1" customWidth="1"/>
    <col min="12027" max="12027" width="13.125" style="1" customWidth="1"/>
    <col min="12028" max="12032" width="9" style="1"/>
    <col min="12033" max="12033" width="11.25" style="1" bestFit="1" customWidth="1"/>
    <col min="12034" max="12034" width="11.625" style="1" bestFit="1" customWidth="1"/>
    <col min="12035" max="12265" width="9" style="1"/>
    <col min="12266" max="12266" width="4.625" style="1" customWidth="1"/>
    <col min="12267" max="12267" width="34.625" style="1" customWidth="1"/>
    <col min="12268" max="12268" width="11.625" style="1" customWidth="1"/>
    <col min="12269" max="12270" width="6.625" style="1" customWidth="1"/>
    <col min="12271" max="12271" width="10.625" style="1" customWidth="1"/>
    <col min="12272" max="12272" width="14.625" style="1" customWidth="1"/>
    <col min="12273" max="12273" width="10.625" style="1" customWidth="1"/>
    <col min="12274" max="12274" width="14.625" style="1" customWidth="1"/>
    <col min="12275" max="12275" width="10.625" style="1" customWidth="1"/>
    <col min="12276" max="12276" width="14.625" style="1" customWidth="1"/>
    <col min="12277" max="12277" width="10.625" style="1" customWidth="1"/>
    <col min="12278" max="12278" width="18.625" style="1" customWidth="1"/>
    <col min="12279" max="12279" width="9.625" style="1" customWidth="1"/>
    <col min="12280" max="12280" width="10.5" style="1" customWidth="1"/>
    <col min="12281" max="12281" width="20.375" style="1" bestFit="1" customWidth="1"/>
    <col min="12282" max="12282" width="12.5" style="1" customWidth="1"/>
    <col min="12283" max="12283" width="13.125" style="1" customWidth="1"/>
    <col min="12284" max="12288" width="9" style="1"/>
    <col min="12289" max="12289" width="11.25" style="1" bestFit="1" customWidth="1"/>
    <col min="12290" max="12290" width="11.625" style="1" bestFit="1" customWidth="1"/>
    <col min="12291" max="12521" width="9" style="1"/>
    <col min="12522" max="12522" width="4.625" style="1" customWidth="1"/>
    <col min="12523" max="12523" width="34.625" style="1" customWidth="1"/>
    <col min="12524" max="12524" width="11.625" style="1" customWidth="1"/>
    <col min="12525" max="12526" width="6.625" style="1" customWidth="1"/>
    <col min="12527" max="12527" width="10.625" style="1" customWidth="1"/>
    <col min="12528" max="12528" width="14.625" style="1" customWidth="1"/>
    <col min="12529" max="12529" width="10.625" style="1" customWidth="1"/>
    <col min="12530" max="12530" width="14.625" style="1" customWidth="1"/>
    <col min="12531" max="12531" width="10.625" style="1" customWidth="1"/>
    <col min="12532" max="12532" width="14.625" style="1" customWidth="1"/>
    <col min="12533" max="12533" width="10.625" style="1" customWidth="1"/>
    <col min="12534" max="12534" width="18.625" style="1" customWidth="1"/>
    <col min="12535" max="12535" width="9.625" style="1" customWidth="1"/>
    <col min="12536" max="12536" width="10.5" style="1" customWidth="1"/>
    <col min="12537" max="12537" width="20.375" style="1" bestFit="1" customWidth="1"/>
    <col min="12538" max="12538" width="12.5" style="1" customWidth="1"/>
    <col min="12539" max="12539" width="13.125" style="1" customWidth="1"/>
    <col min="12540" max="12544" width="9" style="1"/>
    <col min="12545" max="12545" width="11.25" style="1" bestFit="1" customWidth="1"/>
    <col min="12546" max="12546" width="11.625" style="1" bestFit="1" customWidth="1"/>
    <col min="12547" max="12777" width="9" style="1"/>
    <col min="12778" max="12778" width="4.625" style="1" customWidth="1"/>
    <col min="12779" max="12779" width="34.625" style="1" customWidth="1"/>
    <col min="12780" max="12780" width="11.625" style="1" customWidth="1"/>
    <col min="12781" max="12782" width="6.625" style="1" customWidth="1"/>
    <col min="12783" max="12783" width="10.625" style="1" customWidth="1"/>
    <col min="12784" max="12784" width="14.625" style="1" customWidth="1"/>
    <col min="12785" max="12785" width="10.625" style="1" customWidth="1"/>
    <col min="12786" max="12786" width="14.625" style="1" customWidth="1"/>
    <col min="12787" max="12787" width="10.625" style="1" customWidth="1"/>
    <col min="12788" max="12788" width="14.625" style="1" customWidth="1"/>
    <col min="12789" max="12789" width="10.625" style="1" customWidth="1"/>
    <col min="12790" max="12790" width="18.625" style="1" customWidth="1"/>
    <col min="12791" max="12791" width="9.625" style="1" customWidth="1"/>
    <col min="12792" max="12792" width="10.5" style="1" customWidth="1"/>
    <col min="12793" max="12793" width="20.375" style="1" bestFit="1" customWidth="1"/>
    <col min="12794" max="12794" width="12.5" style="1" customWidth="1"/>
    <col min="12795" max="12795" width="13.125" style="1" customWidth="1"/>
    <col min="12796" max="12800" width="9" style="1"/>
    <col min="12801" max="12801" width="11.25" style="1" bestFit="1" customWidth="1"/>
    <col min="12802" max="12802" width="11.625" style="1" bestFit="1" customWidth="1"/>
    <col min="12803" max="13033" width="9" style="1"/>
    <col min="13034" max="13034" width="4.625" style="1" customWidth="1"/>
    <col min="13035" max="13035" width="34.625" style="1" customWidth="1"/>
    <col min="13036" max="13036" width="11.625" style="1" customWidth="1"/>
    <col min="13037" max="13038" width="6.625" style="1" customWidth="1"/>
    <col min="13039" max="13039" width="10.625" style="1" customWidth="1"/>
    <col min="13040" max="13040" width="14.625" style="1" customWidth="1"/>
    <col min="13041" max="13041" width="10.625" style="1" customWidth="1"/>
    <col min="13042" max="13042" width="14.625" style="1" customWidth="1"/>
    <col min="13043" max="13043" width="10.625" style="1" customWidth="1"/>
    <col min="13044" max="13044" width="14.625" style="1" customWidth="1"/>
    <col min="13045" max="13045" width="10.625" style="1" customWidth="1"/>
    <col min="13046" max="13046" width="18.625" style="1" customWidth="1"/>
    <col min="13047" max="13047" width="9.625" style="1" customWidth="1"/>
    <col min="13048" max="13048" width="10.5" style="1" customWidth="1"/>
    <col min="13049" max="13049" width="20.375" style="1" bestFit="1" customWidth="1"/>
    <col min="13050" max="13050" width="12.5" style="1" customWidth="1"/>
    <col min="13051" max="13051" width="13.125" style="1" customWidth="1"/>
    <col min="13052" max="13056" width="9" style="1"/>
    <col min="13057" max="13057" width="11.25" style="1" bestFit="1" customWidth="1"/>
    <col min="13058" max="13058" width="11.625" style="1" bestFit="1" customWidth="1"/>
    <col min="13059" max="13289" width="9" style="1"/>
    <col min="13290" max="13290" width="4.625" style="1" customWidth="1"/>
    <col min="13291" max="13291" width="34.625" style="1" customWidth="1"/>
    <col min="13292" max="13292" width="11.625" style="1" customWidth="1"/>
    <col min="13293" max="13294" width="6.625" style="1" customWidth="1"/>
    <col min="13295" max="13295" width="10.625" style="1" customWidth="1"/>
    <col min="13296" max="13296" width="14.625" style="1" customWidth="1"/>
    <col min="13297" max="13297" width="10.625" style="1" customWidth="1"/>
    <col min="13298" max="13298" width="14.625" style="1" customWidth="1"/>
    <col min="13299" max="13299" width="10.625" style="1" customWidth="1"/>
    <col min="13300" max="13300" width="14.625" style="1" customWidth="1"/>
    <col min="13301" max="13301" width="10.625" style="1" customWidth="1"/>
    <col min="13302" max="13302" width="18.625" style="1" customWidth="1"/>
    <col min="13303" max="13303" width="9.625" style="1" customWidth="1"/>
    <col min="13304" max="13304" width="10.5" style="1" customWidth="1"/>
    <col min="13305" max="13305" width="20.375" style="1" bestFit="1" customWidth="1"/>
    <col min="13306" max="13306" width="12.5" style="1" customWidth="1"/>
    <col min="13307" max="13307" width="13.125" style="1" customWidth="1"/>
    <col min="13308" max="13312" width="9" style="1"/>
    <col min="13313" max="13313" width="11.25" style="1" bestFit="1" customWidth="1"/>
    <col min="13314" max="13314" width="11.625" style="1" bestFit="1" customWidth="1"/>
    <col min="13315" max="13545" width="9" style="1"/>
    <col min="13546" max="13546" width="4.625" style="1" customWidth="1"/>
    <col min="13547" max="13547" width="34.625" style="1" customWidth="1"/>
    <col min="13548" max="13548" width="11.625" style="1" customWidth="1"/>
    <col min="13549" max="13550" width="6.625" style="1" customWidth="1"/>
    <col min="13551" max="13551" width="10.625" style="1" customWidth="1"/>
    <col min="13552" max="13552" width="14.625" style="1" customWidth="1"/>
    <col min="13553" max="13553" width="10.625" style="1" customWidth="1"/>
    <col min="13554" max="13554" width="14.625" style="1" customWidth="1"/>
    <col min="13555" max="13555" width="10.625" style="1" customWidth="1"/>
    <col min="13556" max="13556" width="14.625" style="1" customWidth="1"/>
    <col min="13557" max="13557" width="10.625" style="1" customWidth="1"/>
    <col min="13558" max="13558" width="18.625" style="1" customWidth="1"/>
    <col min="13559" max="13559" width="9.625" style="1" customWidth="1"/>
    <col min="13560" max="13560" width="10.5" style="1" customWidth="1"/>
    <col min="13561" max="13561" width="20.375" style="1" bestFit="1" customWidth="1"/>
    <col min="13562" max="13562" width="12.5" style="1" customWidth="1"/>
    <col min="13563" max="13563" width="13.125" style="1" customWidth="1"/>
    <col min="13564" max="13568" width="9" style="1"/>
    <col min="13569" max="13569" width="11.25" style="1" bestFit="1" customWidth="1"/>
    <col min="13570" max="13570" width="11.625" style="1" bestFit="1" customWidth="1"/>
    <col min="13571" max="13801" width="9" style="1"/>
    <col min="13802" max="13802" width="4.625" style="1" customWidth="1"/>
    <col min="13803" max="13803" width="34.625" style="1" customWidth="1"/>
    <col min="13804" max="13804" width="11.625" style="1" customWidth="1"/>
    <col min="13805" max="13806" width="6.625" style="1" customWidth="1"/>
    <col min="13807" max="13807" width="10.625" style="1" customWidth="1"/>
    <col min="13808" max="13808" width="14.625" style="1" customWidth="1"/>
    <col min="13809" max="13809" width="10.625" style="1" customWidth="1"/>
    <col min="13810" max="13810" width="14.625" style="1" customWidth="1"/>
    <col min="13811" max="13811" width="10.625" style="1" customWidth="1"/>
    <col min="13812" max="13812" width="14.625" style="1" customWidth="1"/>
    <col min="13813" max="13813" width="10.625" style="1" customWidth="1"/>
    <col min="13814" max="13814" width="18.625" style="1" customWidth="1"/>
    <col min="13815" max="13815" width="9.625" style="1" customWidth="1"/>
    <col min="13816" max="13816" width="10.5" style="1" customWidth="1"/>
    <col min="13817" max="13817" width="20.375" style="1" bestFit="1" customWidth="1"/>
    <col min="13818" max="13818" width="12.5" style="1" customWidth="1"/>
    <col min="13819" max="13819" width="13.125" style="1" customWidth="1"/>
    <col min="13820" max="13824" width="9" style="1"/>
    <col min="13825" max="13825" width="11.25" style="1" bestFit="1" customWidth="1"/>
    <col min="13826" max="13826" width="11.625" style="1" bestFit="1" customWidth="1"/>
    <col min="13827" max="14057" width="9" style="1"/>
    <col min="14058" max="14058" width="4.625" style="1" customWidth="1"/>
    <col min="14059" max="14059" width="34.625" style="1" customWidth="1"/>
    <col min="14060" max="14060" width="11.625" style="1" customWidth="1"/>
    <col min="14061" max="14062" width="6.625" style="1" customWidth="1"/>
    <col min="14063" max="14063" width="10.625" style="1" customWidth="1"/>
    <col min="14064" max="14064" width="14.625" style="1" customWidth="1"/>
    <col min="14065" max="14065" width="10.625" style="1" customWidth="1"/>
    <col min="14066" max="14066" width="14.625" style="1" customWidth="1"/>
    <col min="14067" max="14067" width="10.625" style="1" customWidth="1"/>
    <col min="14068" max="14068" width="14.625" style="1" customWidth="1"/>
    <col min="14069" max="14069" width="10.625" style="1" customWidth="1"/>
    <col min="14070" max="14070" width="18.625" style="1" customWidth="1"/>
    <col min="14071" max="14071" width="9.625" style="1" customWidth="1"/>
    <col min="14072" max="14072" width="10.5" style="1" customWidth="1"/>
    <col min="14073" max="14073" width="20.375" style="1" bestFit="1" customWidth="1"/>
    <col min="14074" max="14074" width="12.5" style="1" customWidth="1"/>
    <col min="14075" max="14075" width="13.125" style="1" customWidth="1"/>
    <col min="14076" max="14080" width="9" style="1"/>
    <col min="14081" max="14081" width="11.25" style="1" bestFit="1" customWidth="1"/>
    <col min="14082" max="14082" width="11.625" style="1" bestFit="1" customWidth="1"/>
    <col min="14083" max="14313" width="9" style="1"/>
    <col min="14314" max="14314" width="4.625" style="1" customWidth="1"/>
    <col min="14315" max="14315" width="34.625" style="1" customWidth="1"/>
    <col min="14316" max="14316" width="11.625" style="1" customWidth="1"/>
    <col min="14317" max="14318" width="6.625" style="1" customWidth="1"/>
    <col min="14319" max="14319" width="10.625" style="1" customWidth="1"/>
    <col min="14320" max="14320" width="14.625" style="1" customWidth="1"/>
    <col min="14321" max="14321" width="10.625" style="1" customWidth="1"/>
    <col min="14322" max="14322" width="14.625" style="1" customWidth="1"/>
    <col min="14323" max="14323" width="10.625" style="1" customWidth="1"/>
    <col min="14324" max="14324" width="14.625" style="1" customWidth="1"/>
    <col min="14325" max="14325" width="10.625" style="1" customWidth="1"/>
    <col min="14326" max="14326" width="18.625" style="1" customWidth="1"/>
    <col min="14327" max="14327" width="9.625" style="1" customWidth="1"/>
    <col min="14328" max="14328" width="10.5" style="1" customWidth="1"/>
    <col min="14329" max="14329" width="20.375" style="1" bestFit="1" customWidth="1"/>
    <col min="14330" max="14330" width="12.5" style="1" customWidth="1"/>
    <col min="14331" max="14331" width="13.125" style="1" customWidth="1"/>
    <col min="14332" max="14336" width="9" style="1"/>
    <col min="14337" max="14337" width="11.25" style="1" bestFit="1" customWidth="1"/>
    <col min="14338" max="14338" width="11.625" style="1" bestFit="1" customWidth="1"/>
    <col min="14339" max="14569" width="9" style="1"/>
    <col min="14570" max="14570" width="4.625" style="1" customWidth="1"/>
    <col min="14571" max="14571" width="34.625" style="1" customWidth="1"/>
    <col min="14572" max="14572" width="11.625" style="1" customWidth="1"/>
    <col min="14573" max="14574" width="6.625" style="1" customWidth="1"/>
    <col min="14575" max="14575" width="10.625" style="1" customWidth="1"/>
    <col min="14576" max="14576" width="14.625" style="1" customWidth="1"/>
    <col min="14577" max="14577" width="10.625" style="1" customWidth="1"/>
    <col min="14578" max="14578" width="14.625" style="1" customWidth="1"/>
    <col min="14579" max="14579" width="10.625" style="1" customWidth="1"/>
    <col min="14580" max="14580" width="14.625" style="1" customWidth="1"/>
    <col min="14581" max="14581" width="10.625" style="1" customWidth="1"/>
    <col min="14582" max="14582" width="18.625" style="1" customWidth="1"/>
    <col min="14583" max="14583" width="9.625" style="1" customWidth="1"/>
    <col min="14584" max="14584" width="10.5" style="1" customWidth="1"/>
    <col min="14585" max="14585" width="20.375" style="1" bestFit="1" customWidth="1"/>
    <col min="14586" max="14586" width="12.5" style="1" customWidth="1"/>
    <col min="14587" max="14587" width="13.125" style="1" customWidth="1"/>
    <col min="14588" max="14592" width="9" style="1"/>
    <col min="14593" max="14593" width="11.25" style="1" bestFit="1" customWidth="1"/>
    <col min="14594" max="14594" width="11.625" style="1" bestFit="1" customWidth="1"/>
    <col min="14595" max="14825" width="9" style="1"/>
    <col min="14826" max="14826" width="4.625" style="1" customWidth="1"/>
    <col min="14827" max="14827" width="34.625" style="1" customWidth="1"/>
    <col min="14828" max="14828" width="11.625" style="1" customWidth="1"/>
    <col min="14829" max="14830" width="6.625" style="1" customWidth="1"/>
    <col min="14831" max="14831" width="10.625" style="1" customWidth="1"/>
    <col min="14832" max="14832" width="14.625" style="1" customWidth="1"/>
    <col min="14833" max="14833" width="10.625" style="1" customWidth="1"/>
    <col min="14834" max="14834" width="14.625" style="1" customWidth="1"/>
    <col min="14835" max="14835" width="10.625" style="1" customWidth="1"/>
    <col min="14836" max="14836" width="14.625" style="1" customWidth="1"/>
    <col min="14837" max="14837" width="10.625" style="1" customWidth="1"/>
    <col min="14838" max="14838" width="18.625" style="1" customWidth="1"/>
    <col min="14839" max="14839" width="9.625" style="1" customWidth="1"/>
    <col min="14840" max="14840" width="10.5" style="1" customWidth="1"/>
    <col min="14841" max="14841" width="20.375" style="1" bestFit="1" customWidth="1"/>
    <col min="14842" max="14842" width="12.5" style="1" customWidth="1"/>
    <col min="14843" max="14843" width="13.125" style="1" customWidth="1"/>
    <col min="14844" max="14848" width="9" style="1"/>
    <col min="14849" max="14849" width="11.25" style="1" bestFit="1" customWidth="1"/>
    <col min="14850" max="14850" width="11.625" style="1" bestFit="1" customWidth="1"/>
    <col min="14851" max="15081" width="9" style="1"/>
    <col min="15082" max="15082" width="4.625" style="1" customWidth="1"/>
    <col min="15083" max="15083" width="34.625" style="1" customWidth="1"/>
    <col min="15084" max="15084" width="11.625" style="1" customWidth="1"/>
    <col min="15085" max="15086" width="6.625" style="1" customWidth="1"/>
    <col min="15087" max="15087" width="10.625" style="1" customWidth="1"/>
    <col min="15088" max="15088" width="14.625" style="1" customWidth="1"/>
    <col min="15089" max="15089" width="10.625" style="1" customWidth="1"/>
    <col min="15090" max="15090" width="14.625" style="1" customWidth="1"/>
    <col min="15091" max="15091" width="10.625" style="1" customWidth="1"/>
    <col min="15092" max="15092" width="14.625" style="1" customWidth="1"/>
    <col min="15093" max="15093" width="10.625" style="1" customWidth="1"/>
    <col min="15094" max="15094" width="18.625" style="1" customWidth="1"/>
    <col min="15095" max="15095" width="9.625" style="1" customWidth="1"/>
    <col min="15096" max="15096" width="10.5" style="1" customWidth="1"/>
    <col min="15097" max="15097" width="20.375" style="1" bestFit="1" customWidth="1"/>
    <col min="15098" max="15098" width="12.5" style="1" customWidth="1"/>
    <col min="15099" max="15099" width="13.125" style="1" customWidth="1"/>
    <col min="15100" max="15104" width="9" style="1"/>
    <col min="15105" max="15105" width="11.25" style="1" bestFit="1" customWidth="1"/>
    <col min="15106" max="15106" width="11.625" style="1" bestFit="1" customWidth="1"/>
    <col min="15107" max="15337" width="9" style="1"/>
    <col min="15338" max="15338" width="4.625" style="1" customWidth="1"/>
    <col min="15339" max="15339" width="34.625" style="1" customWidth="1"/>
    <col min="15340" max="15340" width="11.625" style="1" customWidth="1"/>
    <col min="15341" max="15342" width="6.625" style="1" customWidth="1"/>
    <col min="15343" max="15343" width="10.625" style="1" customWidth="1"/>
    <col min="15344" max="15344" width="14.625" style="1" customWidth="1"/>
    <col min="15345" max="15345" width="10.625" style="1" customWidth="1"/>
    <col min="15346" max="15346" width="14.625" style="1" customWidth="1"/>
    <col min="15347" max="15347" width="10.625" style="1" customWidth="1"/>
    <col min="15348" max="15348" width="14.625" style="1" customWidth="1"/>
    <col min="15349" max="15349" width="10.625" style="1" customWidth="1"/>
    <col min="15350" max="15350" width="18.625" style="1" customWidth="1"/>
    <col min="15351" max="15351" width="9.625" style="1" customWidth="1"/>
    <col min="15352" max="15352" width="10.5" style="1" customWidth="1"/>
    <col min="15353" max="15353" width="20.375" style="1" bestFit="1" customWidth="1"/>
    <col min="15354" max="15354" width="12.5" style="1" customWidth="1"/>
    <col min="15355" max="15355" width="13.125" style="1" customWidth="1"/>
    <col min="15356" max="15360" width="9" style="1"/>
    <col min="15361" max="15361" width="11.25" style="1" bestFit="1" customWidth="1"/>
    <col min="15362" max="15362" width="11.625" style="1" bestFit="1" customWidth="1"/>
    <col min="15363" max="15593" width="9" style="1"/>
    <col min="15594" max="15594" width="4.625" style="1" customWidth="1"/>
    <col min="15595" max="15595" width="34.625" style="1" customWidth="1"/>
    <col min="15596" max="15596" width="11.625" style="1" customWidth="1"/>
    <col min="15597" max="15598" width="6.625" style="1" customWidth="1"/>
    <col min="15599" max="15599" width="10.625" style="1" customWidth="1"/>
    <col min="15600" max="15600" width="14.625" style="1" customWidth="1"/>
    <col min="15601" max="15601" width="10.625" style="1" customWidth="1"/>
    <col min="15602" max="15602" width="14.625" style="1" customWidth="1"/>
    <col min="15603" max="15603" width="10.625" style="1" customWidth="1"/>
    <col min="15604" max="15604" width="14.625" style="1" customWidth="1"/>
    <col min="15605" max="15605" width="10.625" style="1" customWidth="1"/>
    <col min="15606" max="15606" width="18.625" style="1" customWidth="1"/>
    <col min="15607" max="15607" width="9.625" style="1" customWidth="1"/>
    <col min="15608" max="15608" width="10.5" style="1" customWidth="1"/>
    <col min="15609" max="15609" width="20.375" style="1" bestFit="1" customWidth="1"/>
    <col min="15610" max="15610" width="12.5" style="1" customWidth="1"/>
    <col min="15611" max="15611" width="13.125" style="1" customWidth="1"/>
    <col min="15612" max="15616" width="9" style="1"/>
    <col min="15617" max="15617" width="11.25" style="1" bestFit="1" customWidth="1"/>
    <col min="15618" max="15618" width="11.625" style="1" bestFit="1" customWidth="1"/>
    <col min="15619" max="15849" width="9" style="1"/>
    <col min="15850" max="15850" width="4.625" style="1" customWidth="1"/>
    <col min="15851" max="15851" width="34.625" style="1" customWidth="1"/>
    <col min="15852" max="15852" width="11.625" style="1" customWidth="1"/>
    <col min="15853" max="15854" width="6.625" style="1" customWidth="1"/>
    <col min="15855" max="15855" width="10.625" style="1" customWidth="1"/>
    <col min="15856" max="15856" width="14.625" style="1" customWidth="1"/>
    <col min="15857" max="15857" width="10.625" style="1" customWidth="1"/>
    <col min="15858" max="15858" width="14.625" style="1" customWidth="1"/>
    <col min="15859" max="15859" width="10.625" style="1" customWidth="1"/>
    <col min="15860" max="15860" width="14.625" style="1" customWidth="1"/>
    <col min="15861" max="15861" width="10.625" style="1" customWidth="1"/>
    <col min="15862" max="15862" width="18.625" style="1" customWidth="1"/>
    <col min="15863" max="15863" width="9.625" style="1" customWidth="1"/>
    <col min="15864" max="15864" width="10.5" style="1" customWidth="1"/>
    <col min="15865" max="15865" width="20.375" style="1" bestFit="1" customWidth="1"/>
    <col min="15866" max="15866" width="12.5" style="1" customWidth="1"/>
    <col min="15867" max="15867" width="13.125" style="1" customWidth="1"/>
    <col min="15868" max="15872" width="9" style="1"/>
    <col min="15873" max="15873" width="11.25" style="1" bestFit="1" customWidth="1"/>
    <col min="15874" max="15874" width="11.625" style="1" bestFit="1" customWidth="1"/>
    <col min="15875" max="16105" width="9" style="1"/>
    <col min="16106" max="16106" width="4.625" style="1" customWidth="1"/>
    <col min="16107" max="16107" width="34.625" style="1" customWidth="1"/>
    <col min="16108" max="16108" width="11.625" style="1" customWidth="1"/>
    <col min="16109" max="16110" width="6.625" style="1" customWidth="1"/>
    <col min="16111" max="16111" width="10.625" style="1" customWidth="1"/>
    <col min="16112" max="16112" width="14.625" style="1" customWidth="1"/>
    <col min="16113" max="16113" width="10.625" style="1" customWidth="1"/>
    <col min="16114" max="16114" width="14.625" style="1" customWidth="1"/>
    <col min="16115" max="16115" width="10.625" style="1" customWidth="1"/>
    <col min="16116" max="16116" width="14.625" style="1" customWidth="1"/>
    <col min="16117" max="16117" width="10.625" style="1" customWidth="1"/>
    <col min="16118" max="16118" width="18.625" style="1" customWidth="1"/>
    <col min="16119" max="16119" width="9.625" style="1" customWidth="1"/>
    <col min="16120" max="16120" width="10.5" style="1" customWidth="1"/>
    <col min="16121" max="16121" width="20.375" style="1" bestFit="1" customWidth="1"/>
    <col min="16122" max="16122" width="12.5" style="1" customWidth="1"/>
    <col min="16123" max="16123" width="13.125" style="1" customWidth="1"/>
    <col min="16124" max="16128" width="9" style="1"/>
    <col min="16129" max="16129" width="11.25" style="1" bestFit="1" customWidth="1"/>
    <col min="16130" max="16130" width="11.625" style="1" bestFit="1" customWidth="1"/>
    <col min="16131" max="16384" width="9" style="1"/>
  </cols>
  <sheetData>
    <row r="1" spans="1:118" s="207" customFormat="1" ht="35.1" customHeight="1">
      <c r="A1" s="330" t="s">
        <v>414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</row>
    <row r="2" spans="1:118" ht="19.5" customHeight="1" thickBot="1">
      <c r="A2" s="354" t="s">
        <v>289</v>
      </c>
      <c r="B2" s="354"/>
      <c r="C2" s="354"/>
      <c r="D2" s="354"/>
      <c r="E2" s="354"/>
      <c r="F2" s="355"/>
      <c r="G2" s="355"/>
      <c r="H2" s="355"/>
      <c r="I2" s="355"/>
      <c r="J2" s="179"/>
      <c r="K2" s="179"/>
      <c r="L2" s="179"/>
      <c r="M2" s="262" t="s">
        <v>397</v>
      </c>
    </row>
    <row r="3" spans="1:118" ht="30" customHeight="1" thickBot="1">
      <c r="A3" s="121"/>
      <c r="B3" s="180" t="s">
        <v>56</v>
      </c>
      <c r="C3" s="181" t="s">
        <v>39</v>
      </c>
      <c r="D3" s="181" t="s">
        <v>38</v>
      </c>
      <c r="E3" s="181" t="s">
        <v>37</v>
      </c>
      <c r="F3" s="333" t="s">
        <v>177</v>
      </c>
      <c r="G3" s="334"/>
      <c r="H3" s="334"/>
      <c r="I3" s="334"/>
      <c r="J3" s="210" t="s">
        <v>179</v>
      </c>
      <c r="K3" s="210" t="s">
        <v>180</v>
      </c>
      <c r="L3" s="210" t="s">
        <v>181</v>
      </c>
      <c r="M3" s="211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</row>
    <row r="4" spans="1:118" ht="30" customHeight="1">
      <c r="A4" s="165" t="s">
        <v>54</v>
      </c>
      <c r="B4" s="44"/>
      <c r="C4" s="44"/>
      <c r="D4" s="44"/>
      <c r="E4" s="47"/>
      <c r="F4" s="335"/>
      <c r="G4" s="336"/>
      <c r="H4" s="336"/>
      <c r="I4" s="337"/>
      <c r="J4" s="48">
        <v>0</v>
      </c>
      <c r="K4" s="46">
        <f>'기성총괄표(중앙_2권역 대행)'!M10</f>
        <v>23040608</v>
      </c>
      <c r="L4" s="212">
        <f>J4+K4</f>
        <v>23040608</v>
      </c>
      <c r="M4" s="166"/>
    </row>
    <row r="5" spans="1:118" s="3" customFormat="1" ht="30" customHeight="1">
      <c r="A5" s="127"/>
      <c r="B5" s="132"/>
      <c r="C5" s="129"/>
      <c r="D5" s="130"/>
      <c r="E5" s="128"/>
      <c r="F5" s="321"/>
      <c r="G5" s="322"/>
      <c r="H5" s="322"/>
      <c r="I5" s="323"/>
      <c r="J5" s="80"/>
      <c r="K5" s="80"/>
      <c r="L5" s="80"/>
      <c r="M5" s="8"/>
    </row>
    <row r="6" spans="1:118" s="3" customFormat="1" ht="30" customHeight="1">
      <c r="A6" s="127"/>
      <c r="B6" s="132"/>
      <c r="C6" s="129"/>
      <c r="D6" s="130"/>
      <c r="E6" s="128"/>
      <c r="F6" s="321"/>
      <c r="G6" s="322"/>
      <c r="H6" s="322"/>
      <c r="I6" s="323"/>
      <c r="J6" s="80"/>
      <c r="K6" s="80"/>
      <c r="L6" s="80"/>
      <c r="M6" s="8"/>
    </row>
    <row r="7" spans="1:118" s="3" customFormat="1" ht="30" customHeight="1" thickBot="1">
      <c r="A7" s="133"/>
      <c r="B7" s="134"/>
      <c r="C7" s="135"/>
      <c r="D7" s="62"/>
      <c r="E7" s="62"/>
      <c r="F7" s="324"/>
      <c r="G7" s="325"/>
      <c r="H7" s="325"/>
      <c r="I7" s="326"/>
      <c r="J7" s="23"/>
      <c r="K7" s="23"/>
      <c r="L7" s="23"/>
      <c r="M7" s="63"/>
    </row>
    <row r="8" spans="1:118" s="52" customFormat="1" ht="30" customHeight="1" thickBot="1">
      <c r="A8" s="136"/>
      <c r="B8" s="137"/>
      <c r="C8" s="138"/>
      <c r="D8" s="139"/>
      <c r="E8" s="138"/>
      <c r="F8" s="327"/>
      <c r="G8" s="328"/>
      <c r="H8" s="328"/>
      <c r="I8" s="329"/>
      <c r="J8" s="140">
        <f t="shared" ref="J8" si="0">SUM(J4:J7)</f>
        <v>0</v>
      </c>
      <c r="K8" s="140">
        <f>SUM(K4:K7)</f>
        <v>23040608</v>
      </c>
      <c r="L8" s="140">
        <f>SUM(L4:L7)</f>
        <v>23040608</v>
      </c>
      <c r="M8" s="141"/>
    </row>
    <row r="9" spans="1:118" s="92" customFormat="1" ht="30" customHeight="1">
      <c r="A9" s="142"/>
      <c r="B9" s="143"/>
      <c r="C9" s="82"/>
      <c r="D9" s="83"/>
      <c r="E9" s="84"/>
      <c r="F9" s="85"/>
      <c r="G9" s="213"/>
      <c r="H9" s="213"/>
      <c r="I9" s="213"/>
      <c r="J9" s="215"/>
      <c r="K9" s="216"/>
      <c r="L9" s="216"/>
      <c r="M9" s="90"/>
    </row>
    <row r="10" spans="1:118" s="3" customFormat="1" ht="30" customHeight="1">
      <c r="A10" s="144" t="s">
        <v>36</v>
      </c>
      <c r="B10" s="145" t="s">
        <v>61</v>
      </c>
      <c r="C10" s="6"/>
      <c r="D10" s="7">
        <v>1</v>
      </c>
      <c r="E10" s="6" t="s">
        <v>5</v>
      </c>
      <c r="F10" s="217"/>
      <c r="G10" s="27"/>
      <c r="H10" s="27"/>
      <c r="I10" s="27"/>
      <c r="J10" s="218">
        <v>0</v>
      </c>
      <c r="K10" s="30">
        <f>'기성총괄표(중앙_2권역 대행)'!M12</f>
        <v>18753140</v>
      </c>
      <c r="L10" s="30">
        <f>J10+K10</f>
        <v>18753140</v>
      </c>
      <c r="M10" s="8"/>
    </row>
    <row r="11" spans="1:118" s="3" customFormat="1" ht="30" customHeight="1">
      <c r="A11" s="144" t="s">
        <v>34</v>
      </c>
      <c r="B11" s="146" t="s">
        <v>47</v>
      </c>
      <c r="C11" s="6"/>
      <c r="D11" s="31"/>
      <c r="E11" s="32"/>
      <c r="F11" s="217"/>
      <c r="G11" s="27"/>
      <c r="H11" s="27"/>
      <c r="I11" s="27"/>
      <c r="J11" s="218">
        <v>0</v>
      </c>
      <c r="K11" s="30">
        <f>'기성총괄표(중앙_2권역 대행)'!M13</f>
        <v>4254804</v>
      </c>
      <c r="L11" s="30">
        <f t="shared" ref="L11:L35" si="1">J11+K11</f>
        <v>4254804</v>
      </c>
      <c r="M11" s="8"/>
    </row>
    <row r="12" spans="1:118" ht="30" customHeight="1">
      <c r="A12" s="126"/>
      <c r="B12" s="145" t="s">
        <v>42</v>
      </c>
      <c r="C12" s="33"/>
      <c r="D12" s="7"/>
      <c r="E12" s="6" t="s">
        <v>5</v>
      </c>
      <c r="F12" s="219"/>
      <c r="G12" s="220"/>
      <c r="H12" s="220"/>
      <c r="I12" s="220"/>
      <c r="J12" s="218">
        <v>0</v>
      </c>
      <c r="K12" s="30">
        <f>'기성총괄표(중앙_2권역 대행)'!M14</f>
        <v>3755344</v>
      </c>
      <c r="L12" s="30">
        <f t="shared" si="1"/>
        <v>3755344</v>
      </c>
      <c r="M12" s="8"/>
    </row>
    <row r="13" spans="1:118" ht="30" customHeight="1">
      <c r="A13" s="126"/>
      <c r="B13" s="145" t="s">
        <v>43</v>
      </c>
      <c r="C13" s="35">
        <v>0.11600000000000001</v>
      </c>
      <c r="D13" s="7"/>
      <c r="E13" s="6" t="s">
        <v>5</v>
      </c>
      <c r="F13" s="219" t="s">
        <v>2</v>
      </c>
      <c r="G13" s="220"/>
      <c r="H13" s="220"/>
      <c r="I13" s="220"/>
      <c r="J13" s="218">
        <v>0</v>
      </c>
      <c r="K13" s="30">
        <f>'기성총괄표(중앙_2권역 대행)'!M15</f>
        <v>499460</v>
      </c>
      <c r="L13" s="30">
        <f t="shared" si="1"/>
        <v>499460</v>
      </c>
      <c r="M13" s="8"/>
    </row>
    <row r="14" spans="1:118" ht="30" customHeight="1">
      <c r="A14" s="144" t="s">
        <v>35</v>
      </c>
      <c r="B14" s="146" t="s">
        <v>62</v>
      </c>
      <c r="C14" s="33"/>
      <c r="D14" s="7"/>
      <c r="E14" s="6"/>
      <c r="F14" s="219"/>
      <c r="G14" s="220"/>
      <c r="H14" s="220"/>
      <c r="I14" s="220"/>
      <c r="J14" s="218">
        <v>0</v>
      </c>
      <c r="K14" s="30">
        <f>'기성총괄표(중앙_2권역 대행)'!M16</f>
        <v>1692901</v>
      </c>
      <c r="L14" s="30">
        <f t="shared" si="1"/>
        <v>1692901</v>
      </c>
      <c r="M14" s="8"/>
    </row>
    <row r="15" spans="1:118" ht="30" customHeight="1">
      <c r="A15" s="126"/>
      <c r="B15" s="145" t="s">
        <v>63</v>
      </c>
      <c r="C15" s="33"/>
      <c r="D15" s="7"/>
      <c r="E15" s="6" t="s">
        <v>5</v>
      </c>
      <c r="F15" s="219"/>
      <c r="G15" s="220"/>
      <c r="H15" s="220"/>
      <c r="I15" s="220"/>
      <c r="J15" s="218">
        <v>0</v>
      </c>
      <c r="K15" s="30">
        <f>'기성총괄표(중앙_2권역 대행)'!M17</f>
        <v>532124</v>
      </c>
      <c r="L15" s="30">
        <f t="shared" si="1"/>
        <v>532124</v>
      </c>
      <c r="M15" s="8"/>
    </row>
    <row r="16" spans="1:118" ht="30" customHeight="1">
      <c r="A16" s="126"/>
      <c r="B16" s="145" t="s">
        <v>87</v>
      </c>
      <c r="C16" s="36"/>
      <c r="D16" s="7"/>
      <c r="E16" s="6"/>
      <c r="F16" s="219"/>
      <c r="G16" s="220"/>
      <c r="H16" s="220"/>
      <c r="I16" s="220"/>
      <c r="J16" s="218">
        <v>0</v>
      </c>
      <c r="K16" s="30">
        <f>'기성총괄표(중앙_2권역 대행)'!M18</f>
        <v>0</v>
      </c>
      <c r="L16" s="30">
        <f t="shared" si="1"/>
        <v>0</v>
      </c>
      <c r="M16" s="49"/>
    </row>
    <row r="17" spans="1:13" ht="30" customHeight="1">
      <c r="A17" s="126"/>
      <c r="B17" s="146" t="s">
        <v>65</v>
      </c>
      <c r="C17" s="33">
        <v>3.56E-2</v>
      </c>
      <c r="D17" s="7">
        <v>1</v>
      </c>
      <c r="E17" s="6" t="s">
        <v>5</v>
      </c>
      <c r="F17" s="219" t="s">
        <v>66</v>
      </c>
      <c r="G17" s="220"/>
      <c r="H17" s="220"/>
      <c r="I17" s="220"/>
      <c r="J17" s="218">
        <v>0</v>
      </c>
      <c r="K17" s="30">
        <f>'기성총괄표(중앙_2권역 대행)'!M19</f>
        <v>151471</v>
      </c>
      <c r="L17" s="30">
        <f t="shared" si="1"/>
        <v>151471</v>
      </c>
      <c r="M17" s="8"/>
    </row>
    <row r="18" spans="1:13" ht="30" customHeight="1">
      <c r="A18" s="126"/>
      <c r="B18" s="146" t="s">
        <v>67</v>
      </c>
      <c r="C18" s="33">
        <v>1.01E-2</v>
      </c>
      <c r="D18" s="7">
        <v>1</v>
      </c>
      <c r="E18" s="6" t="s">
        <v>5</v>
      </c>
      <c r="F18" s="219" t="s">
        <v>66</v>
      </c>
      <c r="G18" s="220"/>
      <c r="H18" s="220"/>
      <c r="I18" s="220"/>
      <c r="J18" s="218">
        <v>0</v>
      </c>
      <c r="K18" s="30">
        <f>'기성총괄표(중앙_2권역 대행)'!M20</f>
        <v>42973</v>
      </c>
      <c r="L18" s="30">
        <f t="shared" si="1"/>
        <v>42973</v>
      </c>
      <c r="M18" s="8"/>
    </row>
    <row r="19" spans="1:13" ht="30" customHeight="1">
      <c r="A19" s="126"/>
      <c r="B19" s="146" t="s">
        <v>68</v>
      </c>
      <c r="C19" s="33">
        <v>4.4999999999999998E-2</v>
      </c>
      <c r="D19" s="7">
        <v>1</v>
      </c>
      <c r="E19" s="6" t="s">
        <v>5</v>
      </c>
      <c r="F19" s="219" t="s">
        <v>2</v>
      </c>
      <c r="G19" s="220"/>
      <c r="H19" s="220"/>
      <c r="I19" s="220"/>
      <c r="J19" s="218">
        <v>0</v>
      </c>
      <c r="K19" s="30">
        <f>'기성총괄표(중앙_2권역 대행)'!M21</f>
        <v>0</v>
      </c>
      <c r="L19" s="30">
        <f t="shared" si="1"/>
        <v>0</v>
      </c>
      <c r="M19" s="54" t="s">
        <v>64</v>
      </c>
    </row>
    <row r="20" spans="1:13" ht="30" customHeight="1">
      <c r="A20" s="126"/>
      <c r="B20" s="146" t="s">
        <v>70</v>
      </c>
      <c r="C20" s="172">
        <v>3.5450000000000002E-2</v>
      </c>
      <c r="D20" s="7">
        <v>1</v>
      </c>
      <c r="E20" s="6" t="s">
        <v>5</v>
      </c>
      <c r="F20" s="219" t="s">
        <v>2</v>
      </c>
      <c r="G20" s="220"/>
      <c r="H20" s="220"/>
      <c r="I20" s="220"/>
      <c r="J20" s="218">
        <v>0</v>
      </c>
      <c r="K20" s="30">
        <f>'기성총괄표(중앙_2권역 대행)'!M22</f>
        <v>0</v>
      </c>
      <c r="L20" s="30">
        <f t="shared" si="1"/>
        <v>0</v>
      </c>
      <c r="M20" s="54" t="s">
        <v>64</v>
      </c>
    </row>
    <row r="21" spans="1:13" ht="30" customHeight="1">
      <c r="A21" s="126"/>
      <c r="B21" s="146" t="s">
        <v>71</v>
      </c>
      <c r="C21" s="33">
        <v>0.1295</v>
      </c>
      <c r="D21" s="7">
        <v>1</v>
      </c>
      <c r="E21" s="6" t="s">
        <v>5</v>
      </c>
      <c r="F21" s="219" t="s">
        <v>72</v>
      </c>
      <c r="G21" s="220"/>
      <c r="H21" s="220"/>
      <c r="I21" s="220"/>
      <c r="J21" s="218">
        <v>0</v>
      </c>
      <c r="K21" s="30">
        <f>'기성총괄표(중앙_2권역 대행)'!M23</f>
        <v>0</v>
      </c>
      <c r="L21" s="30">
        <f t="shared" si="1"/>
        <v>0</v>
      </c>
      <c r="M21" s="54" t="s">
        <v>64</v>
      </c>
    </row>
    <row r="22" spans="1:13" ht="30" customHeight="1">
      <c r="A22" s="126"/>
      <c r="B22" s="145" t="s">
        <v>88</v>
      </c>
      <c r="C22" s="35">
        <v>2.3E-2</v>
      </c>
      <c r="D22" s="7">
        <v>1</v>
      </c>
      <c r="E22" s="6" t="s">
        <v>5</v>
      </c>
      <c r="F22" s="219" t="s">
        <v>204</v>
      </c>
      <c r="G22" s="220"/>
      <c r="H22" s="220"/>
      <c r="I22" s="220"/>
      <c r="J22" s="218">
        <v>0</v>
      </c>
      <c r="K22" s="30">
        <f>'기성총괄표(중앙_2권역 대행)'!M24</f>
        <v>0</v>
      </c>
      <c r="L22" s="30">
        <f t="shared" si="1"/>
        <v>0</v>
      </c>
      <c r="M22" s="54" t="s">
        <v>64</v>
      </c>
    </row>
    <row r="23" spans="1:13" s="52" customFormat="1" ht="30" customHeight="1">
      <c r="A23" s="126"/>
      <c r="B23" s="145" t="s">
        <v>89</v>
      </c>
      <c r="C23" s="33">
        <v>1.9900000000000001E-2</v>
      </c>
      <c r="D23" s="7">
        <v>1</v>
      </c>
      <c r="E23" s="6" t="s">
        <v>5</v>
      </c>
      <c r="F23" s="153" t="s">
        <v>206</v>
      </c>
      <c r="G23" s="222"/>
      <c r="H23" s="222"/>
      <c r="I23" s="222"/>
      <c r="J23" s="218">
        <v>0</v>
      </c>
      <c r="K23" s="30">
        <f>'기성총괄표(중앙_2권역 대행)'!M25</f>
        <v>0</v>
      </c>
      <c r="L23" s="30">
        <f t="shared" si="1"/>
        <v>0</v>
      </c>
      <c r="M23" s="54" t="s">
        <v>64</v>
      </c>
    </row>
    <row r="24" spans="1:13" ht="30" customHeight="1">
      <c r="A24" s="126"/>
      <c r="B24" s="145" t="s">
        <v>90</v>
      </c>
      <c r="C24" s="35">
        <v>4.8000000000000001E-2</v>
      </c>
      <c r="D24" s="7">
        <v>1</v>
      </c>
      <c r="E24" s="6" t="s">
        <v>5</v>
      </c>
      <c r="F24" s="219" t="s">
        <v>73</v>
      </c>
      <c r="G24" s="220"/>
      <c r="H24" s="220"/>
      <c r="I24" s="220"/>
      <c r="J24" s="218">
        <v>0</v>
      </c>
      <c r="K24" s="30">
        <f>'기성총괄표(중앙_2권역 대행)'!M26</f>
        <v>966333</v>
      </c>
      <c r="L24" s="30">
        <f t="shared" si="1"/>
        <v>966333</v>
      </c>
      <c r="M24" s="8"/>
    </row>
    <row r="25" spans="1:13" ht="30" customHeight="1">
      <c r="A25" s="126"/>
      <c r="B25" s="145" t="s">
        <v>91</v>
      </c>
      <c r="C25" s="35">
        <v>5.0000000000000001E-3</v>
      </c>
      <c r="D25" s="7">
        <v>1</v>
      </c>
      <c r="E25" s="6" t="s">
        <v>5</v>
      </c>
      <c r="F25" s="219" t="s">
        <v>74</v>
      </c>
      <c r="G25" s="220"/>
      <c r="H25" s="220"/>
      <c r="I25" s="220"/>
      <c r="J25" s="218">
        <v>0</v>
      </c>
      <c r="K25" s="30">
        <f>'기성총괄표(중앙_2권역 대행)'!M27</f>
        <v>0</v>
      </c>
      <c r="L25" s="30">
        <f t="shared" si="1"/>
        <v>0</v>
      </c>
      <c r="M25" s="49" t="s">
        <v>64</v>
      </c>
    </row>
    <row r="26" spans="1:13" ht="30" customHeight="1">
      <c r="A26" s="148"/>
      <c r="B26" s="149" t="s">
        <v>92</v>
      </c>
      <c r="C26" s="150"/>
      <c r="D26" s="64"/>
      <c r="E26" s="61"/>
      <c r="F26" s="219"/>
      <c r="G26" s="220"/>
      <c r="H26" s="220"/>
      <c r="I26" s="220"/>
      <c r="J26" s="218">
        <v>0</v>
      </c>
      <c r="K26" s="30">
        <f>'기성총괄표(중앙_2권역 대행)'!M28</f>
        <v>0</v>
      </c>
      <c r="L26" s="30">
        <f t="shared" si="1"/>
        <v>0</v>
      </c>
      <c r="M26" s="151"/>
    </row>
    <row r="27" spans="1:13" ht="30" customHeight="1">
      <c r="A27" s="148"/>
      <c r="B27" s="146" t="s">
        <v>75</v>
      </c>
      <c r="C27" s="152">
        <v>8.0999999999999996E-4</v>
      </c>
      <c r="D27" s="64">
        <v>1</v>
      </c>
      <c r="E27" s="61" t="s">
        <v>5</v>
      </c>
      <c r="F27" s="219" t="s">
        <v>74</v>
      </c>
      <c r="G27" s="220"/>
      <c r="H27" s="220"/>
      <c r="I27" s="220"/>
      <c r="J27" s="218">
        <v>0</v>
      </c>
      <c r="K27" s="30">
        <f>'기성총괄표(중앙_2권역 대행)'!M29</f>
        <v>0</v>
      </c>
      <c r="L27" s="30">
        <f t="shared" si="1"/>
        <v>0</v>
      </c>
      <c r="M27" s="151" t="s">
        <v>64</v>
      </c>
    </row>
    <row r="28" spans="1:13" ht="30" customHeight="1">
      <c r="A28" s="126"/>
      <c r="B28" s="146" t="s">
        <v>76</v>
      </c>
      <c r="C28" s="33">
        <v>3.2000000000000002E-3</v>
      </c>
      <c r="D28" s="7">
        <v>1</v>
      </c>
      <c r="E28" s="6" t="s">
        <v>5</v>
      </c>
      <c r="F28" s="219" t="s">
        <v>74</v>
      </c>
      <c r="G28" s="220"/>
      <c r="H28" s="220"/>
      <c r="I28" s="220"/>
      <c r="J28" s="218">
        <v>0</v>
      </c>
      <c r="K28" s="30">
        <f>'기성총괄표(중앙_2권역 대행)'!M30</f>
        <v>0</v>
      </c>
      <c r="L28" s="30">
        <f t="shared" si="1"/>
        <v>0</v>
      </c>
      <c r="M28" s="49" t="s">
        <v>64</v>
      </c>
    </row>
    <row r="29" spans="1:13" s="57" customFormat="1" ht="30" customHeight="1">
      <c r="A29" s="154"/>
      <c r="B29" s="155" t="s">
        <v>77</v>
      </c>
      <c r="C29" s="75"/>
      <c r="D29" s="76"/>
      <c r="E29" s="75"/>
      <c r="F29" s="224"/>
      <c r="G29" s="225"/>
      <c r="H29" s="225"/>
      <c r="I29" s="225"/>
      <c r="J29" s="227">
        <v>0</v>
      </c>
      <c r="K29" s="228">
        <f>'기성총괄표(중앙_2권역 대행)'!M31</f>
        <v>24700845</v>
      </c>
      <c r="L29" s="228">
        <f t="shared" si="1"/>
        <v>24700845</v>
      </c>
      <c r="M29" s="81"/>
    </row>
    <row r="30" spans="1:13" ht="30" customHeight="1">
      <c r="A30" s="144" t="s">
        <v>78</v>
      </c>
      <c r="B30" s="146" t="s">
        <v>79</v>
      </c>
      <c r="C30" s="35">
        <v>0.04</v>
      </c>
      <c r="D30" s="7">
        <v>1</v>
      </c>
      <c r="E30" s="6" t="s">
        <v>5</v>
      </c>
      <c r="F30" s="219" t="s">
        <v>80</v>
      </c>
      <c r="G30" s="220"/>
      <c r="H30" s="220"/>
      <c r="I30" s="220"/>
      <c r="J30" s="218">
        <v>0</v>
      </c>
      <c r="K30" s="30">
        <f>'기성총괄표(중앙_2권역 대행)'!M32</f>
        <v>864529</v>
      </c>
      <c r="L30" s="30">
        <f t="shared" si="1"/>
        <v>864529</v>
      </c>
      <c r="M30" s="8"/>
    </row>
    <row r="31" spans="1:13" ht="30" customHeight="1">
      <c r="A31" s="144" t="s">
        <v>81</v>
      </c>
      <c r="B31" s="146" t="s">
        <v>82</v>
      </c>
      <c r="C31" s="35">
        <v>0.05</v>
      </c>
      <c r="D31" s="7">
        <v>1</v>
      </c>
      <c r="E31" s="6" t="s">
        <v>5</v>
      </c>
      <c r="F31" s="219" t="s">
        <v>83</v>
      </c>
      <c r="G31" s="220"/>
      <c r="H31" s="220"/>
      <c r="I31" s="220"/>
      <c r="J31" s="218">
        <v>0</v>
      </c>
      <c r="K31" s="30">
        <f>'기성총괄표(중앙_2권역 대행)'!M33</f>
        <v>284626</v>
      </c>
      <c r="L31" s="30">
        <f t="shared" si="1"/>
        <v>284626</v>
      </c>
      <c r="M31" s="49"/>
    </row>
    <row r="32" spans="1:13" s="57" customFormat="1" ht="30" customHeight="1">
      <c r="A32" s="154"/>
      <c r="B32" s="155" t="s">
        <v>85</v>
      </c>
      <c r="C32" s="75"/>
      <c r="D32" s="76"/>
      <c r="E32" s="75"/>
      <c r="F32" s="224"/>
      <c r="G32" s="225"/>
      <c r="H32" s="225"/>
      <c r="I32" s="225"/>
      <c r="J32" s="227">
        <v>0</v>
      </c>
      <c r="K32" s="228">
        <f>'기성총괄표(중앙_2권역 대행)'!M34</f>
        <v>25850000</v>
      </c>
      <c r="L32" s="228">
        <f t="shared" si="1"/>
        <v>25850000</v>
      </c>
      <c r="M32" s="81"/>
    </row>
    <row r="33" spans="1:118" s="57" customFormat="1" ht="30" customHeight="1">
      <c r="A33" s="229"/>
      <c r="B33" s="230" t="s">
        <v>86</v>
      </c>
      <c r="C33" s="231"/>
      <c r="D33" s="232"/>
      <c r="E33" s="231"/>
      <c r="F33" s="224"/>
      <c r="G33" s="225"/>
      <c r="H33" s="225"/>
      <c r="I33" s="225"/>
      <c r="J33" s="227">
        <v>0</v>
      </c>
      <c r="K33" s="228">
        <f>'기성총괄표(중앙_2권역 대행)'!M35</f>
        <v>25850000</v>
      </c>
      <c r="L33" s="228">
        <f t="shared" si="1"/>
        <v>25850000</v>
      </c>
      <c r="M33" s="233"/>
    </row>
    <row r="34" spans="1:118" s="57" customFormat="1" ht="30" customHeight="1">
      <c r="A34" s="154"/>
      <c r="B34" s="155" t="s">
        <v>146</v>
      </c>
      <c r="C34" s="75"/>
      <c r="D34" s="76"/>
      <c r="E34" s="75"/>
      <c r="F34" s="224"/>
      <c r="G34" s="225"/>
      <c r="H34" s="225"/>
      <c r="I34" s="225"/>
      <c r="J34" s="227">
        <v>0</v>
      </c>
      <c r="K34" s="228">
        <f>'기성총괄표(중앙_2권역 대행)'!M36</f>
        <v>2585000</v>
      </c>
      <c r="L34" s="228">
        <f t="shared" si="1"/>
        <v>2585000</v>
      </c>
      <c r="M34" s="81"/>
    </row>
    <row r="35" spans="1:118" s="57" customFormat="1" ht="30" customHeight="1" thickBot="1">
      <c r="A35" s="156"/>
      <c r="B35" s="157" t="s">
        <v>152</v>
      </c>
      <c r="C35" s="158"/>
      <c r="D35" s="159"/>
      <c r="E35" s="158"/>
      <c r="F35" s="234"/>
      <c r="G35" s="235"/>
      <c r="H35" s="235"/>
      <c r="I35" s="235"/>
      <c r="J35" s="237">
        <v>0</v>
      </c>
      <c r="K35" s="228">
        <f>'기성총괄표(중앙_2권역 대행)'!M37</f>
        <v>28435000</v>
      </c>
      <c r="L35" s="238">
        <f t="shared" si="1"/>
        <v>28435000</v>
      </c>
      <c r="M35" s="164"/>
    </row>
    <row r="36" spans="1:118" s="2" customFormat="1" ht="33" customHeight="1">
      <c r="A36" s="1"/>
      <c r="B36" s="1"/>
      <c r="D36" s="38"/>
      <c r="E36" s="5"/>
      <c r="F36" s="39"/>
      <c r="G36" s="38"/>
      <c r="H36" s="40"/>
      <c r="I36" s="38"/>
      <c r="J36" s="38"/>
      <c r="K36" s="40"/>
      <c r="L36" s="40"/>
      <c r="M36" s="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</row>
    <row r="37" spans="1:118" s="2" customFormat="1" ht="30" customHeight="1">
      <c r="A37" s="1"/>
      <c r="B37" s="1"/>
      <c r="D37" s="38"/>
      <c r="E37" s="5"/>
      <c r="F37" s="39"/>
      <c r="G37" s="38"/>
      <c r="H37" s="40"/>
      <c r="I37" s="38"/>
      <c r="J37" s="38"/>
      <c r="K37" s="40"/>
      <c r="L37" s="40"/>
      <c r="M37" s="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</row>
    <row r="41" spans="1:118" s="2" customFormat="1" ht="34.700000000000003" customHeight="1">
      <c r="A41" s="1"/>
      <c r="B41" s="1"/>
      <c r="D41" s="38"/>
      <c r="E41" s="5"/>
      <c r="F41" s="39"/>
      <c r="G41" s="38"/>
      <c r="H41" s="40"/>
      <c r="I41" s="38"/>
      <c r="J41" s="38"/>
      <c r="K41" s="40"/>
      <c r="L41" s="40"/>
      <c r="M41" s="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</row>
  </sheetData>
  <mergeCells count="9">
    <mergeCell ref="F6:I6"/>
    <mergeCell ref="F7:I7"/>
    <mergeCell ref="F8:I8"/>
    <mergeCell ref="A1:M1"/>
    <mergeCell ref="A2:E2"/>
    <mergeCell ref="F2:I2"/>
    <mergeCell ref="F3:I3"/>
    <mergeCell ref="F4:I4"/>
    <mergeCell ref="F5:I5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r:id="rId1"/>
  <headerFooter alignWithMargins="0">
    <oddFooter>&amp;C&amp;"굴림체,보통"한 국 지 역 난 방 공 사&amp;R- &amp;P -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FFCC"/>
  </sheetPr>
  <dimension ref="A1:DS45"/>
  <sheetViews>
    <sheetView view="pageBreakPreview" topLeftCell="A19" zoomScale="85" zoomScaleNormal="85" zoomScaleSheetLayoutView="85" workbookViewId="0">
      <selection activeCell="P33" sqref="P33"/>
    </sheetView>
  </sheetViews>
  <sheetFormatPr defaultRowHeight="34.700000000000003" customHeight="1"/>
  <cols>
    <col min="1" max="1" width="4.625" style="1" customWidth="1"/>
    <col min="2" max="2" width="34.62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6.5" style="38" bestFit="1" customWidth="1"/>
    <col min="8" max="8" width="10.625" style="40" customWidth="1"/>
    <col min="9" max="9" width="14.625" style="38" customWidth="1"/>
    <col min="10" max="10" width="10.625" style="40" customWidth="1"/>
    <col min="11" max="11" width="14.625" style="38" customWidth="1"/>
    <col min="12" max="12" width="10.625" style="40" customWidth="1"/>
    <col min="13" max="13" width="18.625" style="40" customWidth="1"/>
    <col min="14" max="14" width="13" style="5" bestFit="1" customWidth="1"/>
    <col min="15" max="15" width="10.5" style="5" customWidth="1"/>
    <col min="16" max="16" width="20" style="1" customWidth="1"/>
    <col min="17" max="238" width="9" style="1"/>
    <col min="239" max="239" width="4.625" style="1" customWidth="1"/>
    <col min="240" max="240" width="34.625" style="1" customWidth="1"/>
    <col min="241" max="241" width="11.625" style="1" customWidth="1"/>
    <col min="242" max="243" width="6.625" style="1" customWidth="1"/>
    <col min="244" max="244" width="10.625" style="1" customWidth="1"/>
    <col min="245" max="245" width="14.625" style="1" customWidth="1"/>
    <col min="246" max="246" width="10.625" style="1" customWidth="1"/>
    <col min="247" max="247" width="14.625" style="1" customWidth="1"/>
    <col min="248" max="248" width="10.625" style="1" customWidth="1"/>
    <col min="249" max="249" width="14.625" style="1" customWidth="1"/>
    <col min="250" max="250" width="10.625" style="1" customWidth="1"/>
    <col min="251" max="251" width="18.625" style="1" customWidth="1"/>
    <col min="252" max="252" width="9.625" style="1" customWidth="1"/>
    <col min="253" max="253" width="10.5" style="1" customWidth="1"/>
    <col min="254" max="254" width="20.375" style="1" bestFit="1" customWidth="1"/>
    <col min="255" max="255" width="12.5" style="1" customWidth="1"/>
    <col min="256" max="256" width="13.125" style="1" customWidth="1"/>
    <col min="257" max="261" width="9" style="1"/>
    <col min="262" max="262" width="11.25" style="1" bestFit="1" customWidth="1"/>
    <col min="263" max="263" width="11.625" style="1" bestFit="1" customWidth="1"/>
    <col min="264" max="494" width="9" style="1"/>
    <col min="495" max="495" width="4.625" style="1" customWidth="1"/>
    <col min="496" max="496" width="34.625" style="1" customWidth="1"/>
    <col min="497" max="497" width="11.625" style="1" customWidth="1"/>
    <col min="498" max="499" width="6.625" style="1" customWidth="1"/>
    <col min="500" max="500" width="10.625" style="1" customWidth="1"/>
    <col min="501" max="501" width="14.625" style="1" customWidth="1"/>
    <col min="502" max="502" width="10.625" style="1" customWidth="1"/>
    <col min="503" max="503" width="14.625" style="1" customWidth="1"/>
    <col min="504" max="504" width="10.625" style="1" customWidth="1"/>
    <col min="505" max="505" width="14.625" style="1" customWidth="1"/>
    <col min="506" max="506" width="10.625" style="1" customWidth="1"/>
    <col min="507" max="507" width="18.625" style="1" customWidth="1"/>
    <col min="508" max="508" width="9.625" style="1" customWidth="1"/>
    <col min="509" max="509" width="10.5" style="1" customWidth="1"/>
    <col min="510" max="510" width="20.375" style="1" bestFit="1" customWidth="1"/>
    <col min="511" max="511" width="12.5" style="1" customWidth="1"/>
    <col min="512" max="512" width="13.125" style="1" customWidth="1"/>
    <col min="513" max="517" width="9" style="1"/>
    <col min="518" max="518" width="11.25" style="1" bestFit="1" customWidth="1"/>
    <col min="519" max="519" width="11.625" style="1" bestFit="1" customWidth="1"/>
    <col min="520" max="750" width="9" style="1"/>
    <col min="751" max="751" width="4.625" style="1" customWidth="1"/>
    <col min="752" max="752" width="34.625" style="1" customWidth="1"/>
    <col min="753" max="753" width="11.625" style="1" customWidth="1"/>
    <col min="754" max="755" width="6.625" style="1" customWidth="1"/>
    <col min="756" max="756" width="10.625" style="1" customWidth="1"/>
    <col min="757" max="757" width="14.625" style="1" customWidth="1"/>
    <col min="758" max="758" width="10.625" style="1" customWidth="1"/>
    <col min="759" max="759" width="14.625" style="1" customWidth="1"/>
    <col min="760" max="760" width="10.625" style="1" customWidth="1"/>
    <col min="761" max="761" width="14.625" style="1" customWidth="1"/>
    <col min="762" max="762" width="10.625" style="1" customWidth="1"/>
    <col min="763" max="763" width="18.625" style="1" customWidth="1"/>
    <col min="764" max="764" width="9.625" style="1" customWidth="1"/>
    <col min="765" max="765" width="10.5" style="1" customWidth="1"/>
    <col min="766" max="766" width="20.375" style="1" bestFit="1" customWidth="1"/>
    <col min="767" max="767" width="12.5" style="1" customWidth="1"/>
    <col min="768" max="768" width="13.125" style="1" customWidth="1"/>
    <col min="769" max="773" width="9" style="1"/>
    <col min="774" max="774" width="11.25" style="1" bestFit="1" customWidth="1"/>
    <col min="775" max="775" width="11.625" style="1" bestFit="1" customWidth="1"/>
    <col min="776" max="1006" width="9" style="1"/>
    <col min="1007" max="1007" width="4.625" style="1" customWidth="1"/>
    <col min="1008" max="1008" width="34.625" style="1" customWidth="1"/>
    <col min="1009" max="1009" width="11.625" style="1" customWidth="1"/>
    <col min="1010" max="1011" width="6.625" style="1" customWidth="1"/>
    <col min="1012" max="1012" width="10.625" style="1" customWidth="1"/>
    <col min="1013" max="1013" width="14.625" style="1" customWidth="1"/>
    <col min="1014" max="1014" width="10.625" style="1" customWidth="1"/>
    <col min="1015" max="1015" width="14.625" style="1" customWidth="1"/>
    <col min="1016" max="1016" width="10.625" style="1" customWidth="1"/>
    <col min="1017" max="1017" width="14.625" style="1" customWidth="1"/>
    <col min="1018" max="1018" width="10.625" style="1" customWidth="1"/>
    <col min="1019" max="1019" width="18.625" style="1" customWidth="1"/>
    <col min="1020" max="1020" width="9.625" style="1" customWidth="1"/>
    <col min="1021" max="1021" width="10.5" style="1" customWidth="1"/>
    <col min="1022" max="1022" width="20.375" style="1" bestFit="1" customWidth="1"/>
    <col min="1023" max="1023" width="12.5" style="1" customWidth="1"/>
    <col min="1024" max="1024" width="13.125" style="1" customWidth="1"/>
    <col min="1025" max="1029" width="9" style="1"/>
    <col min="1030" max="1030" width="11.25" style="1" bestFit="1" customWidth="1"/>
    <col min="1031" max="1031" width="11.625" style="1" bestFit="1" customWidth="1"/>
    <col min="1032" max="1262" width="9" style="1"/>
    <col min="1263" max="1263" width="4.625" style="1" customWidth="1"/>
    <col min="1264" max="1264" width="34.625" style="1" customWidth="1"/>
    <col min="1265" max="1265" width="11.625" style="1" customWidth="1"/>
    <col min="1266" max="1267" width="6.625" style="1" customWidth="1"/>
    <col min="1268" max="1268" width="10.625" style="1" customWidth="1"/>
    <col min="1269" max="1269" width="14.625" style="1" customWidth="1"/>
    <col min="1270" max="1270" width="10.625" style="1" customWidth="1"/>
    <col min="1271" max="1271" width="14.625" style="1" customWidth="1"/>
    <col min="1272" max="1272" width="10.625" style="1" customWidth="1"/>
    <col min="1273" max="1273" width="14.625" style="1" customWidth="1"/>
    <col min="1274" max="1274" width="10.625" style="1" customWidth="1"/>
    <col min="1275" max="1275" width="18.625" style="1" customWidth="1"/>
    <col min="1276" max="1276" width="9.625" style="1" customWidth="1"/>
    <col min="1277" max="1277" width="10.5" style="1" customWidth="1"/>
    <col min="1278" max="1278" width="20.375" style="1" bestFit="1" customWidth="1"/>
    <col min="1279" max="1279" width="12.5" style="1" customWidth="1"/>
    <col min="1280" max="1280" width="13.125" style="1" customWidth="1"/>
    <col min="1281" max="1285" width="9" style="1"/>
    <col min="1286" max="1286" width="11.25" style="1" bestFit="1" customWidth="1"/>
    <col min="1287" max="1287" width="11.625" style="1" bestFit="1" customWidth="1"/>
    <col min="1288" max="1518" width="9" style="1"/>
    <col min="1519" max="1519" width="4.625" style="1" customWidth="1"/>
    <col min="1520" max="1520" width="34.625" style="1" customWidth="1"/>
    <col min="1521" max="1521" width="11.625" style="1" customWidth="1"/>
    <col min="1522" max="1523" width="6.625" style="1" customWidth="1"/>
    <col min="1524" max="1524" width="10.625" style="1" customWidth="1"/>
    <col min="1525" max="1525" width="14.625" style="1" customWidth="1"/>
    <col min="1526" max="1526" width="10.625" style="1" customWidth="1"/>
    <col min="1527" max="1527" width="14.625" style="1" customWidth="1"/>
    <col min="1528" max="1528" width="10.625" style="1" customWidth="1"/>
    <col min="1529" max="1529" width="14.625" style="1" customWidth="1"/>
    <col min="1530" max="1530" width="10.625" style="1" customWidth="1"/>
    <col min="1531" max="1531" width="18.625" style="1" customWidth="1"/>
    <col min="1532" max="1532" width="9.625" style="1" customWidth="1"/>
    <col min="1533" max="1533" width="10.5" style="1" customWidth="1"/>
    <col min="1534" max="1534" width="20.375" style="1" bestFit="1" customWidth="1"/>
    <col min="1535" max="1535" width="12.5" style="1" customWidth="1"/>
    <col min="1536" max="1536" width="13.125" style="1" customWidth="1"/>
    <col min="1537" max="1541" width="9" style="1"/>
    <col min="1542" max="1542" width="11.25" style="1" bestFit="1" customWidth="1"/>
    <col min="1543" max="1543" width="11.625" style="1" bestFit="1" customWidth="1"/>
    <col min="1544" max="1774" width="9" style="1"/>
    <col min="1775" max="1775" width="4.625" style="1" customWidth="1"/>
    <col min="1776" max="1776" width="34.625" style="1" customWidth="1"/>
    <col min="1777" max="1777" width="11.625" style="1" customWidth="1"/>
    <col min="1778" max="1779" width="6.625" style="1" customWidth="1"/>
    <col min="1780" max="1780" width="10.625" style="1" customWidth="1"/>
    <col min="1781" max="1781" width="14.625" style="1" customWidth="1"/>
    <col min="1782" max="1782" width="10.625" style="1" customWidth="1"/>
    <col min="1783" max="1783" width="14.625" style="1" customWidth="1"/>
    <col min="1784" max="1784" width="10.625" style="1" customWidth="1"/>
    <col min="1785" max="1785" width="14.625" style="1" customWidth="1"/>
    <col min="1786" max="1786" width="10.625" style="1" customWidth="1"/>
    <col min="1787" max="1787" width="18.625" style="1" customWidth="1"/>
    <col min="1788" max="1788" width="9.625" style="1" customWidth="1"/>
    <col min="1789" max="1789" width="10.5" style="1" customWidth="1"/>
    <col min="1790" max="1790" width="20.375" style="1" bestFit="1" customWidth="1"/>
    <col min="1791" max="1791" width="12.5" style="1" customWidth="1"/>
    <col min="1792" max="1792" width="13.125" style="1" customWidth="1"/>
    <col min="1793" max="1797" width="9" style="1"/>
    <col min="1798" max="1798" width="11.25" style="1" bestFit="1" customWidth="1"/>
    <col min="1799" max="1799" width="11.625" style="1" bestFit="1" customWidth="1"/>
    <col min="1800" max="2030" width="9" style="1"/>
    <col min="2031" max="2031" width="4.625" style="1" customWidth="1"/>
    <col min="2032" max="2032" width="34.625" style="1" customWidth="1"/>
    <col min="2033" max="2033" width="11.625" style="1" customWidth="1"/>
    <col min="2034" max="2035" width="6.625" style="1" customWidth="1"/>
    <col min="2036" max="2036" width="10.625" style="1" customWidth="1"/>
    <col min="2037" max="2037" width="14.625" style="1" customWidth="1"/>
    <col min="2038" max="2038" width="10.625" style="1" customWidth="1"/>
    <col min="2039" max="2039" width="14.625" style="1" customWidth="1"/>
    <col min="2040" max="2040" width="10.625" style="1" customWidth="1"/>
    <col min="2041" max="2041" width="14.625" style="1" customWidth="1"/>
    <col min="2042" max="2042" width="10.625" style="1" customWidth="1"/>
    <col min="2043" max="2043" width="18.625" style="1" customWidth="1"/>
    <col min="2044" max="2044" width="9.625" style="1" customWidth="1"/>
    <col min="2045" max="2045" width="10.5" style="1" customWidth="1"/>
    <col min="2046" max="2046" width="20.375" style="1" bestFit="1" customWidth="1"/>
    <col min="2047" max="2047" width="12.5" style="1" customWidth="1"/>
    <col min="2048" max="2048" width="13.125" style="1" customWidth="1"/>
    <col min="2049" max="2053" width="9" style="1"/>
    <col min="2054" max="2054" width="11.25" style="1" bestFit="1" customWidth="1"/>
    <col min="2055" max="2055" width="11.625" style="1" bestFit="1" customWidth="1"/>
    <col min="2056" max="2286" width="9" style="1"/>
    <col min="2287" max="2287" width="4.625" style="1" customWidth="1"/>
    <col min="2288" max="2288" width="34.625" style="1" customWidth="1"/>
    <col min="2289" max="2289" width="11.625" style="1" customWidth="1"/>
    <col min="2290" max="2291" width="6.625" style="1" customWidth="1"/>
    <col min="2292" max="2292" width="10.625" style="1" customWidth="1"/>
    <col min="2293" max="2293" width="14.625" style="1" customWidth="1"/>
    <col min="2294" max="2294" width="10.625" style="1" customWidth="1"/>
    <col min="2295" max="2295" width="14.625" style="1" customWidth="1"/>
    <col min="2296" max="2296" width="10.625" style="1" customWidth="1"/>
    <col min="2297" max="2297" width="14.625" style="1" customWidth="1"/>
    <col min="2298" max="2298" width="10.625" style="1" customWidth="1"/>
    <col min="2299" max="2299" width="18.625" style="1" customWidth="1"/>
    <col min="2300" max="2300" width="9.625" style="1" customWidth="1"/>
    <col min="2301" max="2301" width="10.5" style="1" customWidth="1"/>
    <col min="2302" max="2302" width="20.375" style="1" bestFit="1" customWidth="1"/>
    <col min="2303" max="2303" width="12.5" style="1" customWidth="1"/>
    <col min="2304" max="2304" width="13.125" style="1" customWidth="1"/>
    <col min="2305" max="2309" width="9" style="1"/>
    <col min="2310" max="2310" width="11.25" style="1" bestFit="1" customWidth="1"/>
    <col min="2311" max="2311" width="11.625" style="1" bestFit="1" customWidth="1"/>
    <col min="2312" max="2542" width="9" style="1"/>
    <col min="2543" max="2543" width="4.625" style="1" customWidth="1"/>
    <col min="2544" max="2544" width="34.625" style="1" customWidth="1"/>
    <col min="2545" max="2545" width="11.625" style="1" customWidth="1"/>
    <col min="2546" max="2547" width="6.625" style="1" customWidth="1"/>
    <col min="2548" max="2548" width="10.625" style="1" customWidth="1"/>
    <col min="2549" max="2549" width="14.625" style="1" customWidth="1"/>
    <col min="2550" max="2550" width="10.625" style="1" customWidth="1"/>
    <col min="2551" max="2551" width="14.625" style="1" customWidth="1"/>
    <col min="2552" max="2552" width="10.625" style="1" customWidth="1"/>
    <col min="2553" max="2553" width="14.625" style="1" customWidth="1"/>
    <col min="2554" max="2554" width="10.625" style="1" customWidth="1"/>
    <col min="2555" max="2555" width="18.625" style="1" customWidth="1"/>
    <col min="2556" max="2556" width="9.625" style="1" customWidth="1"/>
    <col min="2557" max="2557" width="10.5" style="1" customWidth="1"/>
    <col min="2558" max="2558" width="20.375" style="1" bestFit="1" customWidth="1"/>
    <col min="2559" max="2559" width="12.5" style="1" customWidth="1"/>
    <col min="2560" max="2560" width="13.125" style="1" customWidth="1"/>
    <col min="2561" max="2565" width="9" style="1"/>
    <col min="2566" max="2566" width="11.25" style="1" bestFit="1" customWidth="1"/>
    <col min="2567" max="2567" width="11.625" style="1" bestFit="1" customWidth="1"/>
    <col min="2568" max="2798" width="9" style="1"/>
    <col min="2799" max="2799" width="4.625" style="1" customWidth="1"/>
    <col min="2800" max="2800" width="34.625" style="1" customWidth="1"/>
    <col min="2801" max="2801" width="11.625" style="1" customWidth="1"/>
    <col min="2802" max="2803" width="6.625" style="1" customWidth="1"/>
    <col min="2804" max="2804" width="10.625" style="1" customWidth="1"/>
    <col min="2805" max="2805" width="14.625" style="1" customWidth="1"/>
    <col min="2806" max="2806" width="10.625" style="1" customWidth="1"/>
    <col min="2807" max="2807" width="14.625" style="1" customWidth="1"/>
    <col min="2808" max="2808" width="10.625" style="1" customWidth="1"/>
    <col min="2809" max="2809" width="14.625" style="1" customWidth="1"/>
    <col min="2810" max="2810" width="10.625" style="1" customWidth="1"/>
    <col min="2811" max="2811" width="18.625" style="1" customWidth="1"/>
    <col min="2812" max="2812" width="9.625" style="1" customWidth="1"/>
    <col min="2813" max="2813" width="10.5" style="1" customWidth="1"/>
    <col min="2814" max="2814" width="20.375" style="1" bestFit="1" customWidth="1"/>
    <col min="2815" max="2815" width="12.5" style="1" customWidth="1"/>
    <col min="2816" max="2816" width="13.125" style="1" customWidth="1"/>
    <col min="2817" max="2821" width="9" style="1"/>
    <col min="2822" max="2822" width="11.25" style="1" bestFit="1" customWidth="1"/>
    <col min="2823" max="2823" width="11.625" style="1" bestFit="1" customWidth="1"/>
    <col min="2824" max="3054" width="9" style="1"/>
    <col min="3055" max="3055" width="4.625" style="1" customWidth="1"/>
    <col min="3056" max="3056" width="34.625" style="1" customWidth="1"/>
    <col min="3057" max="3057" width="11.625" style="1" customWidth="1"/>
    <col min="3058" max="3059" width="6.625" style="1" customWidth="1"/>
    <col min="3060" max="3060" width="10.625" style="1" customWidth="1"/>
    <col min="3061" max="3061" width="14.625" style="1" customWidth="1"/>
    <col min="3062" max="3062" width="10.625" style="1" customWidth="1"/>
    <col min="3063" max="3063" width="14.625" style="1" customWidth="1"/>
    <col min="3064" max="3064" width="10.625" style="1" customWidth="1"/>
    <col min="3065" max="3065" width="14.625" style="1" customWidth="1"/>
    <col min="3066" max="3066" width="10.625" style="1" customWidth="1"/>
    <col min="3067" max="3067" width="18.625" style="1" customWidth="1"/>
    <col min="3068" max="3068" width="9.625" style="1" customWidth="1"/>
    <col min="3069" max="3069" width="10.5" style="1" customWidth="1"/>
    <col min="3070" max="3070" width="20.375" style="1" bestFit="1" customWidth="1"/>
    <col min="3071" max="3071" width="12.5" style="1" customWidth="1"/>
    <col min="3072" max="3072" width="13.125" style="1" customWidth="1"/>
    <col min="3073" max="3077" width="9" style="1"/>
    <col min="3078" max="3078" width="11.25" style="1" bestFit="1" customWidth="1"/>
    <col min="3079" max="3079" width="11.625" style="1" bestFit="1" customWidth="1"/>
    <col min="3080" max="3310" width="9" style="1"/>
    <col min="3311" max="3311" width="4.625" style="1" customWidth="1"/>
    <col min="3312" max="3312" width="34.625" style="1" customWidth="1"/>
    <col min="3313" max="3313" width="11.625" style="1" customWidth="1"/>
    <col min="3314" max="3315" width="6.625" style="1" customWidth="1"/>
    <col min="3316" max="3316" width="10.625" style="1" customWidth="1"/>
    <col min="3317" max="3317" width="14.625" style="1" customWidth="1"/>
    <col min="3318" max="3318" width="10.625" style="1" customWidth="1"/>
    <col min="3319" max="3319" width="14.625" style="1" customWidth="1"/>
    <col min="3320" max="3320" width="10.625" style="1" customWidth="1"/>
    <col min="3321" max="3321" width="14.625" style="1" customWidth="1"/>
    <col min="3322" max="3322" width="10.625" style="1" customWidth="1"/>
    <col min="3323" max="3323" width="18.625" style="1" customWidth="1"/>
    <col min="3324" max="3324" width="9.625" style="1" customWidth="1"/>
    <col min="3325" max="3325" width="10.5" style="1" customWidth="1"/>
    <col min="3326" max="3326" width="20.375" style="1" bestFit="1" customWidth="1"/>
    <col min="3327" max="3327" width="12.5" style="1" customWidth="1"/>
    <col min="3328" max="3328" width="13.125" style="1" customWidth="1"/>
    <col min="3329" max="3333" width="9" style="1"/>
    <col min="3334" max="3334" width="11.25" style="1" bestFit="1" customWidth="1"/>
    <col min="3335" max="3335" width="11.625" style="1" bestFit="1" customWidth="1"/>
    <col min="3336" max="3566" width="9" style="1"/>
    <col min="3567" max="3567" width="4.625" style="1" customWidth="1"/>
    <col min="3568" max="3568" width="34.625" style="1" customWidth="1"/>
    <col min="3569" max="3569" width="11.625" style="1" customWidth="1"/>
    <col min="3570" max="3571" width="6.625" style="1" customWidth="1"/>
    <col min="3572" max="3572" width="10.625" style="1" customWidth="1"/>
    <col min="3573" max="3573" width="14.625" style="1" customWidth="1"/>
    <col min="3574" max="3574" width="10.625" style="1" customWidth="1"/>
    <col min="3575" max="3575" width="14.625" style="1" customWidth="1"/>
    <col min="3576" max="3576" width="10.625" style="1" customWidth="1"/>
    <col min="3577" max="3577" width="14.625" style="1" customWidth="1"/>
    <col min="3578" max="3578" width="10.625" style="1" customWidth="1"/>
    <col min="3579" max="3579" width="18.625" style="1" customWidth="1"/>
    <col min="3580" max="3580" width="9.625" style="1" customWidth="1"/>
    <col min="3581" max="3581" width="10.5" style="1" customWidth="1"/>
    <col min="3582" max="3582" width="20.375" style="1" bestFit="1" customWidth="1"/>
    <col min="3583" max="3583" width="12.5" style="1" customWidth="1"/>
    <col min="3584" max="3584" width="13.125" style="1" customWidth="1"/>
    <col min="3585" max="3589" width="9" style="1"/>
    <col min="3590" max="3590" width="11.25" style="1" bestFit="1" customWidth="1"/>
    <col min="3591" max="3591" width="11.625" style="1" bestFit="1" customWidth="1"/>
    <col min="3592" max="3822" width="9" style="1"/>
    <col min="3823" max="3823" width="4.625" style="1" customWidth="1"/>
    <col min="3824" max="3824" width="34.625" style="1" customWidth="1"/>
    <col min="3825" max="3825" width="11.625" style="1" customWidth="1"/>
    <col min="3826" max="3827" width="6.625" style="1" customWidth="1"/>
    <col min="3828" max="3828" width="10.625" style="1" customWidth="1"/>
    <col min="3829" max="3829" width="14.625" style="1" customWidth="1"/>
    <col min="3830" max="3830" width="10.625" style="1" customWidth="1"/>
    <col min="3831" max="3831" width="14.625" style="1" customWidth="1"/>
    <col min="3832" max="3832" width="10.625" style="1" customWidth="1"/>
    <col min="3833" max="3833" width="14.625" style="1" customWidth="1"/>
    <col min="3834" max="3834" width="10.625" style="1" customWidth="1"/>
    <col min="3835" max="3835" width="18.625" style="1" customWidth="1"/>
    <col min="3836" max="3836" width="9.625" style="1" customWidth="1"/>
    <col min="3837" max="3837" width="10.5" style="1" customWidth="1"/>
    <col min="3838" max="3838" width="20.375" style="1" bestFit="1" customWidth="1"/>
    <col min="3839" max="3839" width="12.5" style="1" customWidth="1"/>
    <col min="3840" max="3840" width="13.125" style="1" customWidth="1"/>
    <col min="3841" max="3845" width="9" style="1"/>
    <col min="3846" max="3846" width="11.25" style="1" bestFit="1" customWidth="1"/>
    <col min="3847" max="3847" width="11.625" style="1" bestFit="1" customWidth="1"/>
    <col min="3848" max="4078" width="9" style="1"/>
    <col min="4079" max="4079" width="4.625" style="1" customWidth="1"/>
    <col min="4080" max="4080" width="34.625" style="1" customWidth="1"/>
    <col min="4081" max="4081" width="11.625" style="1" customWidth="1"/>
    <col min="4082" max="4083" width="6.625" style="1" customWidth="1"/>
    <col min="4084" max="4084" width="10.625" style="1" customWidth="1"/>
    <col min="4085" max="4085" width="14.625" style="1" customWidth="1"/>
    <col min="4086" max="4086" width="10.625" style="1" customWidth="1"/>
    <col min="4087" max="4087" width="14.625" style="1" customWidth="1"/>
    <col min="4088" max="4088" width="10.625" style="1" customWidth="1"/>
    <col min="4089" max="4089" width="14.625" style="1" customWidth="1"/>
    <col min="4090" max="4090" width="10.625" style="1" customWidth="1"/>
    <col min="4091" max="4091" width="18.625" style="1" customWidth="1"/>
    <col min="4092" max="4092" width="9.625" style="1" customWidth="1"/>
    <col min="4093" max="4093" width="10.5" style="1" customWidth="1"/>
    <col min="4094" max="4094" width="20.375" style="1" bestFit="1" customWidth="1"/>
    <col min="4095" max="4095" width="12.5" style="1" customWidth="1"/>
    <col min="4096" max="4096" width="13.125" style="1" customWidth="1"/>
    <col min="4097" max="4101" width="9" style="1"/>
    <col min="4102" max="4102" width="11.25" style="1" bestFit="1" customWidth="1"/>
    <col min="4103" max="4103" width="11.625" style="1" bestFit="1" customWidth="1"/>
    <col min="4104" max="4334" width="9" style="1"/>
    <col min="4335" max="4335" width="4.625" style="1" customWidth="1"/>
    <col min="4336" max="4336" width="34.625" style="1" customWidth="1"/>
    <col min="4337" max="4337" width="11.625" style="1" customWidth="1"/>
    <col min="4338" max="4339" width="6.625" style="1" customWidth="1"/>
    <col min="4340" max="4340" width="10.625" style="1" customWidth="1"/>
    <col min="4341" max="4341" width="14.625" style="1" customWidth="1"/>
    <col min="4342" max="4342" width="10.625" style="1" customWidth="1"/>
    <col min="4343" max="4343" width="14.625" style="1" customWidth="1"/>
    <col min="4344" max="4344" width="10.625" style="1" customWidth="1"/>
    <col min="4345" max="4345" width="14.625" style="1" customWidth="1"/>
    <col min="4346" max="4346" width="10.625" style="1" customWidth="1"/>
    <col min="4347" max="4347" width="18.625" style="1" customWidth="1"/>
    <col min="4348" max="4348" width="9.625" style="1" customWidth="1"/>
    <col min="4349" max="4349" width="10.5" style="1" customWidth="1"/>
    <col min="4350" max="4350" width="20.375" style="1" bestFit="1" customWidth="1"/>
    <col min="4351" max="4351" width="12.5" style="1" customWidth="1"/>
    <col min="4352" max="4352" width="13.125" style="1" customWidth="1"/>
    <col min="4353" max="4357" width="9" style="1"/>
    <col min="4358" max="4358" width="11.25" style="1" bestFit="1" customWidth="1"/>
    <col min="4359" max="4359" width="11.625" style="1" bestFit="1" customWidth="1"/>
    <col min="4360" max="4590" width="9" style="1"/>
    <col min="4591" max="4591" width="4.625" style="1" customWidth="1"/>
    <col min="4592" max="4592" width="34.625" style="1" customWidth="1"/>
    <col min="4593" max="4593" width="11.625" style="1" customWidth="1"/>
    <col min="4594" max="4595" width="6.625" style="1" customWidth="1"/>
    <col min="4596" max="4596" width="10.625" style="1" customWidth="1"/>
    <col min="4597" max="4597" width="14.625" style="1" customWidth="1"/>
    <col min="4598" max="4598" width="10.625" style="1" customWidth="1"/>
    <col min="4599" max="4599" width="14.625" style="1" customWidth="1"/>
    <col min="4600" max="4600" width="10.625" style="1" customWidth="1"/>
    <col min="4601" max="4601" width="14.625" style="1" customWidth="1"/>
    <col min="4602" max="4602" width="10.625" style="1" customWidth="1"/>
    <col min="4603" max="4603" width="18.625" style="1" customWidth="1"/>
    <col min="4604" max="4604" width="9.625" style="1" customWidth="1"/>
    <col min="4605" max="4605" width="10.5" style="1" customWidth="1"/>
    <col min="4606" max="4606" width="20.375" style="1" bestFit="1" customWidth="1"/>
    <col min="4607" max="4607" width="12.5" style="1" customWidth="1"/>
    <col min="4608" max="4608" width="13.125" style="1" customWidth="1"/>
    <col min="4609" max="4613" width="9" style="1"/>
    <col min="4614" max="4614" width="11.25" style="1" bestFit="1" customWidth="1"/>
    <col min="4615" max="4615" width="11.625" style="1" bestFit="1" customWidth="1"/>
    <col min="4616" max="4846" width="9" style="1"/>
    <col min="4847" max="4847" width="4.625" style="1" customWidth="1"/>
    <col min="4848" max="4848" width="34.625" style="1" customWidth="1"/>
    <col min="4849" max="4849" width="11.625" style="1" customWidth="1"/>
    <col min="4850" max="4851" width="6.625" style="1" customWidth="1"/>
    <col min="4852" max="4852" width="10.625" style="1" customWidth="1"/>
    <col min="4853" max="4853" width="14.625" style="1" customWidth="1"/>
    <col min="4854" max="4854" width="10.625" style="1" customWidth="1"/>
    <col min="4855" max="4855" width="14.625" style="1" customWidth="1"/>
    <col min="4856" max="4856" width="10.625" style="1" customWidth="1"/>
    <col min="4857" max="4857" width="14.625" style="1" customWidth="1"/>
    <col min="4858" max="4858" width="10.625" style="1" customWidth="1"/>
    <col min="4859" max="4859" width="18.625" style="1" customWidth="1"/>
    <col min="4860" max="4860" width="9.625" style="1" customWidth="1"/>
    <col min="4861" max="4861" width="10.5" style="1" customWidth="1"/>
    <col min="4862" max="4862" width="20.375" style="1" bestFit="1" customWidth="1"/>
    <col min="4863" max="4863" width="12.5" style="1" customWidth="1"/>
    <col min="4864" max="4864" width="13.125" style="1" customWidth="1"/>
    <col min="4865" max="4869" width="9" style="1"/>
    <col min="4870" max="4870" width="11.25" style="1" bestFit="1" customWidth="1"/>
    <col min="4871" max="4871" width="11.625" style="1" bestFit="1" customWidth="1"/>
    <col min="4872" max="5102" width="9" style="1"/>
    <col min="5103" max="5103" width="4.625" style="1" customWidth="1"/>
    <col min="5104" max="5104" width="34.625" style="1" customWidth="1"/>
    <col min="5105" max="5105" width="11.625" style="1" customWidth="1"/>
    <col min="5106" max="5107" width="6.625" style="1" customWidth="1"/>
    <col min="5108" max="5108" width="10.625" style="1" customWidth="1"/>
    <col min="5109" max="5109" width="14.625" style="1" customWidth="1"/>
    <col min="5110" max="5110" width="10.625" style="1" customWidth="1"/>
    <col min="5111" max="5111" width="14.625" style="1" customWidth="1"/>
    <col min="5112" max="5112" width="10.625" style="1" customWidth="1"/>
    <col min="5113" max="5113" width="14.625" style="1" customWidth="1"/>
    <col min="5114" max="5114" width="10.625" style="1" customWidth="1"/>
    <col min="5115" max="5115" width="18.625" style="1" customWidth="1"/>
    <col min="5116" max="5116" width="9.625" style="1" customWidth="1"/>
    <col min="5117" max="5117" width="10.5" style="1" customWidth="1"/>
    <col min="5118" max="5118" width="20.375" style="1" bestFit="1" customWidth="1"/>
    <col min="5119" max="5119" width="12.5" style="1" customWidth="1"/>
    <col min="5120" max="5120" width="13.125" style="1" customWidth="1"/>
    <col min="5121" max="5125" width="9" style="1"/>
    <col min="5126" max="5126" width="11.25" style="1" bestFit="1" customWidth="1"/>
    <col min="5127" max="5127" width="11.625" style="1" bestFit="1" customWidth="1"/>
    <col min="5128" max="5358" width="9" style="1"/>
    <col min="5359" max="5359" width="4.625" style="1" customWidth="1"/>
    <col min="5360" max="5360" width="34.625" style="1" customWidth="1"/>
    <col min="5361" max="5361" width="11.625" style="1" customWidth="1"/>
    <col min="5362" max="5363" width="6.625" style="1" customWidth="1"/>
    <col min="5364" max="5364" width="10.625" style="1" customWidth="1"/>
    <col min="5365" max="5365" width="14.625" style="1" customWidth="1"/>
    <col min="5366" max="5366" width="10.625" style="1" customWidth="1"/>
    <col min="5367" max="5367" width="14.625" style="1" customWidth="1"/>
    <col min="5368" max="5368" width="10.625" style="1" customWidth="1"/>
    <col min="5369" max="5369" width="14.625" style="1" customWidth="1"/>
    <col min="5370" max="5370" width="10.625" style="1" customWidth="1"/>
    <col min="5371" max="5371" width="18.625" style="1" customWidth="1"/>
    <col min="5372" max="5372" width="9.625" style="1" customWidth="1"/>
    <col min="5373" max="5373" width="10.5" style="1" customWidth="1"/>
    <col min="5374" max="5374" width="20.375" style="1" bestFit="1" customWidth="1"/>
    <col min="5375" max="5375" width="12.5" style="1" customWidth="1"/>
    <col min="5376" max="5376" width="13.125" style="1" customWidth="1"/>
    <col min="5377" max="5381" width="9" style="1"/>
    <col min="5382" max="5382" width="11.25" style="1" bestFit="1" customWidth="1"/>
    <col min="5383" max="5383" width="11.625" style="1" bestFit="1" customWidth="1"/>
    <col min="5384" max="5614" width="9" style="1"/>
    <col min="5615" max="5615" width="4.625" style="1" customWidth="1"/>
    <col min="5616" max="5616" width="34.625" style="1" customWidth="1"/>
    <col min="5617" max="5617" width="11.625" style="1" customWidth="1"/>
    <col min="5618" max="5619" width="6.625" style="1" customWidth="1"/>
    <col min="5620" max="5620" width="10.625" style="1" customWidth="1"/>
    <col min="5621" max="5621" width="14.625" style="1" customWidth="1"/>
    <col min="5622" max="5622" width="10.625" style="1" customWidth="1"/>
    <col min="5623" max="5623" width="14.625" style="1" customWidth="1"/>
    <col min="5624" max="5624" width="10.625" style="1" customWidth="1"/>
    <col min="5625" max="5625" width="14.625" style="1" customWidth="1"/>
    <col min="5626" max="5626" width="10.625" style="1" customWidth="1"/>
    <col min="5627" max="5627" width="18.625" style="1" customWidth="1"/>
    <col min="5628" max="5628" width="9.625" style="1" customWidth="1"/>
    <col min="5629" max="5629" width="10.5" style="1" customWidth="1"/>
    <col min="5630" max="5630" width="20.375" style="1" bestFit="1" customWidth="1"/>
    <col min="5631" max="5631" width="12.5" style="1" customWidth="1"/>
    <col min="5632" max="5632" width="13.125" style="1" customWidth="1"/>
    <col min="5633" max="5637" width="9" style="1"/>
    <col min="5638" max="5638" width="11.25" style="1" bestFit="1" customWidth="1"/>
    <col min="5639" max="5639" width="11.625" style="1" bestFit="1" customWidth="1"/>
    <col min="5640" max="5870" width="9" style="1"/>
    <col min="5871" max="5871" width="4.625" style="1" customWidth="1"/>
    <col min="5872" max="5872" width="34.625" style="1" customWidth="1"/>
    <col min="5873" max="5873" width="11.625" style="1" customWidth="1"/>
    <col min="5874" max="5875" width="6.625" style="1" customWidth="1"/>
    <col min="5876" max="5876" width="10.625" style="1" customWidth="1"/>
    <col min="5877" max="5877" width="14.625" style="1" customWidth="1"/>
    <col min="5878" max="5878" width="10.625" style="1" customWidth="1"/>
    <col min="5879" max="5879" width="14.625" style="1" customWidth="1"/>
    <col min="5880" max="5880" width="10.625" style="1" customWidth="1"/>
    <col min="5881" max="5881" width="14.625" style="1" customWidth="1"/>
    <col min="5882" max="5882" width="10.625" style="1" customWidth="1"/>
    <col min="5883" max="5883" width="18.625" style="1" customWidth="1"/>
    <col min="5884" max="5884" width="9.625" style="1" customWidth="1"/>
    <col min="5885" max="5885" width="10.5" style="1" customWidth="1"/>
    <col min="5886" max="5886" width="20.375" style="1" bestFit="1" customWidth="1"/>
    <col min="5887" max="5887" width="12.5" style="1" customWidth="1"/>
    <col min="5888" max="5888" width="13.125" style="1" customWidth="1"/>
    <col min="5889" max="5893" width="9" style="1"/>
    <col min="5894" max="5894" width="11.25" style="1" bestFit="1" customWidth="1"/>
    <col min="5895" max="5895" width="11.625" style="1" bestFit="1" customWidth="1"/>
    <col min="5896" max="6126" width="9" style="1"/>
    <col min="6127" max="6127" width="4.625" style="1" customWidth="1"/>
    <col min="6128" max="6128" width="34.625" style="1" customWidth="1"/>
    <col min="6129" max="6129" width="11.625" style="1" customWidth="1"/>
    <col min="6130" max="6131" width="6.625" style="1" customWidth="1"/>
    <col min="6132" max="6132" width="10.625" style="1" customWidth="1"/>
    <col min="6133" max="6133" width="14.625" style="1" customWidth="1"/>
    <col min="6134" max="6134" width="10.625" style="1" customWidth="1"/>
    <col min="6135" max="6135" width="14.625" style="1" customWidth="1"/>
    <col min="6136" max="6136" width="10.625" style="1" customWidth="1"/>
    <col min="6137" max="6137" width="14.625" style="1" customWidth="1"/>
    <col min="6138" max="6138" width="10.625" style="1" customWidth="1"/>
    <col min="6139" max="6139" width="18.625" style="1" customWidth="1"/>
    <col min="6140" max="6140" width="9.625" style="1" customWidth="1"/>
    <col min="6141" max="6141" width="10.5" style="1" customWidth="1"/>
    <col min="6142" max="6142" width="20.375" style="1" bestFit="1" customWidth="1"/>
    <col min="6143" max="6143" width="12.5" style="1" customWidth="1"/>
    <col min="6144" max="6144" width="13.125" style="1" customWidth="1"/>
    <col min="6145" max="6149" width="9" style="1"/>
    <col min="6150" max="6150" width="11.25" style="1" bestFit="1" customWidth="1"/>
    <col min="6151" max="6151" width="11.625" style="1" bestFit="1" customWidth="1"/>
    <col min="6152" max="6382" width="9" style="1"/>
    <col min="6383" max="6383" width="4.625" style="1" customWidth="1"/>
    <col min="6384" max="6384" width="34.625" style="1" customWidth="1"/>
    <col min="6385" max="6385" width="11.625" style="1" customWidth="1"/>
    <col min="6386" max="6387" width="6.625" style="1" customWidth="1"/>
    <col min="6388" max="6388" width="10.625" style="1" customWidth="1"/>
    <col min="6389" max="6389" width="14.625" style="1" customWidth="1"/>
    <col min="6390" max="6390" width="10.625" style="1" customWidth="1"/>
    <col min="6391" max="6391" width="14.625" style="1" customWidth="1"/>
    <col min="6392" max="6392" width="10.625" style="1" customWidth="1"/>
    <col min="6393" max="6393" width="14.625" style="1" customWidth="1"/>
    <col min="6394" max="6394" width="10.625" style="1" customWidth="1"/>
    <col min="6395" max="6395" width="18.625" style="1" customWidth="1"/>
    <col min="6396" max="6396" width="9.625" style="1" customWidth="1"/>
    <col min="6397" max="6397" width="10.5" style="1" customWidth="1"/>
    <col min="6398" max="6398" width="20.375" style="1" bestFit="1" customWidth="1"/>
    <col min="6399" max="6399" width="12.5" style="1" customWidth="1"/>
    <col min="6400" max="6400" width="13.125" style="1" customWidth="1"/>
    <col min="6401" max="6405" width="9" style="1"/>
    <col min="6406" max="6406" width="11.25" style="1" bestFit="1" customWidth="1"/>
    <col min="6407" max="6407" width="11.625" style="1" bestFit="1" customWidth="1"/>
    <col min="6408" max="6638" width="9" style="1"/>
    <col min="6639" max="6639" width="4.625" style="1" customWidth="1"/>
    <col min="6640" max="6640" width="34.625" style="1" customWidth="1"/>
    <col min="6641" max="6641" width="11.625" style="1" customWidth="1"/>
    <col min="6642" max="6643" width="6.625" style="1" customWidth="1"/>
    <col min="6644" max="6644" width="10.625" style="1" customWidth="1"/>
    <col min="6645" max="6645" width="14.625" style="1" customWidth="1"/>
    <col min="6646" max="6646" width="10.625" style="1" customWidth="1"/>
    <col min="6647" max="6647" width="14.625" style="1" customWidth="1"/>
    <col min="6648" max="6648" width="10.625" style="1" customWidth="1"/>
    <col min="6649" max="6649" width="14.625" style="1" customWidth="1"/>
    <col min="6650" max="6650" width="10.625" style="1" customWidth="1"/>
    <col min="6651" max="6651" width="18.625" style="1" customWidth="1"/>
    <col min="6652" max="6652" width="9.625" style="1" customWidth="1"/>
    <col min="6653" max="6653" width="10.5" style="1" customWidth="1"/>
    <col min="6654" max="6654" width="20.375" style="1" bestFit="1" customWidth="1"/>
    <col min="6655" max="6655" width="12.5" style="1" customWidth="1"/>
    <col min="6656" max="6656" width="13.125" style="1" customWidth="1"/>
    <col min="6657" max="6661" width="9" style="1"/>
    <col min="6662" max="6662" width="11.25" style="1" bestFit="1" customWidth="1"/>
    <col min="6663" max="6663" width="11.625" style="1" bestFit="1" customWidth="1"/>
    <col min="6664" max="6894" width="9" style="1"/>
    <col min="6895" max="6895" width="4.625" style="1" customWidth="1"/>
    <col min="6896" max="6896" width="34.625" style="1" customWidth="1"/>
    <col min="6897" max="6897" width="11.625" style="1" customWidth="1"/>
    <col min="6898" max="6899" width="6.625" style="1" customWidth="1"/>
    <col min="6900" max="6900" width="10.625" style="1" customWidth="1"/>
    <col min="6901" max="6901" width="14.625" style="1" customWidth="1"/>
    <col min="6902" max="6902" width="10.625" style="1" customWidth="1"/>
    <col min="6903" max="6903" width="14.625" style="1" customWidth="1"/>
    <col min="6904" max="6904" width="10.625" style="1" customWidth="1"/>
    <col min="6905" max="6905" width="14.625" style="1" customWidth="1"/>
    <col min="6906" max="6906" width="10.625" style="1" customWidth="1"/>
    <col min="6907" max="6907" width="18.625" style="1" customWidth="1"/>
    <col min="6908" max="6908" width="9.625" style="1" customWidth="1"/>
    <col min="6909" max="6909" width="10.5" style="1" customWidth="1"/>
    <col min="6910" max="6910" width="20.375" style="1" bestFit="1" customWidth="1"/>
    <col min="6911" max="6911" width="12.5" style="1" customWidth="1"/>
    <col min="6912" max="6912" width="13.125" style="1" customWidth="1"/>
    <col min="6913" max="6917" width="9" style="1"/>
    <col min="6918" max="6918" width="11.25" style="1" bestFit="1" customWidth="1"/>
    <col min="6919" max="6919" width="11.625" style="1" bestFit="1" customWidth="1"/>
    <col min="6920" max="7150" width="9" style="1"/>
    <col min="7151" max="7151" width="4.625" style="1" customWidth="1"/>
    <col min="7152" max="7152" width="34.625" style="1" customWidth="1"/>
    <col min="7153" max="7153" width="11.625" style="1" customWidth="1"/>
    <col min="7154" max="7155" width="6.625" style="1" customWidth="1"/>
    <col min="7156" max="7156" width="10.625" style="1" customWidth="1"/>
    <col min="7157" max="7157" width="14.625" style="1" customWidth="1"/>
    <col min="7158" max="7158" width="10.625" style="1" customWidth="1"/>
    <col min="7159" max="7159" width="14.625" style="1" customWidth="1"/>
    <col min="7160" max="7160" width="10.625" style="1" customWidth="1"/>
    <col min="7161" max="7161" width="14.625" style="1" customWidth="1"/>
    <col min="7162" max="7162" width="10.625" style="1" customWidth="1"/>
    <col min="7163" max="7163" width="18.625" style="1" customWidth="1"/>
    <col min="7164" max="7164" width="9.625" style="1" customWidth="1"/>
    <col min="7165" max="7165" width="10.5" style="1" customWidth="1"/>
    <col min="7166" max="7166" width="20.375" style="1" bestFit="1" customWidth="1"/>
    <col min="7167" max="7167" width="12.5" style="1" customWidth="1"/>
    <col min="7168" max="7168" width="13.125" style="1" customWidth="1"/>
    <col min="7169" max="7173" width="9" style="1"/>
    <col min="7174" max="7174" width="11.25" style="1" bestFit="1" customWidth="1"/>
    <col min="7175" max="7175" width="11.625" style="1" bestFit="1" customWidth="1"/>
    <col min="7176" max="7406" width="9" style="1"/>
    <col min="7407" max="7407" width="4.625" style="1" customWidth="1"/>
    <col min="7408" max="7408" width="34.625" style="1" customWidth="1"/>
    <col min="7409" max="7409" width="11.625" style="1" customWidth="1"/>
    <col min="7410" max="7411" width="6.625" style="1" customWidth="1"/>
    <col min="7412" max="7412" width="10.625" style="1" customWidth="1"/>
    <col min="7413" max="7413" width="14.625" style="1" customWidth="1"/>
    <col min="7414" max="7414" width="10.625" style="1" customWidth="1"/>
    <col min="7415" max="7415" width="14.625" style="1" customWidth="1"/>
    <col min="7416" max="7416" width="10.625" style="1" customWidth="1"/>
    <col min="7417" max="7417" width="14.625" style="1" customWidth="1"/>
    <col min="7418" max="7418" width="10.625" style="1" customWidth="1"/>
    <col min="7419" max="7419" width="18.625" style="1" customWidth="1"/>
    <col min="7420" max="7420" width="9.625" style="1" customWidth="1"/>
    <col min="7421" max="7421" width="10.5" style="1" customWidth="1"/>
    <col min="7422" max="7422" width="20.375" style="1" bestFit="1" customWidth="1"/>
    <col min="7423" max="7423" width="12.5" style="1" customWidth="1"/>
    <col min="7424" max="7424" width="13.125" style="1" customWidth="1"/>
    <col min="7425" max="7429" width="9" style="1"/>
    <col min="7430" max="7430" width="11.25" style="1" bestFit="1" customWidth="1"/>
    <col min="7431" max="7431" width="11.625" style="1" bestFit="1" customWidth="1"/>
    <col min="7432" max="7662" width="9" style="1"/>
    <col min="7663" max="7663" width="4.625" style="1" customWidth="1"/>
    <col min="7664" max="7664" width="34.625" style="1" customWidth="1"/>
    <col min="7665" max="7665" width="11.625" style="1" customWidth="1"/>
    <col min="7666" max="7667" width="6.625" style="1" customWidth="1"/>
    <col min="7668" max="7668" width="10.625" style="1" customWidth="1"/>
    <col min="7669" max="7669" width="14.625" style="1" customWidth="1"/>
    <col min="7670" max="7670" width="10.625" style="1" customWidth="1"/>
    <col min="7671" max="7671" width="14.625" style="1" customWidth="1"/>
    <col min="7672" max="7672" width="10.625" style="1" customWidth="1"/>
    <col min="7673" max="7673" width="14.625" style="1" customWidth="1"/>
    <col min="7674" max="7674" width="10.625" style="1" customWidth="1"/>
    <col min="7675" max="7675" width="18.625" style="1" customWidth="1"/>
    <col min="7676" max="7676" width="9.625" style="1" customWidth="1"/>
    <col min="7677" max="7677" width="10.5" style="1" customWidth="1"/>
    <col min="7678" max="7678" width="20.375" style="1" bestFit="1" customWidth="1"/>
    <col min="7679" max="7679" width="12.5" style="1" customWidth="1"/>
    <col min="7680" max="7680" width="13.125" style="1" customWidth="1"/>
    <col min="7681" max="7685" width="9" style="1"/>
    <col min="7686" max="7686" width="11.25" style="1" bestFit="1" customWidth="1"/>
    <col min="7687" max="7687" width="11.625" style="1" bestFit="1" customWidth="1"/>
    <col min="7688" max="7918" width="9" style="1"/>
    <col min="7919" max="7919" width="4.625" style="1" customWidth="1"/>
    <col min="7920" max="7920" width="34.625" style="1" customWidth="1"/>
    <col min="7921" max="7921" width="11.625" style="1" customWidth="1"/>
    <col min="7922" max="7923" width="6.625" style="1" customWidth="1"/>
    <col min="7924" max="7924" width="10.625" style="1" customWidth="1"/>
    <col min="7925" max="7925" width="14.625" style="1" customWidth="1"/>
    <col min="7926" max="7926" width="10.625" style="1" customWidth="1"/>
    <col min="7927" max="7927" width="14.625" style="1" customWidth="1"/>
    <col min="7928" max="7928" width="10.625" style="1" customWidth="1"/>
    <col min="7929" max="7929" width="14.625" style="1" customWidth="1"/>
    <col min="7930" max="7930" width="10.625" style="1" customWidth="1"/>
    <col min="7931" max="7931" width="18.625" style="1" customWidth="1"/>
    <col min="7932" max="7932" width="9.625" style="1" customWidth="1"/>
    <col min="7933" max="7933" width="10.5" style="1" customWidth="1"/>
    <col min="7934" max="7934" width="20.375" style="1" bestFit="1" customWidth="1"/>
    <col min="7935" max="7935" width="12.5" style="1" customWidth="1"/>
    <col min="7936" max="7936" width="13.125" style="1" customWidth="1"/>
    <col min="7937" max="7941" width="9" style="1"/>
    <col min="7942" max="7942" width="11.25" style="1" bestFit="1" customWidth="1"/>
    <col min="7943" max="7943" width="11.625" style="1" bestFit="1" customWidth="1"/>
    <col min="7944" max="8174" width="9" style="1"/>
    <col min="8175" max="8175" width="4.625" style="1" customWidth="1"/>
    <col min="8176" max="8176" width="34.625" style="1" customWidth="1"/>
    <col min="8177" max="8177" width="11.625" style="1" customWidth="1"/>
    <col min="8178" max="8179" width="6.625" style="1" customWidth="1"/>
    <col min="8180" max="8180" width="10.625" style="1" customWidth="1"/>
    <col min="8181" max="8181" width="14.625" style="1" customWidth="1"/>
    <col min="8182" max="8182" width="10.625" style="1" customWidth="1"/>
    <col min="8183" max="8183" width="14.625" style="1" customWidth="1"/>
    <col min="8184" max="8184" width="10.625" style="1" customWidth="1"/>
    <col min="8185" max="8185" width="14.625" style="1" customWidth="1"/>
    <col min="8186" max="8186" width="10.625" style="1" customWidth="1"/>
    <col min="8187" max="8187" width="18.625" style="1" customWidth="1"/>
    <col min="8188" max="8188" width="9.625" style="1" customWidth="1"/>
    <col min="8189" max="8189" width="10.5" style="1" customWidth="1"/>
    <col min="8190" max="8190" width="20.375" style="1" bestFit="1" customWidth="1"/>
    <col min="8191" max="8191" width="12.5" style="1" customWidth="1"/>
    <col min="8192" max="8192" width="13.125" style="1" customWidth="1"/>
    <col min="8193" max="8197" width="9" style="1"/>
    <col min="8198" max="8198" width="11.25" style="1" bestFit="1" customWidth="1"/>
    <col min="8199" max="8199" width="11.625" style="1" bestFit="1" customWidth="1"/>
    <col min="8200" max="8430" width="9" style="1"/>
    <col min="8431" max="8431" width="4.625" style="1" customWidth="1"/>
    <col min="8432" max="8432" width="34.625" style="1" customWidth="1"/>
    <col min="8433" max="8433" width="11.625" style="1" customWidth="1"/>
    <col min="8434" max="8435" width="6.625" style="1" customWidth="1"/>
    <col min="8436" max="8436" width="10.625" style="1" customWidth="1"/>
    <col min="8437" max="8437" width="14.625" style="1" customWidth="1"/>
    <col min="8438" max="8438" width="10.625" style="1" customWidth="1"/>
    <col min="8439" max="8439" width="14.625" style="1" customWidth="1"/>
    <col min="8440" max="8440" width="10.625" style="1" customWidth="1"/>
    <col min="8441" max="8441" width="14.625" style="1" customWidth="1"/>
    <col min="8442" max="8442" width="10.625" style="1" customWidth="1"/>
    <col min="8443" max="8443" width="18.625" style="1" customWidth="1"/>
    <col min="8444" max="8444" width="9.625" style="1" customWidth="1"/>
    <col min="8445" max="8445" width="10.5" style="1" customWidth="1"/>
    <col min="8446" max="8446" width="20.375" style="1" bestFit="1" customWidth="1"/>
    <col min="8447" max="8447" width="12.5" style="1" customWidth="1"/>
    <col min="8448" max="8448" width="13.125" style="1" customWidth="1"/>
    <col min="8449" max="8453" width="9" style="1"/>
    <col min="8454" max="8454" width="11.25" style="1" bestFit="1" customWidth="1"/>
    <col min="8455" max="8455" width="11.625" style="1" bestFit="1" customWidth="1"/>
    <col min="8456" max="8686" width="9" style="1"/>
    <col min="8687" max="8687" width="4.625" style="1" customWidth="1"/>
    <col min="8688" max="8688" width="34.625" style="1" customWidth="1"/>
    <col min="8689" max="8689" width="11.625" style="1" customWidth="1"/>
    <col min="8690" max="8691" width="6.625" style="1" customWidth="1"/>
    <col min="8692" max="8692" width="10.625" style="1" customWidth="1"/>
    <col min="8693" max="8693" width="14.625" style="1" customWidth="1"/>
    <col min="8694" max="8694" width="10.625" style="1" customWidth="1"/>
    <col min="8695" max="8695" width="14.625" style="1" customWidth="1"/>
    <col min="8696" max="8696" width="10.625" style="1" customWidth="1"/>
    <col min="8697" max="8697" width="14.625" style="1" customWidth="1"/>
    <col min="8698" max="8698" width="10.625" style="1" customWidth="1"/>
    <col min="8699" max="8699" width="18.625" style="1" customWidth="1"/>
    <col min="8700" max="8700" width="9.625" style="1" customWidth="1"/>
    <col min="8701" max="8701" width="10.5" style="1" customWidth="1"/>
    <col min="8702" max="8702" width="20.375" style="1" bestFit="1" customWidth="1"/>
    <col min="8703" max="8703" width="12.5" style="1" customWidth="1"/>
    <col min="8704" max="8704" width="13.125" style="1" customWidth="1"/>
    <col min="8705" max="8709" width="9" style="1"/>
    <col min="8710" max="8710" width="11.25" style="1" bestFit="1" customWidth="1"/>
    <col min="8711" max="8711" width="11.625" style="1" bestFit="1" customWidth="1"/>
    <col min="8712" max="8942" width="9" style="1"/>
    <col min="8943" max="8943" width="4.625" style="1" customWidth="1"/>
    <col min="8944" max="8944" width="34.625" style="1" customWidth="1"/>
    <col min="8945" max="8945" width="11.625" style="1" customWidth="1"/>
    <col min="8946" max="8947" width="6.625" style="1" customWidth="1"/>
    <col min="8948" max="8948" width="10.625" style="1" customWidth="1"/>
    <col min="8949" max="8949" width="14.625" style="1" customWidth="1"/>
    <col min="8950" max="8950" width="10.625" style="1" customWidth="1"/>
    <col min="8951" max="8951" width="14.625" style="1" customWidth="1"/>
    <col min="8952" max="8952" width="10.625" style="1" customWidth="1"/>
    <col min="8953" max="8953" width="14.625" style="1" customWidth="1"/>
    <col min="8954" max="8954" width="10.625" style="1" customWidth="1"/>
    <col min="8955" max="8955" width="18.625" style="1" customWidth="1"/>
    <col min="8956" max="8956" width="9.625" style="1" customWidth="1"/>
    <col min="8957" max="8957" width="10.5" style="1" customWidth="1"/>
    <col min="8958" max="8958" width="20.375" style="1" bestFit="1" customWidth="1"/>
    <col min="8959" max="8959" width="12.5" style="1" customWidth="1"/>
    <col min="8960" max="8960" width="13.125" style="1" customWidth="1"/>
    <col min="8961" max="8965" width="9" style="1"/>
    <col min="8966" max="8966" width="11.25" style="1" bestFit="1" customWidth="1"/>
    <col min="8967" max="8967" width="11.625" style="1" bestFit="1" customWidth="1"/>
    <col min="8968" max="9198" width="9" style="1"/>
    <col min="9199" max="9199" width="4.625" style="1" customWidth="1"/>
    <col min="9200" max="9200" width="34.625" style="1" customWidth="1"/>
    <col min="9201" max="9201" width="11.625" style="1" customWidth="1"/>
    <col min="9202" max="9203" width="6.625" style="1" customWidth="1"/>
    <col min="9204" max="9204" width="10.625" style="1" customWidth="1"/>
    <col min="9205" max="9205" width="14.625" style="1" customWidth="1"/>
    <col min="9206" max="9206" width="10.625" style="1" customWidth="1"/>
    <col min="9207" max="9207" width="14.625" style="1" customWidth="1"/>
    <col min="9208" max="9208" width="10.625" style="1" customWidth="1"/>
    <col min="9209" max="9209" width="14.625" style="1" customWidth="1"/>
    <col min="9210" max="9210" width="10.625" style="1" customWidth="1"/>
    <col min="9211" max="9211" width="18.625" style="1" customWidth="1"/>
    <col min="9212" max="9212" width="9.625" style="1" customWidth="1"/>
    <col min="9213" max="9213" width="10.5" style="1" customWidth="1"/>
    <col min="9214" max="9214" width="20.375" style="1" bestFit="1" customWidth="1"/>
    <col min="9215" max="9215" width="12.5" style="1" customWidth="1"/>
    <col min="9216" max="9216" width="13.125" style="1" customWidth="1"/>
    <col min="9217" max="9221" width="9" style="1"/>
    <col min="9222" max="9222" width="11.25" style="1" bestFit="1" customWidth="1"/>
    <col min="9223" max="9223" width="11.625" style="1" bestFit="1" customWidth="1"/>
    <col min="9224" max="9454" width="9" style="1"/>
    <col min="9455" max="9455" width="4.625" style="1" customWidth="1"/>
    <col min="9456" max="9456" width="34.625" style="1" customWidth="1"/>
    <col min="9457" max="9457" width="11.625" style="1" customWidth="1"/>
    <col min="9458" max="9459" width="6.625" style="1" customWidth="1"/>
    <col min="9460" max="9460" width="10.625" style="1" customWidth="1"/>
    <col min="9461" max="9461" width="14.625" style="1" customWidth="1"/>
    <col min="9462" max="9462" width="10.625" style="1" customWidth="1"/>
    <col min="9463" max="9463" width="14.625" style="1" customWidth="1"/>
    <col min="9464" max="9464" width="10.625" style="1" customWidth="1"/>
    <col min="9465" max="9465" width="14.625" style="1" customWidth="1"/>
    <col min="9466" max="9466" width="10.625" style="1" customWidth="1"/>
    <col min="9467" max="9467" width="18.625" style="1" customWidth="1"/>
    <col min="9468" max="9468" width="9.625" style="1" customWidth="1"/>
    <col min="9469" max="9469" width="10.5" style="1" customWidth="1"/>
    <col min="9470" max="9470" width="20.375" style="1" bestFit="1" customWidth="1"/>
    <col min="9471" max="9471" width="12.5" style="1" customWidth="1"/>
    <col min="9472" max="9472" width="13.125" style="1" customWidth="1"/>
    <col min="9473" max="9477" width="9" style="1"/>
    <col min="9478" max="9478" width="11.25" style="1" bestFit="1" customWidth="1"/>
    <col min="9479" max="9479" width="11.625" style="1" bestFit="1" customWidth="1"/>
    <col min="9480" max="9710" width="9" style="1"/>
    <col min="9711" max="9711" width="4.625" style="1" customWidth="1"/>
    <col min="9712" max="9712" width="34.625" style="1" customWidth="1"/>
    <col min="9713" max="9713" width="11.625" style="1" customWidth="1"/>
    <col min="9714" max="9715" width="6.625" style="1" customWidth="1"/>
    <col min="9716" max="9716" width="10.625" style="1" customWidth="1"/>
    <col min="9717" max="9717" width="14.625" style="1" customWidth="1"/>
    <col min="9718" max="9718" width="10.625" style="1" customWidth="1"/>
    <col min="9719" max="9719" width="14.625" style="1" customWidth="1"/>
    <col min="9720" max="9720" width="10.625" style="1" customWidth="1"/>
    <col min="9721" max="9721" width="14.625" style="1" customWidth="1"/>
    <col min="9722" max="9722" width="10.625" style="1" customWidth="1"/>
    <col min="9723" max="9723" width="18.625" style="1" customWidth="1"/>
    <col min="9724" max="9724" width="9.625" style="1" customWidth="1"/>
    <col min="9725" max="9725" width="10.5" style="1" customWidth="1"/>
    <col min="9726" max="9726" width="20.375" style="1" bestFit="1" customWidth="1"/>
    <col min="9727" max="9727" width="12.5" style="1" customWidth="1"/>
    <col min="9728" max="9728" width="13.125" style="1" customWidth="1"/>
    <col min="9729" max="9733" width="9" style="1"/>
    <col min="9734" max="9734" width="11.25" style="1" bestFit="1" customWidth="1"/>
    <col min="9735" max="9735" width="11.625" style="1" bestFit="1" customWidth="1"/>
    <col min="9736" max="9966" width="9" style="1"/>
    <col min="9967" max="9967" width="4.625" style="1" customWidth="1"/>
    <col min="9968" max="9968" width="34.625" style="1" customWidth="1"/>
    <col min="9969" max="9969" width="11.625" style="1" customWidth="1"/>
    <col min="9970" max="9971" width="6.625" style="1" customWidth="1"/>
    <col min="9972" max="9972" width="10.625" style="1" customWidth="1"/>
    <col min="9973" max="9973" width="14.625" style="1" customWidth="1"/>
    <col min="9974" max="9974" width="10.625" style="1" customWidth="1"/>
    <col min="9975" max="9975" width="14.625" style="1" customWidth="1"/>
    <col min="9976" max="9976" width="10.625" style="1" customWidth="1"/>
    <col min="9977" max="9977" width="14.625" style="1" customWidth="1"/>
    <col min="9978" max="9978" width="10.625" style="1" customWidth="1"/>
    <col min="9979" max="9979" width="18.625" style="1" customWidth="1"/>
    <col min="9980" max="9980" width="9.625" style="1" customWidth="1"/>
    <col min="9981" max="9981" width="10.5" style="1" customWidth="1"/>
    <col min="9982" max="9982" width="20.375" style="1" bestFit="1" customWidth="1"/>
    <col min="9983" max="9983" width="12.5" style="1" customWidth="1"/>
    <col min="9984" max="9984" width="13.125" style="1" customWidth="1"/>
    <col min="9985" max="9989" width="9" style="1"/>
    <col min="9990" max="9990" width="11.25" style="1" bestFit="1" customWidth="1"/>
    <col min="9991" max="9991" width="11.625" style="1" bestFit="1" customWidth="1"/>
    <col min="9992" max="10222" width="9" style="1"/>
    <col min="10223" max="10223" width="4.625" style="1" customWidth="1"/>
    <col min="10224" max="10224" width="34.625" style="1" customWidth="1"/>
    <col min="10225" max="10225" width="11.625" style="1" customWidth="1"/>
    <col min="10226" max="10227" width="6.625" style="1" customWidth="1"/>
    <col min="10228" max="10228" width="10.625" style="1" customWidth="1"/>
    <col min="10229" max="10229" width="14.625" style="1" customWidth="1"/>
    <col min="10230" max="10230" width="10.625" style="1" customWidth="1"/>
    <col min="10231" max="10231" width="14.625" style="1" customWidth="1"/>
    <col min="10232" max="10232" width="10.625" style="1" customWidth="1"/>
    <col min="10233" max="10233" width="14.625" style="1" customWidth="1"/>
    <col min="10234" max="10234" width="10.625" style="1" customWidth="1"/>
    <col min="10235" max="10235" width="18.625" style="1" customWidth="1"/>
    <col min="10236" max="10236" width="9.625" style="1" customWidth="1"/>
    <col min="10237" max="10237" width="10.5" style="1" customWidth="1"/>
    <col min="10238" max="10238" width="20.375" style="1" bestFit="1" customWidth="1"/>
    <col min="10239" max="10239" width="12.5" style="1" customWidth="1"/>
    <col min="10240" max="10240" width="13.125" style="1" customWidth="1"/>
    <col min="10241" max="10245" width="9" style="1"/>
    <col min="10246" max="10246" width="11.25" style="1" bestFit="1" customWidth="1"/>
    <col min="10247" max="10247" width="11.625" style="1" bestFit="1" customWidth="1"/>
    <col min="10248" max="10478" width="9" style="1"/>
    <col min="10479" max="10479" width="4.625" style="1" customWidth="1"/>
    <col min="10480" max="10480" width="34.625" style="1" customWidth="1"/>
    <col min="10481" max="10481" width="11.625" style="1" customWidth="1"/>
    <col min="10482" max="10483" width="6.625" style="1" customWidth="1"/>
    <col min="10484" max="10484" width="10.625" style="1" customWidth="1"/>
    <col min="10485" max="10485" width="14.625" style="1" customWidth="1"/>
    <col min="10486" max="10486" width="10.625" style="1" customWidth="1"/>
    <col min="10487" max="10487" width="14.625" style="1" customWidth="1"/>
    <col min="10488" max="10488" width="10.625" style="1" customWidth="1"/>
    <col min="10489" max="10489" width="14.625" style="1" customWidth="1"/>
    <col min="10490" max="10490" width="10.625" style="1" customWidth="1"/>
    <col min="10491" max="10491" width="18.625" style="1" customWidth="1"/>
    <col min="10492" max="10492" width="9.625" style="1" customWidth="1"/>
    <col min="10493" max="10493" width="10.5" style="1" customWidth="1"/>
    <col min="10494" max="10494" width="20.375" style="1" bestFit="1" customWidth="1"/>
    <col min="10495" max="10495" width="12.5" style="1" customWidth="1"/>
    <col min="10496" max="10496" width="13.125" style="1" customWidth="1"/>
    <col min="10497" max="10501" width="9" style="1"/>
    <col min="10502" max="10502" width="11.25" style="1" bestFit="1" customWidth="1"/>
    <col min="10503" max="10503" width="11.625" style="1" bestFit="1" customWidth="1"/>
    <col min="10504" max="10734" width="9" style="1"/>
    <col min="10735" max="10735" width="4.625" style="1" customWidth="1"/>
    <col min="10736" max="10736" width="34.625" style="1" customWidth="1"/>
    <col min="10737" max="10737" width="11.625" style="1" customWidth="1"/>
    <col min="10738" max="10739" width="6.625" style="1" customWidth="1"/>
    <col min="10740" max="10740" width="10.625" style="1" customWidth="1"/>
    <col min="10741" max="10741" width="14.625" style="1" customWidth="1"/>
    <col min="10742" max="10742" width="10.625" style="1" customWidth="1"/>
    <col min="10743" max="10743" width="14.625" style="1" customWidth="1"/>
    <col min="10744" max="10744" width="10.625" style="1" customWidth="1"/>
    <col min="10745" max="10745" width="14.625" style="1" customWidth="1"/>
    <col min="10746" max="10746" width="10.625" style="1" customWidth="1"/>
    <col min="10747" max="10747" width="18.625" style="1" customWidth="1"/>
    <col min="10748" max="10748" width="9.625" style="1" customWidth="1"/>
    <col min="10749" max="10749" width="10.5" style="1" customWidth="1"/>
    <col min="10750" max="10750" width="20.375" style="1" bestFit="1" customWidth="1"/>
    <col min="10751" max="10751" width="12.5" style="1" customWidth="1"/>
    <col min="10752" max="10752" width="13.125" style="1" customWidth="1"/>
    <col min="10753" max="10757" width="9" style="1"/>
    <col min="10758" max="10758" width="11.25" style="1" bestFit="1" customWidth="1"/>
    <col min="10759" max="10759" width="11.625" style="1" bestFit="1" customWidth="1"/>
    <col min="10760" max="10990" width="9" style="1"/>
    <col min="10991" max="10991" width="4.625" style="1" customWidth="1"/>
    <col min="10992" max="10992" width="34.625" style="1" customWidth="1"/>
    <col min="10993" max="10993" width="11.625" style="1" customWidth="1"/>
    <col min="10994" max="10995" width="6.625" style="1" customWidth="1"/>
    <col min="10996" max="10996" width="10.625" style="1" customWidth="1"/>
    <col min="10997" max="10997" width="14.625" style="1" customWidth="1"/>
    <col min="10998" max="10998" width="10.625" style="1" customWidth="1"/>
    <col min="10999" max="10999" width="14.625" style="1" customWidth="1"/>
    <col min="11000" max="11000" width="10.625" style="1" customWidth="1"/>
    <col min="11001" max="11001" width="14.625" style="1" customWidth="1"/>
    <col min="11002" max="11002" width="10.625" style="1" customWidth="1"/>
    <col min="11003" max="11003" width="18.625" style="1" customWidth="1"/>
    <col min="11004" max="11004" width="9.625" style="1" customWidth="1"/>
    <col min="11005" max="11005" width="10.5" style="1" customWidth="1"/>
    <col min="11006" max="11006" width="20.375" style="1" bestFit="1" customWidth="1"/>
    <col min="11007" max="11007" width="12.5" style="1" customWidth="1"/>
    <col min="11008" max="11008" width="13.125" style="1" customWidth="1"/>
    <col min="11009" max="11013" width="9" style="1"/>
    <col min="11014" max="11014" width="11.25" style="1" bestFit="1" customWidth="1"/>
    <col min="11015" max="11015" width="11.625" style="1" bestFit="1" customWidth="1"/>
    <col min="11016" max="11246" width="9" style="1"/>
    <col min="11247" max="11247" width="4.625" style="1" customWidth="1"/>
    <col min="11248" max="11248" width="34.625" style="1" customWidth="1"/>
    <col min="11249" max="11249" width="11.625" style="1" customWidth="1"/>
    <col min="11250" max="11251" width="6.625" style="1" customWidth="1"/>
    <col min="11252" max="11252" width="10.625" style="1" customWidth="1"/>
    <col min="11253" max="11253" width="14.625" style="1" customWidth="1"/>
    <col min="11254" max="11254" width="10.625" style="1" customWidth="1"/>
    <col min="11255" max="11255" width="14.625" style="1" customWidth="1"/>
    <col min="11256" max="11256" width="10.625" style="1" customWidth="1"/>
    <col min="11257" max="11257" width="14.625" style="1" customWidth="1"/>
    <col min="11258" max="11258" width="10.625" style="1" customWidth="1"/>
    <col min="11259" max="11259" width="18.625" style="1" customWidth="1"/>
    <col min="11260" max="11260" width="9.625" style="1" customWidth="1"/>
    <col min="11261" max="11261" width="10.5" style="1" customWidth="1"/>
    <col min="11262" max="11262" width="20.375" style="1" bestFit="1" customWidth="1"/>
    <col min="11263" max="11263" width="12.5" style="1" customWidth="1"/>
    <col min="11264" max="11264" width="13.125" style="1" customWidth="1"/>
    <col min="11265" max="11269" width="9" style="1"/>
    <col min="11270" max="11270" width="11.25" style="1" bestFit="1" customWidth="1"/>
    <col min="11271" max="11271" width="11.625" style="1" bestFit="1" customWidth="1"/>
    <col min="11272" max="11502" width="9" style="1"/>
    <col min="11503" max="11503" width="4.625" style="1" customWidth="1"/>
    <col min="11504" max="11504" width="34.625" style="1" customWidth="1"/>
    <col min="11505" max="11505" width="11.625" style="1" customWidth="1"/>
    <col min="11506" max="11507" width="6.625" style="1" customWidth="1"/>
    <col min="11508" max="11508" width="10.625" style="1" customWidth="1"/>
    <col min="11509" max="11509" width="14.625" style="1" customWidth="1"/>
    <col min="11510" max="11510" width="10.625" style="1" customWidth="1"/>
    <col min="11511" max="11511" width="14.625" style="1" customWidth="1"/>
    <col min="11512" max="11512" width="10.625" style="1" customWidth="1"/>
    <col min="11513" max="11513" width="14.625" style="1" customWidth="1"/>
    <col min="11514" max="11514" width="10.625" style="1" customWidth="1"/>
    <col min="11515" max="11515" width="18.625" style="1" customWidth="1"/>
    <col min="11516" max="11516" width="9.625" style="1" customWidth="1"/>
    <col min="11517" max="11517" width="10.5" style="1" customWidth="1"/>
    <col min="11518" max="11518" width="20.375" style="1" bestFit="1" customWidth="1"/>
    <col min="11519" max="11519" width="12.5" style="1" customWidth="1"/>
    <col min="11520" max="11520" width="13.125" style="1" customWidth="1"/>
    <col min="11521" max="11525" width="9" style="1"/>
    <col min="11526" max="11526" width="11.25" style="1" bestFit="1" customWidth="1"/>
    <col min="11527" max="11527" width="11.625" style="1" bestFit="1" customWidth="1"/>
    <col min="11528" max="11758" width="9" style="1"/>
    <col min="11759" max="11759" width="4.625" style="1" customWidth="1"/>
    <col min="11760" max="11760" width="34.625" style="1" customWidth="1"/>
    <col min="11761" max="11761" width="11.625" style="1" customWidth="1"/>
    <col min="11762" max="11763" width="6.625" style="1" customWidth="1"/>
    <col min="11764" max="11764" width="10.625" style="1" customWidth="1"/>
    <col min="11765" max="11765" width="14.625" style="1" customWidth="1"/>
    <col min="11766" max="11766" width="10.625" style="1" customWidth="1"/>
    <col min="11767" max="11767" width="14.625" style="1" customWidth="1"/>
    <col min="11768" max="11768" width="10.625" style="1" customWidth="1"/>
    <col min="11769" max="11769" width="14.625" style="1" customWidth="1"/>
    <col min="11770" max="11770" width="10.625" style="1" customWidth="1"/>
    <col min="11771" max="11771" width="18.625" style="1" customWidth="1"/>
    <col min="11772" max="11772" width="9.625" style="1" customWidth="1"/>
    <col min="11773" max="11773" width="10.5" style="1" customWidth="1"/>
    <col min="11774" max="11774" width="20.375" style="1" bestFit="1" customWidth="1"/>
    <col min="11775" max="11775" width="12.5" style="1" customWidth="1"/>
    <col min="11776" max="11776" width="13.125" style="1" customWidth="1"/>
    <col min="11777" max="11781" width="9" style="1"/>
    <col min="11782" max="11782" width="11.25" style="1" bestFit="1" customWidth="1"/>
    <col min="11783" max="11783" width="11.625" style="1" bestFit="1" customWidth="1"/>
    <col min="11784" max="12014" width="9" style="1"/>
    <col min="12015" max="12015" width="4.625" style="1" customWidth="1"/>
    <col min="12016" max="12016" width="34.625" style="1" customWidth="1"/>
    <col min="12017" max="12017" width="11.625" style="1" customWidth="1"/>
    <col min="12018" max="12019" width="6.625" style="1" customWidth="1"/>
    <col min="12020" max="12020" width="10.625" style="1" customWidth="1"/>
    <col min="12021" max="12021" width="14.625" style="1" customWidth="1"/>
    <col min="12022" max="12022" width="10.625" style="1" customWidth="1"/>
    <col min="12023" max="12023" width="14.625" style="1" customWidth="1"/>
    <col min="12024" max="12024" width="10.625" style="1" customWidth="1"/>
    <col min="12025" max="12025" width="14.625" style="1" customWidth="1"/>
    <col min="12026" max="12026" width="10.625" style="1" customWidth="1"/>
    <col min="12027" max="12027" width="18.625" style="1" customWidth="1"/>
    <col min="12028" max="12028" width="9.625" style="1" customWidth="1"/>
    <col min="12029" max="12029" width="10.5" style="1" customWidth="1"/>
    <col min="12030" max="12030" width="20.375" style="1" bestFit="1" customWidth="1"/>
    <col min="12031" max="12031" width="12.5" style="1" customWidth="1"/>
    <col min="12032" max="12032" width="13.125" style="1" customWidth="1"/>
    <col min="12033" max="12037" width="9" style="1"/>
    <col min="12038" max="12038" width="11.25" style="1" bestFit="1" customWidth="1"/>
    <col min="12039" max="12039" width="11.625" style="1" bestFit="1" customWidth="1"/>
    <col min="12040" max="12270" width="9" style="1"/>
    <col min="12271" max="12271" width="4.625" style="1" customWidth="1"/>
    <col min="12272" max="12272" width="34.625" style="1" customWidth="1"/>
    <col min="12273" max="12273" width="11.625" style="1" customWidth="1"/>
    <col min="12274" max="12275" width="6.625" style="1" customWidth="1"/>
    <col min="12276" max="12276" width="10.625" style="1" customWidth="1"/>
    <col min="12277" max="12277" width="14.625" style="1" customWidth="1"/>
    <col min="12278" max="12278" width="10.625" style="1" customWidth="1"/>
    <col min="12279" max="12279" width="14.625" style="1" customWidth="1"/>
    <col min="12280" max="12280" width="10.625" style="1" customWidth="1"/>
    <col min="12281" max="12281" width="14.625" style="1" customWidth="1"/>
    <col min="12282" max="12282" width="10.625" style="1" customWidth="1"/>
    <col min="12283" max="12283" width="18.625" style="1" customWidth="1"/>
    <col min="12284" max="12284" width="9.625" style="1" customWidth="1"/>
    <col min="12285" max="12285" width="10.5" style="1" customWidth="1"/>
    <col min="12286" max="12286" width="20.375" style="1" bestFit="1" customWidth="1"/>
    <col min="12287" max="12287" width="12.5" style="1" customWidth="1"/>
    <col min="12288" max="12288" width="13.125" style="1" customWidth="1"/>
    <col min="12289" max="12293" width="9" style="1"/>
    <col min="12294" max="12294" width="11.25" style="1" bestFit="1" customWidth="1"/>
    <col min="12295" max="12295" width="11.625" style="1" bestFit="1" customWidth="1"/>
    <col min="12296" max="12526" width="9" style="1"/>
    <col min="12527" max="12527" width="4.625" style="1" customWidth="1"/>
    <col min="12528" max="12528" width="34.625" style="1" customWidth="1"/>
    <col min="12529" max="12529" width="11.625" style="1" customWidth="1"/>
    <col min="12530" max="12531" width="6.625" style="1" customWidth="1"/>
    <col min="12532" max="12532" width="10.625" style="1" customWidth="1"/>
    <col min="12533" max="12533" width="14.625" style="1" customWidth="1"/>
    <col min="12534" max="12534" width="10.625" style="1" customWidth="1"/>
    <col min="12535" max="12535" width="14.625" style="1" customWidth="1"/>
    <col min="12536" max="12536" width="10.625" style="1" customWidth="1"/>
    <col min="12537" max="12537" width="14.625" style="1" customWidth="1"/>
    <col min="12538" max="12538" width="10.625" style="1" customWidth="1"/>
    <col min="12539" max="12539" width="18.625" style="1" customWidth="1"/>
    <col min="12540" max="12540" width="9.625" style="1" customWidth="1"/>
    <col min="12541" max="12541" width="10.5" style="1" customWidth="1"/>
    <col min="12542" max="12542" width="20.375" style="1" bestFit="1" customWidth="1"/>
    <col min="12543" max="12543" width="12.5" style="1" customWidth="1"/>
    <col min="12544" max="12544" width="13.125" style="1" customWidth="1"/>
    <col min="12545" max="12549" width="9" style="1"/>
    <col min="12550" max="12550" width="11.25" style="1" bestFit="1" customWidth="1"/>
    <col min="12551" max="12551" width="11.625" style="1" bestFit="1" customWidth="1"/>
    <col min="12552" max="12782" width="9" style="1"/>
    <col min="12783" max="12783" width="4.625" style="1" customWidth="1"/>
    <col min="12784" max="12784" width="34.625" style="1" customWidth="1"/>
    <col min="12785" max="12785" width="11.625" style="1" customWidth="1"/>
    <col min="12786" max="12787" width="6.625" style="1" customWidth="1"/>
    <col min="12788" max="12788" width="10.625" style="1" customWidth="1"/>
    <col min="12789" max="12789" width="14.625" style="1" customWidth="1"/>
    <col min="12790" max="12790" width="10.625" style="1" customWidth="1"/>
    <col min="12791" max="12791" width="14.625" style="1" customWidth="1"/>
    <col min="12792" max="12792" width="10.625" style="1" customWidth="1"/>
    <col min="12793" max="12793" width="14.625" style="1" customWidth="1"/>
    <col min="12794" max="12794" width="10.625" style="1" customWidth="1"/>
    <col min="12795" max="12795" width="18.625" style="1" customWidth="1"/>
    <col min="12796" max="12796" width="9.625" style="1" customWidth="1"/>
    <col min="12797" max="12797" width="10.5" style="1" customWidth="1"/>
    <col min="12798" max="12798" width="20.375" style="1" bestFit="1" customWidth="1"/>
    <col min="12799" max="12799" width="12.5" style="1" customWidth="1"/>
    <col min="12800" max="12800" width="13.125" style="1" customWidth="1"/>
    <col min="12801" max="12805" width="9" style="1"/>
    <col min="12806" max="12806" width="11.25" style="1" bestFit="1" customWidth="1"/>
    <col min="12807" max="12807" width="11.625" style="1" bestFit="1" customWidth="1"/>
    <col min="12808" max="13038" width="9" style="1"/>
    <col min="13039" max="13039" width="4.625" style="1" customWidth="1"/>
    <col min="13040" max="13040" width="34.625" style="1" customWidth="1"/>
    <col min="13041" max="13041" width="11.625" style="1" customWidth="1"/>
    <col min="13042" max="13043" width="6.625" style="1" customWidth="1"/>
    <col min="13044" max="13044" width="10.625" style="1" customWidth="1"/>
    <col min="13045" max="13045" width="14.625" style="1" customWidth="1"/>
    <col min="13046" max="13046" width="10.625" style="1" customWidth="1"/>
    <col min="13047" max="13047" width="14.625" style="1" customWidth="1"/>
    <col min="13048" max="13048" width="10.625" style="1" customWidth="1"/>
    <col min="13049" max="13049" width="14.625" style="1" customWidth="1"/>
    <col min="13050" max="13050" width="10.625" style="1" customWidth="1"/>
    <col min="13051" max="13051" width="18.625" style="1" customWidth="1"/>
    <col min="13052" max="13052" width="9.625" style="1" customWidth="1"/>
    <col min="13053" max="13053" width="10.5" style="1" customWidth="1"/>
    <col min="13054" max="13054" width="20.375" style="1" bestFit="1" customWidth="1"/>
    <col min="13055" max="13055" width="12.5" style="1" customWidth="1"/>
    <col min="13056" max="13056" width="13.125" style="1" customWidth="1"/>
    <col min="13057" max="13061" width="9" style="1"/>
    <col min="13062" max="13062" width="11.25" style="1" bestFit="1" customWidth="1"/>
    <col min="13063" max="13063" width="11.625" style="1" bestFit="1" customWidth="1"/>
    <col min="13064" max="13294" width="9" style="1"/>
    <col min="13295" max="13295" width="4.625" style="1" customWidth="1"/>
    <col min="13296" max="13296" width="34.625" style="1" customWidth="1"/>
    <col min="13297" max="13297" width="11.625" style="1" customWidth="1"/>
    <col min="13298" max="13299" width="6.625" style="1" customWidth="1"/>
    <col min="13300" max="13300" width="10.625" style="1" customWidth="1"/>
    <col min="13301" max="13301" width="14.625" style="1" customWidth="1"/>
    <col min="13302" max="13302" width="10.625" style="1" customWidth="1"/>
    <col min="13303" max="13303" width="14.625" style="1" customWidth="1"/>
    <col min="13304" max="13304" width="10.625" style="1" customWidth="1"/>
    <col min="13305" max="13305" width="14.625" style="1" customWidth="1"/>
    <col min="13306" max="13306" width="10.625" style="1" customWidth="1"/>
    <col min="13307" max="13307" width="18.625" style="1" customWidth="1"/>
    <col min="13308" max="13308" width="9.625" style="1" customWidth="1"/>
    <col min="13309" max="13309" width="10.5" style="1" customWidth="1"/>
    <col min="13310" max="13310" width="20.375" style="1" bestFit="1" customWidth="1"/>
    <col min="13311" max="13311" width="12.5" style="1" customWidth="1"/>
    <col min="13312" max="13312" width="13.125" style="1" customWidth="1"/>
    <col min="13313" max="13317" width="9" style="1"/>
    <col min="13318" max="13318" width="11.25" style="1" bestFit="1" customWidth="1"/>
    <col min="13319" max="13319" width="11.625" style="1" bestFit="1" customWidth="1"/>
    <col min="13320" max="13550" width="9" style="1"/>
    <col min="13551" max="13551" width="4.625" style="1" customWidth="1"/>
    <col min="13552" max="13552" width="34.625" style="1" customWidth="1"/>
    <col min="13553" max="13553" width="11.625" style="1" customWidth="1"/>
    <col min="13554" max="13555" width="6.625" style="1" customWidth="1"/>
    <col min="13556" max="13556" width="10.625" style="1" customWidth="1"/>
    <col min="13557" max="13557" width="14.625" style="1" customWidth="1"/>
    <col min="13558" max="13558" width="10.625" style="1" customWidth="1"/>
    <col min="13559" max="13559" width="14.625" style="1" customWidth="1"/>
    <col min="13560" max="13560" width="10.625" style="1" customWidth="1"/>
    <col min="13561" max="13561" width="14.625" style="1" customWidth="1"/>
    <col min="13562" max="13562" width="10.625" style="1" customWidth="1"/>
    <col min="13563" max="13563" width="18.625" style="1" customWidth="1"/>
    <col min="13564" max="13564" width="9.625" style="1" customWidth="1"/>
    <col min="13565" max="13565" width="10.5" style="1" customWidth="1"/>
    <col min="13566" max="13566" width="20.375" style="1" bestFit="1" customWidth="1"/>
    <col min="13567" max="13567" width="12.5" style="1" customWidth="1"/>
    <col min="13568" max="13568" width="13.125" style="1" customWidth="1"/>
    <col min="13569" max="13573" width="9" style="1"/>
    <col min="13574" max="13574" width="11.25" style="1" bestFit="1" customWidth="1"/>
    <col min="13575" max="13575" width="11.625" style="1" bestFit="1" customWidth="1"/>
    <col min="13576" max="13806" width="9" style="1"/>
    <col min="13807" max="13807" width="4.625" style="1" customWidth="1"/>
    <col min="13808" max="13808" width="34.625" style="1" customWidth="1"/>
    <col min="13809" max="13809" width="11.625" style="1" customWidth="1"/>
    <col min="13810" max="13811" width="6.625" style="1" customWidth="1"/>
    <col min="13812" max="13812" width="10.625" style="1" customWidth="1"/>
    <col min="13813" max="13813" width="14.625" style="1" customWidth="1"/>
    <col min="13814" max="13814" width="10.625" style="1" customWidth="1"/>
    <col min="13815" max="13815" width="14.625" style="1" customWidth="1"/>
    <col min="13816" max="13816" width="10.625" style="1" customWidth="1"/>
    <col min="13817" max="13817" width="14.625" style="1" customWidth="1"/>
    <col min="13818" max="13818" width="10.625" style="1" customWidth="1"/>
    <col min="13819" max="13819" width="18.625" style="1" customWidth="1"/>
    <col min="13820" max="13820" width="9.625" style="1" customWidth="1"/>
    <col min="13821" max="13821" width="10.5" style="1" customWidth="1"/>
    <col min="13822" max="13822" width="20.375" style="1" bestFit="1" customWidth="1"/>
    <col min="13823" max="13823" width="12.5" style="1" customWidth="1"/>
    <col min="13824" max="13824" width="13.125" style="1" customWidth="1"/>
    <col min="13825" max="13829" width="9" style="1"/>
    <col min="13830" max="13830" width="11.25" style="1" bestFit="1" customWidth="1"/>
    <col min="13831" max="13831" width="11.625" style="1" bestFit="1" customWidth="1"/>
    <col min="13832" max="14062" width="9" style="1"/>
    <col min="14063" max="14063" width="4.625" style="1" customWidth="1"/>
    <col min="14064" max="14064" width="34.625" style="1" customWidth="1"/>
    <col min="14065" max="14065" width="11.625" style="1" customWidth="1"/>
    <col min="14066" max="14067" width="6.625" style="1" customWidth="1"/>
    <col min="14068" max="14068" width="10.625" style="1" customWidth="1"/>
    <col min="14069" max="14069" width="14.625" style="1" customWidth="1"/>
    <col min="14070" max="14070" width="10.625" style="1" customWidth="1"/>
    <col min="14071" max="14071" width="14.625" style="1" customWidth="1"/>
    <col min="14072" max="14072" width="10.625" style="1" customWidth="1"/>
    <col min="14073" max="14073" width="14.625" style="1" customWidth="1"/>
    <col min="14074" max="14074" width="10.625" style="1" customWidth="1"/>
    <col min="14075" max="14075" width="18.625" style="1" customWidth="1"/>
    <col min="14076" max="14076" width="9.625" style="1" customWidth="1"/>
    <col min="14077" max="14077" width="10.5" style="1" customWidth="1"/>
    <col min="14078" max="14078" width="20.375" style="1" bestFit="1" customWidth="1"/>
    <col min="14079" max="14079" width="12.5" style="1" customWidth="1"/>
    <col min="14080" max="14080" width="13.125" style="1" customWidth="1"/>
    <col min="14081" max="14085" width="9" style="1"/>
    <col min="14086" max="14086" width="11.25" style="1" bestFit="1" customWidth="1"/>
    <col min="14087" max="14087" width="11.625" style="1" bestFit="1" customWidth="1"/>
    <col min="14088" max="14318" width="9" style="1"/>
    <col min="14319" max="14319" width="4.625" style="1" customWidth="1"/>
    <col min="14320" max="14320" width="34.625" style="1" customWidth="1"/>
    <col min="14321" max="14321" width="11.625" style="1" customWidth="1"/>
    <col min="14322" max="14323" width="6.625" style="1" customWidth="1"/>
    <col min="14324" max="14324" width="10.625" style="1" customWidth="1"/>
    <col min="14325" max="14325" width="14.625" style="1" customWidth="1"/>
    <col min="14326" max="14326" width="10.625" style="1" customWidth="1"/>
    <col min="14327" max="14327" width="14.625" style="1" customWidth="1"/>
    <col min="14328" max="14328" width="10.625" style="1" customWidth="1"/>
    <col min="14329" max="14329" width="14.625" style="1" customWidth="1"/>
    <col min="14330" max="14330" width="10.625" style="1" customWidth="1"/>
    <col min="14331" max="14331" width="18.625" style="1" customWidth="1"/>
    <col min="14332" max="14332" width="9.625" style="1" customWidth="1"/>
    <col min="14333" max="14333" width="10.5" style="1" customWidth="1"/>
    <col min="14334" max="14334" width="20.375" style="1" bestFit="1" customWidth="1"/>
    <col min="14335" max="14335" width="12.5" style="1" customWidth="1"/>
    <col min="14336" max="14336" width="13.125" style="1" customWidth="1"/>
    <col min="14337" max="14341" width="9" style="1"/>
    <col min="14342" max="14342" width="11.25" style="1" bestFit="1" customWidth="1"/>
    <col min="14343" max="14343" width="11.625" style="1" bestFit="1" customWidth="1"/>
    <col min="14344" max="14574" width="9" style="1"/>
    <col min="14575" max="14575" width="4.625" style="1" customWidth="1"/>
    <col min="14576" max="14576" width="34.625" style="1" customWidth="1"/>
    <col min="14577" max="14577" width="11.625" style="1" customWidth="1"/>
    <col min="14578" max="14579" width="6.625" style="1" customWidth="1"/>
    <col min="14580" max="14580" width="10.625" style="1" customWidth="1"/>
    <col min="14581" max="14581" width="14.625" style="1" customWidth="1"/>
    <col min="14582" max="14582" width="10.625" style="1" customWidth="1"/>
    <col min="14583" max="14583" width="14.625" style="1" customWidth="1"/>
    <col min="14584" max="14584" width="10.625" style="1" customWidth="1"/>
    <col min="14585" max="14585" width="14.625" style="1" customWidth="1"/>
    <col min="14586" max="14586" width="10.625" style="1" customWidth="1"/>
    <col min="14587" max="14587" width="18.625" style="1" customWidth="1"/>
    <col min="14588" max="14588" width="9.625" style="1" customWidth="1"/>
    <col min="14589" max="14589" width="10.5" style="1" customWidth="1"/>
    <col min="14590" max="14590" width="20.375" style="1" bestFit="1" customWidth="1"/>
    <col min="14591" max="14591" width="12.5" style="1" customWidth="1"/>
    <col min="14592" max="14592" width="13.125" style="1" customWidth="1"/>
    <col min="14593" max="14597" width="9" style="1"/>
    <col min="14598" max="14598" width="11.25" style="1" bestFit="1" customWidth="1"/>
    <col min="14599" max="14599" width="11.625" style="1" bestFit="1" customWidth="1"/>
    <col min="14600" max="14830" width="9" style="1"/>
    <col min="14831" max="14831" width="4.625" style="1" customWidth="1"/>
    <col min="14832" max="14832" width="34.625" style="1" customWidth="1"/>
    <col min="14833" max="14833" width="11.625" style="1" customWidth="1"/>
    <col min="14834" max="14835" width="6.625" style="1" customWidth="1"/>
    <col min="14836" max="14836" width="10.625" style="1" customWidth="1"/>
    <col min="14837" max="14837" width="14.625" style="1" customWidth="1"/>
    <col min="14838" max="14838" width="10.625" style="1" customWidth="1"/>
    <col min="14839" max="14839" width="14.625" style="1" customWidth="1"/>
    <col min="14840" max="14840" width="10.625" style="1" customWidth="1"/>
    <col min="14841" max="14841" width="14.625" style="1" customWidth="1"/>
    <col min="14842" max="14842" width="10.625" style="1" customWidth="1"/>
    <col min="14843" max="14843" width="18.625" style="1" customWidth="1"/>
    <col min="14844" max="14844" width="9.625" style="1" customWidth="1"/>
    <col min="14845" max="14845" width="10.5" style="1" customWidth="1"/>
    <col min="14846" max="14846" width="20.375" style="1" bestFit="1" customWidth="1"/>
    <col min="14847" max="14847" width="12.5" style="1" customWidth="1"/>
    <col min="14848" max="14848" width="13.125" style="1" customWidth="1"/>
    <col min="14849" max="14853" width="9" style="1"/>
    <col min="14854" max="14854" width="11.25" style="1" bestFit="1" customWidth="1"/>
    <col min="14855" max="14855" width="11.625" style="1" bestFit="1" customWidth="1"/>
    <col min="14856" max="15086" width="9" style="1"/>
    <col min="15087" max="15087" width="4.625" style="1" customWidth="1"/>
    <col min="15088" max="15088" width="34.625" style="1" customWidth="1"/>
    <col min="15089" max="15089" width="11.625" style="1" customWidth="1"/>
    <col min="15090" max="15091" width="6.625" style="1" customWidth="1"/>
    <col min="15092" max="15092" width="10.625" style="1" customWidth="1"/>
    <col min="15093" max="15093" width="14.625" style="1" customWidth="1"/>
    <col min="15094" max="15094" width="10.625" style="1" customWidth="1"/>
    <col min="15095" max="15095" width="14.625" style="1" customWidth="1"/>
    <col min="15096" max="15096" width="10.625" style="1" customWidth="1"/>
    <col min="15097" max="15097" width="14.625" style="1" customWidth="1"/>
    <col min="15098" max="15098" width="10.625" style="1" customWidth="1"/>
    <col min="15099" max="15099" width="18.625" style="1" customWidth="1"/>
    <col min="15100" max="15100" width="9.625" style="1" customWidth="1"/>
    <col min="15101" max="15101" width="10.5" style="1" customWidth="1"/>
    <col min="15102" max="15102" width="20.375" style="1" bestFit="1" customWidth="1"/>
    <col min="15103" max="15103" width="12.5" style="1" customWidth="1"/>
    <col min="15104" max="15104" width="13.125" style="1" customWidth="1"/>
    <col min="15105" max="15109" width="9" style="1"/>
    <col min="15110" max="15110" width="11.25" style="1" bestFit="1" customWidth="1"/>
    <col min="15111" max="15111" width="11.625" style="1" bestFit="1" customWidth="1"/>
    <col min="15112" max="15342" width="9" style="1"/>
    <col min="15343" max="15343" width="4.625" style="1" customWidth="1"/>
    <col min="15344" max="15344" width="34.625" style="1" customWidth="1"/>
    <col min="15345" max="15345" width="11.625" style="1" customWidth="1"/>
    <col min="15346" max="15347" width="6.625" style="1" customWidth="1"/>
    <col min="15348" max="15348" width="10.625" style="1" customWidth="1"/>
    <col min="15349" max="15349" width="14.625" style="1" customWidth="1"/>
    <col min="15350" max="15350" width="10.625" style="1" customWidth="1"/>
    <col min="15351" max="15351" width="14.625" style="1" customWidth="1"/>
    <col min="15352" max="15352" width="10.625" style="1" customWidth="1"/>
    <col min="15353" max="15353" width="14.625" style="1" customWidth="1"/>
    <col min="15354" max="15354" width="10.625" style="1" customWidth="1"/>
    <col min="15355" max="15355" width="18.625" style="1" customWidth="1"/>
    <col min="15356" max="15356" width="9.625" style="1" customWidth="1"/>
    <col min="15357" max="15357" width="10.5" style="1" customWidth="1"/>
    <col min="15358" max="15358" width="20.375" style="1" bestFit="1" customWidth="1"/>
    <col min="15359" max="15359" width="12.5" style="1" customWidth="1"/>
    <col min="15360" max="15360" width="13.125" style="1" customWidth="1"/>
    <col min="15361" max="15365" width="9" style="1"/>
    <col min="15366" max="15366" width="11.25" style="1" bestFit="1" customWidth="1"/>
    <col min="15367" max="15367" width="11.625" style="1" bestFit="1" customWidth="1"/>
    <col min="15368" max="15598" width="9" style="1"/>
    <col min="15599" max="15599" width="4.625" style="1" customWidth="1"/>
    <col min="15600" max="15600" width="34.625" style="1" customWidth="1"/>
    <col min="15601" max="15601" width="11.625" style="1" customWidth="1"/>
    <col min="15602" max="15603" width="6.625" style="1" customWidth="1"/>
    <col min="15604" max="15604" width="10.625" style="1" customWidth="1"/>
    <col min="15605" max="15605" width="14.625" style="1" customWidth="1"/>
    <col min="15606" max="15606" width="10.625" style="1" customWidth="1"/>
    <col min="15607" max="15607" width="14.625" style="1" customWidth="1"/>
    <col min="15608" max="15608" width="10.625" style="1" customWidth="1"/>
    <col min="15609" max="15609" width="14.625" style="1" customWidth="1"/>
    <col min="15610" max="15610" width="10.625" style="1" customWidth="1"/>
    <col min="15611" max="15611" width="18.625" style="1" customWidth="1"/>
    <col min="15612" max="15612" width="9.625" style="1" customWidth="1"/>
    <col min="15613" max="15613" width="10.5" style="1" customWidth="1"/>
    <col min="15614" max="15614" width="20.375" style="1" bestFit="1" customWidth="1"/>
    <col min="15615" max="15615" width="12.5" style="1" customWidth="1"/>
    <col min="15616" max="15616" width="13.125" style="1" customWidth="1"/>
    <col min="15617" max="15621" width="9" style="1"/>
    <col min="15622" max="15622" width="11.25" style="1" bestFit="1" customWidth="1"/>
    <col min="15623" max="15623" width="11.625" style="1" bestFit="1" customWidth="1"/>
    <col min="15624" max="15854" width="9" style="1"/>
    <col min="15855" max="15855" width="4.625" style="1" customWidth="1"/>
    <col min="15856" max="15856" width="34.625" style="1" customWidth="1"/>
    <col min="15857" max="15857" width="11.625" style="1" customWidth="1"/>
    <col min="15858" max="15859" width="6.625" style="1" customWidth="1"/>
    <col min="15860" max="15860" width="10.625" style="1" customWidth="1"/>
    <col min="15861" max="15861" width="14.625" style="1" customWidth="1"/>
    <col min="15862" max="15862" width="10.625" style="1" customWidth="1"/>
    <col min="15863" max="15863" width="14.625" style="1" customWidth="1"/>
    <col min="15864" max="15864" width="10.625" style="1" customWidth="1"/>
    <col min="15865" max="15865" width="14.625" style="1" customWidth="1"/>
    <col min="15866" max="15866" width="10.625" style="1" customWidth="1"/>
    <col min="15867" max="15867" width="18.625" style="1" customWidth="1"/>
    <col min="15868" max="15868" width="9.625" style="1" customWidth="1"/>
    <col min="15869" max="15869" width="10.5" style="1" customWidth="1"/>
    <col min="15870" max="15870" width="20.375" style="1" bestFit="1" customWidth="1"/>
    <col min="15871" max="15871" width="12.5" style="1" customWidth="1"/>
    <col min="15872" max="15872" width="13.125" style="1" customWidth="1"/>
    <col min="15873" max="15877" width="9" style="1"/>
    <col min="15878" max="15878" width="11.25" style="1" bestFit="1" customWidth="1"/>
    <col min="15879" max="15879" width="11.625" style="1" bestFit="1" customWidth="1"/>
    <col min="15880" max="16110" width="9" style="1"/>
    <col min="16111" max="16111" width="4.625" style="1" customWidth="1"/>
    <col min="16112" max="16112" width="34.625" style="1" customWidth="1"/>
    <col min="16113" max="16113" width="11.625" style="1" customWidth="1"/>
    <col min="16114" max="16115" width="6.625" style="1" customWidth="1"/>
    <col min="16116" max="16116" width="10.625" style="1" customWidth="1"/>
    <col min="16117" max="16117" width="14.625" style="1" customWidth="1"/>
    <col min="16118" max="16118" width="10.625" style="1" customWidth="1"/>
    <col min="16119" max="16119" width="14.625" style="1" customWidth="1"/>
    <col min="16120" max="16120" width="10.625" style="1" customWidth="1"/>
    <col min="16121" max="16121" width="14.625" style="1" customWidth="1"/>
    <col min="16122" max="16122" width="10.625" style="1" customWidth="1"/>
    <col min="16123" max="16123" width="18.625" style="1" customWidth="1"/>
    <col min="16124" max="16124" width="9.625" style="1" customWidth="1"/>
    <col min="16125" max="16125" width="10.5" style="1" customWidth="1"/>
    <col min="16126" max="16126" width="20.375" style="1" bestFit="1" customWidth="1"/>
    <col min="16127" max="16127" width="12.5" style="1" customWidth="1"/>
    <col min="16128" max="16128" width="13.125" style="1" customWidth="1"/>
    <col min="16129" max="16133" width="9" style="1"/>
    <col min="16134" max="16134" width="11.25" style="1" bestFit="1" customWidth="1"/>
    <col min="16135" max="16135" width="11.625" style="1" bestFit="1" customWidth="1"/>
    <col min="16136" max="16384" width="9" style="1"/>
  </cols>
  <sheetData>
    <row r="1" spans="1:123" ht="35.1" customHeight="1">
      <c r="A1" s="330" t="s">
        <v>405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2"/>
    </row>
    <row r="2" spans="1:123" customFormat="1" ht="19.5" customHeight="1" thickBot="1">
      <c r="A2" s="356" t="s">
        <v>289</v>
      </c>
      <c r="B2" s="356"/>
      <c r="C2" s="356"/>
      <c r="D2" s="356"/>
      <c r="E2" s="356"/>
      <c r="F2" s="60"/>
      <c r="G2" s="60"/>
      <c r="H2" s="60"/>
      <c r="I2" s="60"/>
      <c r="J2" s="60"/>
      <c r="K2" s="60"/>
      <c r="L2" s="60"/>
      <c r="M2" s="40"/>
      <c r="N2" s="262" t="s">
        <v>397</v>
      </c>
    </row>
    <row r="3" spans="1:123" ht="30" customHeight="1">
      <c r="A3" s="121"/>
      <c r="B3" s="346" t="s">
        <v>56</v>
      </c>
      <c r="C3" s="348" t="s">
        <v>39</v>
      </c>
      <c r="D3" s="348" t="s">
        <v>38</v>
      </c>
      <c r="E3" s="348" t="s">
        <v>37</v>
      </c>
      <c r="F3" s="350" t="s">
        <v>40</v>
      </c>
      <c r="G3" s="351"/>
      <c r="H3" s="350" t="s">
        <v>57</v>
      </c>
      <c r="I3" s="351"/>
      <c r="J3" s="350" t="s">
        <v>41</v>
      </c>
      <c r="K3" s="351"/>
      <c r="L3" s="350" t="s">
        <v>4</v>
      </c>
      <c r="M3" s="351"/>
      <c r="N3" s="352" t="s">
        <v>0</v>
      </c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</row>
    <row r="4" spans="1:123" s="5" customFormat="1" ht="30" customHeight="1" thickBot="1">
      <c r="A4" s="122"/>
      <c r="B4" s="347"/>
      <c r="C4" s="349"/>
      <c r="D4" s="349"/>
      <c r="E4" s="349"/>
      <c r="F4" s="74" t="s">
        <v>58</v>
      </c>
      <c r="G4" s="74" t="s">
        <v>59</v>
      </c>
      <c r="H4" s="74" t="s">
        <v>58</v>
      </c>
      <c r="I4" s="74" t="s">
        <v>59</v>
      </c>
      <c r="J4" s="74" t="s">
        <v>58</v>
      </c>
      <c r="K4" s="74" t="s">
        <v>59</v>
      </c>
      <c r="L4" s="74" t="s">
        <v>58</v>
      </c>
      <c r="M4" s="74" t="s">
        <v>59</v>
      </c>
      <c r="N4" s="353"/>
      <c r="O4" s="2"/>
    </row>
    <row r="5" spans="1:123" s="2" customFormat="1" ht="30" hidden="1" customHeight="1">
      <c r="A5" s="123"/>
      <c r="B5" s="342"/>
      <c r="C5" s="342"/>
      <c r="D5" s="342"/>
      <c r="E5" s="343"/>
      <c r="F5" s="124"/>
      <c r="G5" s="124"/>
      <c r="H5" s="124"/>
      <c r="I5" s="124"/>
      <c r="J5" s="124"/>
      <c r="K5" s="124"/>
      <c r="L5" s="124"/>
      <c r="M5" s="124"/>
      <c r="N5" s="125"/>
    </row>
    <row r="6" spans="1:123" ht="30" customHeight="1">
      <c r="A6" s="165" t="s">
        <v>54</v>
      </c>
      <c r="B6" s="44"/>
      <c r="C6" s="44"/>
      <c r="D6" s="44"/>
      <c r="E6" s="47"/>
      <c r="F6" s="48"/>
      <c r="G6" s="48">
        <f>'기성내역서(중앙_2권역 대행)'!G61</f>
        <v>18753140</v>
      </c>
      <c r="H6" s="48"/>
      <c r="I6" s="48">
        <f>'기성내역서(중앙_2권역 대행)'!I61</f>
        <v>3755344</v>
      </c>
      <c r="J6" s="48"/>
      <c r="K6" s="48">
        <f>'기성내역서(중앙_2권역 대행)'!K61</f>
        <v>532124</v>
      </c>
      <c r="L6" s="46"/>
      <c r="M6" s="45">
        <f>G6+I6+K6</f>
        <v>23040608</v>
      </c>
      <c r="N6" s="166"/>
      <c r="O6" s="2"/>
    </row>
    <row r="7" spans="1:123" s="3" customFormat="1" ht="30" customHeight="1">
      <c r="A7" s="127"/>
      <c r="B7" s="132"/>
      <c r="C7" s="129"/>
      <c r="D7" s="130"/>
      <c r="E7" s="128"/>
      <c r="F7" s="131"/>
      <c r="G7" s="80"/>
      <c r="H7" s="80"/>
      <c r="I7" s="80"/>
      <c r="J7" s="80"/>
      <c r="K7" s="80"/>
      <c r="L7" s="80"/>
      <c r="M7" s="80"/>
      <c r="N7" s="8"/>
      <c r="O7" s="2"/>
    </row>
    <row r="8" spans="1:123" s="3" customFormat="1" ht="30" customHeight="1">
      <c r="A8" s="127"/>
      <c r="B8" s="132"/>
      <c r="C8" s="129"/>
      <c r="D8" s="130"/>
      <c r="E8" s="128"/>
      <c r="F8" s="131"/>
      <c r="G8" s="80"/>
      <c r="H8" s="80"/>
      <c r="I8" s="80"/>
      <c r="J8" s="80"/>
      <c r="K8" s="80"/>
      <c r="L8" s="80"/>
      <c r="M8" s="80"/>
      <c r="N8" s="8"/>
      <c r="O8" s="2"/>
    </row>
    <row r="9" spans="1:123" s="3" customFormat="1" ht="30" customHeight="1" thickBot="1">
      <c r="A9" s="133"/>
      <c r="B9" s="134"/>
      <c r="C9" s="135"/>
      <c r="D9" s="62"/>
      <c r="E9" s="62"/>
      <c r="F9" s="22"/>
      <c r="G9" s="23"/>
      <c r="H9" s="23"/>
      <c r="I9" s="23"/>
      <c r="J9" s="23"/>
      <c r="K9" s="23"/>
      <c r="L9" s="23"/>
      <c r="M9" s="23"/>
      <c r="N9" s="63"/>
      <c r="O9" s="2"/>
    </row>
    <row r="10" spans="1:123" s="52" customFormat="1" ht="30" customHeight="1" thickBot="1">
      <c r="A10" s="136"/>
      <c r="B10" s="137" t="s">
        <v>46</v>
      </c>
      <c r="C10" s="138"/>
      <c r="D10" s="139"/>
      <c r="E10" s="138"/>
      <c r="F10" s="140"/>
      <c r="G10" s="140">
        <f>SUM(G6:G9)</f>
        <v>18753140</v>
      </c>
      <c r="H10" s="140"/>
      <c r="I10" s="140">
        <f>SUM(I6:I9)</f>
        <v>3755344</v>
      </c>
      <c r="J10" s="140"/>
      <c r="K10" s="140">
        <f>SUM(K6:K9)</f>
        <v>532124</v>
      </c>
      <c r="L10" s="140"/>
      <c r="M10" s="140">
        <f>SUM(M6:M9)</f>
        <v>23040608</v>
      </c>
      <c r="N10" s="141"/>
      <c r="O10" s="51"/>
    </row>
    <row r="11" spans="1:123" s="92" customFormat="1" ht="30" customHeight="1">
      <c r="A11" s="142"/>
      <c r="B11" s="143" t="s">
        <v>1</v>
      </c>
      <c r="C11" s="82"/>
      <c r="D11" s="83"/>
      <c r="E11" s="84"/>
      <c r="F11" s="85"/>
      <c r="G11" s="86"/>
      <c r="H11" s="87"/>
      <c r="I11" s="86"/>
      <c r="J11" s="87"/>
      <c r="K11" s="86"/>
      <c r="L11" s="88"/>
      <c r="M11" s="89"/>
      <c r="N11" s="90"/>
      <c r="O11" s="91"/>
    </row>
    <row r="12" spans="1:123" s="3" customFormat="1" ht="30" customHeight="1">
      <c r="A12" s="144" t="s">
        <v>36</v>
      </c>
      <c r="B12" s="145" t="s">
        <v>61</v>
      </c>
      <c r="C12" s="6"/>
      <c r="D12" s="7"/>
      <c r="E12" s="6" t="s">
        <v>5</v>
      </c>
      <c r="F12" s="27"/>
      <c r="G12" s="28"/>
      <c r="H12" s="29"/>
      <c r="I12" s="28"/>
      <c r="J12" s="29"/>
      <c r="K12" s="28"/>
      <c r="L12" s="29"/>
      <c r="M12" s="30">
        <f>G10</f>
        <v>18753140</v>
      </c>
      <c r="N12" s="8"/>
      <c r="O12" s="2"/>
    </row>
    <row r="13" spans="1:123" s="3" customFormat="1" ht="30" customHeight="1">
      <c r="A13" s="144" t="s">
        <v>34</v>
      </c>
      <c r="B13" s="146" t="s">
        <v>47</v>
      </c>
      <c r="C13" s="6"/>
      <c r="D13" s="31"/>
      <c r="E13" s="32"/>
      <c r="F13" s="27"/>
      <c r="G13" s="28"/>
      <c r="H13" s="29"/>
      <c r="I13" s="28"/>
      <c r="J13" s="29"/>
      <c r="K13" s="28"/>
      <c r="L13" s="29"/>
      <c r="M13" s="30">
        <f>SUM(M14:M15)</f>
        <v>4254804</v>
      </c>
      <c r="N13" s="8"/>
      <c r="O13" s="2"/>
    </row>
    <row r="14" spans="1:123" ht="30" customHeight="1">
      <c r="A14" s="126"/>
      <c r="B14" s="145" t="s">
        <v>42</v>
      </c>
      <c r="C14" s="33"/>
      <c r="D14" s="7"/>
      <c r="E14" s="6" t="s">
        <v>5</v>
      </c>
      <c r="F14" s="34"/>
      <c r="G14" s="25"/>
      <c r="H14" s="25"/>
      <c r="I14" s="25"/>
      <c r="J14" s="25"/>
      <c r="K14" s="25"/>
      <c r="L14" s="26"/>
      <c r="M14" s="24">
        <f>I10</f>
        <v>3755344</v>
      </c>
      <c r="N14" s="8"/>
    </row>
    <row r="15" spans="1:123" ht="30" customHeight="1">
      <c r="A15" s="126"/>
      <c r="B15" s="145" t="s">
        <v>43</v>
      </c>
      <c r="C15" s="35">
        <v>0.13300000000000001</v>
      </c>
      <c r="D15" s="7"/>
      <c r="E15" s="6" t="s">
        <v>5</v>
      </c>
      <c r="F15" s="34" t="s">
        <v>2</v>
      </c>
      <c r="G15" s="25"/>
      <c r="H15" s="25"/>
      <c r="I15" s="25"/>
      <c r="J15" s="25"/>
      <c r="K15" s="25"/>
      <c r="L15" s="26"/>
      <c r="M15" s="24">
        <f>INT(I10*C15)</f>
        <v>499460</v>
      </c>
      <c r="N15" s="8"/>
      <c r="O15" s="41"/>
    </row>
    <row r="16" spans="1:123" ht="30" customHeight="1">
      <c r="A16" s="144" t="s">
        <v>35</v>
      </c>
      <c r="B16" s="146" t="s">
        <v>62</v>
      </c>
      <c r="C16" s="33"/>
      <c r="D16" s="7"/>
      <c r="E16" s="6"/>
      <c r="F16" s="34"/>
      <c r="G16" s="25"/>
      <c r="H16" s="25"/>
      <c r="I16" s="25"/>
      <c r="J16" s="25"/>
      <c r="K16" s="25"/>
      <c r="L16" s="26"/>
      <c r="M16" s="24">
        <f>SUM(M17:M30)</f>
        <v>1692901</v>
      </c>
      <c r="N16" s="8"/>
    </row>
    <row r="17" spans="1:16" ht="30" customHeight="1">
      <c r="A17" s="126"/>
      <c r="B17" s="145" t="s">
        <v>63</v>
      </c>
      <c r="C17" s="33"/>
      <c r="D17" s="7">
        <v>1</v>
      </c>
      <c r="E17" s="6" t="s">
        <v>5</v>
      </c>
      <c r="F17" s="34"/>
      <c r="G17" s="25"/>
      <c r="H17" s="25"/>
      <c r="I17" s="25"/>
      <c r="J17" s="25"/>
      <c r="K17" s="25"/>
      <c r="L17" s="26"/>
      <c r="M17" s="24">
        <f>K10</f>
        <v>532124</v>
      </c>
      <c r="N17" s="8"/>
    </row>
    <row r="18" spans="1:16" ht="30" customHeight="1">
      <c r="A18" s="126"/>
      <c r="B18" s="145" t="s">
        <v>87</v>
      </c>
      <c r="C18" s="36"/>
      <c r="D18" s="7"/>
      <c r="E18" s="6"/>
      <c r="F18" s="34"/>
      <c r="G18" s="25"/>
      <c r="H18" s="25"/>
      <c r="I18" s="25"/>
      <c r="J18" s="25"/>
      <c r="K18" s="25"/>
      <c r="L18" s="26"/>
      <c r="M18" s="24"/>
      <c r="N18" s="49"/>
      <c r="P18" s="5"/>
    </row>
    <row r="19" spans="1:16" ht="30" customHeight="1">
      <c r="A19" s="126"/>
      <c r="B19" s="146" t="s">
        <v>65</v>
      </c>
      <c r="C19" s="33">
        <v>3.56E-2</v>
      </c>
      <c r="D19" s="7">
        <v>1</v>
      </c>
      <c r="E19" s="6" t="s">
        <v>5</v>
      </c>
      <c r="F19" s="34" t="s">
        <v>66</v>
      </c>
      <c r="G19" s="25"/>
      <c r="H19" s="25"/>
      <c r="I19" s="25"/>
      <c r="J19" s="25"/>
      <c r="K19" s="25"/>
      <c r="L19" s="26"/>
      <c r="M19" s="24">
        <f>INT((I10+M15)*C19)</f>
        <v>151471</v>
      </c>
      <c r="N19" s="8"/>
      <c r="O19" s="42"/>
      <c r="P19" s="52"/>
    </row>
    <row r="20" spans="1:16" ht="30" customHeight="1">
      <c r="A20" s="126"/>
      <c r="B20" s="146" t="s">
        <v>67</v>
      </c>
      <c r="C20" s="33">
        <v>1.01E-2</v>
      </c>
      <c r="D20" s="7">
        <v>1</v>
      </c>
      <c r="E20" s="6" t="s">
        <v>5</v>
      </c>
      <c r="F20" s="34" t="s">
        <v>66</v>
      </c>
      <c r="G20" s="25"/>
      <c r="H20" s="25"/>
      <c r="I20" s="25"/>
      <c r="J20" s="25"/>
      <c r="K20" s="25"/>
      <c r="L20" s="26"/>
      <c r="M20" s="24">
        <f>INT((M15+I10)*C20)</f>
        <v>42973</v>
      </c>
      <c r="N20" s="8"/>
      <c r="O20" s="42"/>
      <c r="P20" s="52"/>
    </row>
    <row r="21" spans="1:16" ht="30" customHeight="1">
      <c r="A21" s="126"/>
      <c r="B21" s="146" t="s">
        <v>68</v>
      </c>
      <c r="C21" s="33">
        <v>4.4999999999999998E-2</v>
      </c>
      <c r="D21" s="7">
        <v>1</v>
      </c>
      <c r="E21" s="6" t="s">
        <v>5</v>
      </c>
      <c r="F21" s="34" t="s">
        <v>2</v>
      </c>
      <c r="G21" s="25"/>
      <c r="H21" s="25"/>
      <c r="I21" s="25"/>
      <c r="J21" s="25"/>
      <c r="K21" s="25"/>
      <c r="L21" s="26"/>
      <c r="M21" s="50">
        <v>0</v>
      </c>
      <c r="N21" s="54" t="s">
        <v>64</v>
      </c>
      <c r="O21" s="42"/>
    </row>
    <row r="22" spans="1:16" ht="30" customHeight="1">
      <c r="A22" s="126"/>
      <c r="B22" s="146" t="s">
        <v>70</v>
      </c>
      <c r="C22" s="172">
        <v>3.5450000000000002E-2</v>
      </c>
      <c r="D22" s="7">
        <v>1</v>
      </c>
      <c r="E22" s="6" t="s">
        <v>5</v>
      </c>
      <c r="F22" s="34" t="s">
        <v>2</v>
      </c>
      <c r="G22" s="25"/>
      <c r="H22" s="25"/>
      <c r="I22" s="25"/>
      <c r="J22" s="25"/>
      <c r="K22" s="25"/>
      <c r="L22" s="26"/>
      <c r="M22" s="50">
        <v>0</v>
      </c>
      <c r="N22" s="54" t="s">
        <v>64</v>
      </c>
      <c r="O22" s="42"/>
    </row>
    <row r="23" spans="1:16" ht="30" customHeight="1">
      <c r="A23" s="126"/>
      <c r="B23" s="146" t="s">
        <v>71</v>
      </c>
      <c r="C23" s="33">
        <v>0.1295</v>
      </c>
      <c r="D23" s="7">
        <v>1</v>
      </c>
      <c r="E23" s="6" t="s">
        <v>5</v>
      </c>
      <c r="F23" s="34" t="s">
        <v>72</v>
      </c>
      <c r="G23" s="25"/>
      <c r="H23" s="25"/>
      <c r="I23" s="25"/>
      <c r="J23" s="25"/>
      <c r="K23" s="25"/>
      <c r="L23" s="26"/>
      <c r="M23" s="50">
        <v>0</v>
      </c>
      <c r="N23" s="54" t="s">
        <v>64</v>
      </c>
      <c r="O23" s="42"/>
    </row>
    <row r="24" spans="1:16" ht="30" customHeight="1">
      <c r="A24" s="126"/>
      <c r="B24" s="145" t="s">
        <v>88</v>
      </c>
      <c r="C24" s="35">
        <v>2.3E-2</v>
      </c>
      <c r="D24" s="7">
        <v>1</v>
      </c>
      <c r="E24" s="6" t="s">
        <v>5</v>
      </c>
      <c r="F24" s="34" t="s">
        <v>2</v>
      </c>
      <c r="G24" s="25"/>
      <c r="H24" s="25"/>
      <c r="I24" s="25"/>
      <c r="J24" s="25"/>
      <c r="K24" s="25"/>
      <c r="L24" s="26"/>
      <c r="M24" s="50">
        <v>0</v>
      </c>
      <c r="N24" s="54" t="s">
        <v>64</v>
      </c>
      <c r="O24" s="41"/>
    </row>
    <row r="25" spans="1:16" s="52" customFormat="1" ht="30" customHeight="1">
      <c r="A25" s="126"/>
      <c r="B25" s="145" t="s">
        <v>89</v>
      </c>
      <c r="C25" s="33">
        <v>2.5999999999999999E-2</v>
      </c>
      <c r="D25" s="7">
        <v>1</v>
      </c>
      <c r="E25" s="6" t="s">
        <v>5</v>
      </c>
      <c r="F25" s="153" t="s">
        <v>145</v>
      </c>
      <c r="G25" s="167"/>
      <c r="H25" s="167"/>
      <c r="I25" s="167"/>
      <c r="J25" s="167"/>
      <c r="K25" s="25"/>
      <c r="L25" s="26"/>
      <c r="M25" s="50">
        <v>0</v>
      </c>
      <c r="N25" s="54" t="s">
        <v>64</v>
      </c>
      <c r="O25" s="53"/>
    </row>
    <row r="26" spans="1:16" ht="30" customHeight="1">
      <c r="A26" s="126"/>
      <c r="B26" s="145" t="s">
        <v>90</v>
      </c>
      <c r="C26" s="33">
        <v>4.2000000000000003E-2</v>
      </c>
      <c r="D26" s="7">
        <v>1</v>
      </c>
      <c r="E26" s="6" t="s">
        <v>5</v>
      </c>
      <c r="F26" s="34" t="s">
        <v>73</v>
      </c>
      <c r="G26" s="25"/>
      <c r="H26" s="25"/>
      <c r="I26" s="25"/>
      <c r="J26" s="25"/>
      <c r="K26" s="25"/>
      <c r="L26" s="147"/>
      <c r="M26" s="24">
        <f>INT(($G$10+$I$10+$M$15)*C26)</f>
        <v>966333</v>
      </c>
      <c r="N26" s="8"/>
      <c r="O26" s="41"/>
    </row>
    <row r="27" spans="1:16" ht="30" customHeight="1">
      <c r="A27" s="126"/>
      <c r="B27" s="145" t="s">
        <v>91</v>
      </c>
      <c r="C27" s="35">
        <v>5.0000000000000001E-3</v>
      </c>
      <c r="D27" s="7">
        <v>1</v>
      </c>
      <c r="E27" s="6" t="s">
        <v>5</v>
      </c>
      <c r="F27" s="34" t="s">
        <v>74</v>
      </c>
      <c r="G27" s="25"/>
      <c r="H27" s="25"/>
      <c r="I27" s="25"/>
      <c r="J27" s="25"/>
      <c r="K27" s="25"/>
      <c r="L27" s="26"/>
      <c r="M27" s="50">
        <v>0</v>
      </c>
      <c r="N27" s="54" t="s">
        <v>64</v>
      </c>
      <c r="O27" s="41"/>
    </row>
    <row r="28" spans="1:16" ht="30" customHeight="1">
      <c r="A28" s="148"/>
      <c r="B28" s="149" t="s">
        <v>92</v>
      </c>
      <c r="C28" s="150"/>
      <c r="D28" s="64"/>
      <c r="E28" s="61"/>
      <c r="F28" s="65"/>
      <c r="G28" s="66"/>
      <c r="H28" s="66"/>
      <c r="I28" s="66"/>
      <c r="J28" s="66"/>
      <c r="K28" s="66"/>
      <c r="L28" s="67"/>
      <c r="M28" s="68"/>
      <c r="N28" s="151"/>
    </row>
    <row r="29" spans="1:16" ht="30" customHeight="1">
      <c r="A29" s="148"/>
      <c r="B29" s="146" t="s">
        <v>75</v>
      </c>
      <c r="C29" s="152">
        <v>8.0000000000000004E-4</v>
      </c>
      <c r="D29" s="64">
        <v>1</v>
      </c>
      <c r="E29" s="61" t="s">
        <v>5</v>
      </c>
      <c r="F29" s="65" t="s">
        <v>74</v>
      </c>
      <c r="G29" s="66"/>
      <c r="H29" s="66"/>
      <c r="I29" s="66"/>
      <c r="J29" s="66"/>
      <c r="K29" s="66"/>
      <c r="L29" s="67"/>
      <c r="M29" s="205">
        <v>0</v>
      </c>
      <c r="N29" s="206" t="s">
        <v>64</v>
      </c>
      <c r="O29" s="43"/>
    </row>
    <row r="30" spans="1:16" ht="30" customHeight="1">
      <c r="A30" s="126"/>
      <c r="B30" s="146" t="s">
        <v>76</v>
      </c>
      <c r="C30" s="33">
        <v>3.2000000000000002E-3</v>
      </c>
      <c r="D30" s="7">
        <v>1</v>
      </c>
      <c r="E30" s="6" t="s">
        <v>5</v>
      </c>
      <c r="F30" s="34" t="s">
        <v>74</v>
      </c>
      <c r="G30" s="25"/>
      <c r="H30" s="25"/>
      <c r="I30" s="25"/>
      <c r="J30" s="25"/>
      <c r="K30" s="25"/>
      <c r="L30" s="26"/>
      <c r="M30" s="50">
        <v>0</v>
      </c>
      <c r="N30" s="54" t="s">
        <v>64</v>
      </c>
      <c r="O30" s="42"/>
    </row>
    <row r="31" spans="1:16" s="57" customFormat="1" ht="30" customHeight="1">
      <c r="A31" s="154"/>
      <c r="B31" s="155" t="s">
        <v>77</v>
      </c>
      <c r="C31" s="75"/>
      <c r="D31" s="76"/>
      <c r="E31" s="75"/>
      <c r="F31" s="77"/>
      <c r="G31" s="78"/>
      <c r="H31" s="78"/>
      <c r="I31" s="78"/>
      <c r="J31" s="78"/>
      <c r="K31" s="78"/>
      <c r="L31" s="79"/>
      <c r="M31" s="80">
        <f>M12+M13+M16</f>
        <v>24700845</v>
      </c>
      <c r="N31" s="81"/>
      <c r="O31" s="120"/>
    </row>
    <row r="32" spans="1:16" ht="30" customHeight="1">
      <c r="A32" s="144" t="s">
        <v>78</v>
      </c>
      <c r="B32" s="146" t="s">
        <v>79</v>
      </c>
      <c r="C32" s="33">
        <v>3.5000000000000003E-2</v>
      </c>
      <c r="D32" s="7">
        <v>1</v>
      </c>
      <c r="E32" s="6" t="s">
        <v>5</v>
      </c>
      <c r="F32" s="34" t="s">
        <v>80</v>
      </c>
      <c r="G32" s="25"/>
      <c r="H32" s="25"/>
      <c r="I32" s="25"/>
      <c r="J32" s="25"/>
      <c r="K32" s="25"/>
      <c r="L32" s="26"/>
      <c r="M32" s="24">
        <f>INT((M12+M13+M16)*C32)</f>
        <v>864529</v>
      </c>
      <c r="N32" s="8"/>
      <c r="O32" s="41"/>
    </row>
    <row r="33" spans="1:123" ht="30" customHeight="1">
      <c r="A33" s="144" t="s">
        <v>81</v>
      </c>
      <c r="B33" s="146" t="s">
        <v>82</v>
      </c>
      <c r="C33" s="33">
        <v>4.2999999999999997E-2</v>
      </c>
      <c r="D33" s="7"/>
      <c r="E33" s="6" t="s">
        <v>5</v>
      </c>
      <c r="F33" s="34" t="s">
        <v>83</v>
      </c>
      <c r="G33" s="25"/>
      <c r="H33" s="25"/>
      <c r="I33" s="25"/>
      <c r="J33" s="37" t="s">
        <v>84</v>
      </c>
      <c r="K33" s="344">
        <f>INT((M13+M16+M32)*C33)</f>
        <v>292926</v>
      </c>
      <c r="L33" s="345"/>
      <c r="M33" s="24">
        <f>INT((M13+M16+M32)*C33)-N33</f>
        <v>284626</v>
      </c>
      <c r="N33" s="170">
        <v>8300</v>
      </c>
      <c r="O33" s="41"/>
    </row>
    <row r="34" spans="1:123" s="57" customFormat="1" ht="30" customHeight="1">
      <c r="A34" s="154"/>
      <c r="B34" s="155" t="s">
        <v>85</v>
      </c>
      <c r="C34" s="75"/>
      <c r="D34" s="76"/>
      <c r="E34" s="75"/>
      <c r="F34" s="77"/>
      <c r="G34" s="78"/>
      <c r="H34" s="78"/>
      <c r="I34" s="78"/>
      <c r="J34" s="78"/>
      <c r="K34" s="78"/>
      <c r="L34" s="79"/>
      <c r="M34" s="80">
        <f>SUM(M31:M33)</f>
        <v>25850000</v>
      </c>
      <c r="N34" s="81"/>
      <c r="O34" s="120"/>
    </row>
    <row r="35" spans="1:123" s="55" customFormat="1" ht="30" customHeight="1">
      <c r="A35" s="154"/>
      <c r="B35" s="155" t="s">
        <v>86</v>
      </c>
      <c r="C35" s="75"/>
      <c r="D35" s="76"/>
      <c r="E35" s="75"/>
      <c r="F35" s="77"/>
      <c r="G35" s="78"/>
      <c r="H35" s="78"/>
      <c r="I35" s="78"/>
      <c r="J35" s="78"/>
      <c r="K35" s="78"/>
      <c r="L35" s="79"/>
      <c r="M35" s="80">
        <f>M34</f>
        <v>25850000</v>
      </c>
      <c r="N35" s="81"/>
      <c r="O35" s="59"/>
    </row>
    <row r="36" spans="1:123" s="55" customFormat="1" ht="30" customHeight="1">
      <c r="A36" s="154"/>
      <c r="B36" s="155" t="s">
        <v>146</v>
      </c>
      <c r="C36" s="75"/>
      <c r="D36" s="76"/>
      <c r="E36" s="75"/>
      <c r="F36" s="77"/>
      <c r="G36" s="78"/>
      <c r="H36" s="78"/>
      <c r="I36" s="78"/>
      <c r="J36" s="78"/>
      <c r="K36" s="78"/>
      <c r="L36" s="79"/>
      <c r="M36" s="80">
        <f>M35*0.1</f>
        <v>2585000</v>
      </c>
      <c r="N36" s="81"/>
      <c r="O36" s="59"/>
    </row>
    <row r="37" spans="1:123" s="57" customFormat="1" ht="30" customHeight="1" thickBot="1">
      <c r="A37" s="156"/>
      <c r="B37" s="157" t="s">
        <v>152</v>
      </c>
      <c r="C37" s="158"/>
      <c r="D37" s="159"/>
      <c r="E37" s="158"/>
      <c r="F37" s="160"/>
      <c r="G37" s="161"/>
      <c r="H37" s="161"/>
      <c r="I37" s="161"/>
      <c r="J37" s="161"/>
      <c r="K37" s="161"/>
      <c r="L37" s="162"/>
      <c r="M37" s="163">
        <f>M35+M36</f>
        <v>28435000</v>
      </c>
      <c r="N37" s="164"/>
      <c r="O37" s="120"/>
    </row>
    <row r="38" spans="1:123" s="2" customFormat="1" ht="30" customHeight="1">
      <c r="A38" s="1"/>
      <c r="B38" s="1"/>
      <c r="D38" s="38"/>
      <c r="E38" s="5"/>
      <c r="F38" s="39"/>
      <c r="G38" s="38"/>
      <c r="H38" s="40"/>
      <c r="I38" s="38"/>
      <c r="J38" s="40"/>
      <c r="K38" s="38"/>
      <c r="L38" s="40"/>
      <c r="M38" s="40"/>
      <c r="N38" s="5"/>
      <c r="O38" s="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</row>
    <row r="39" spans="1:123" s="2" customFormat="1" ht="33" customHeight="1">
      <c r="A39" s="1"/>
      <c r="B39" s="1"/>
      <c r="D39" s="38"/>
      <c r="E39" s="5"/>
      <c r="F39" s="39"/>
      <c r="G39" s="38"/>
      <c r="H39" s="40"/>
      <c r="I39" s="38"/>
      <c r="J39" s="40"/>
      <c r="K39" s="38"/>
      <c r="L39" s="40"/>
      <c r="M39" s="168">
        <f>ROUND(M37/M10,5)</f>
        <v>1.2341299999999999</v>
      </c>
      <c r="N39" s="5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</row>
    <row r="40" spans="1:123" s="2" customFormat="1" ht="33" customHeight="1">
      <c r="A40" s="1"/>
      <c r="B40" s="1"/>
      <c r="D40" s="38"/>
      <c r="E40" s="5"/>
      <c r="F40" s="39"/>
      <c r="G40" s="38"/>
      <c r="H40" s="40"/>
      <c r="I40" s="38"/>
      <c r="J40" s="40"/>
      <c r="K40" s="38"/>
      <c r="L40" s="40"/>
      <c r="M40" s="40"/>
      <c r="N40" s="5"/>
      <c r="O40" s="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</row>
    <row r="41" spans="1:123" s="2" customFormat="1" ht="30" customHeight="1">
      <c r="A41" s="1"/>
      <c r="B41" s="1"/>
      <c r="D41" s="38"/>
      <c r="E41" s="5"/>
      <c r="F41" s="39"/>
      <c r="G41" s="38"/>
      <c r="H41" s="40"/>
      <c r="I41" s="38"/>
      <c r="J41" s="40"/>
      <c r="K41" s="38"/>
      <c r="L41" s="40"/>
      <c r="M41" s="40"/>
      <c r="N41" s="5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</row>
    <row r="45" spans="1:123" s="2" customFormat="1" ht="34.700000000000003" customHeight="1">
      <c r="A45" s="1"/>
      <c r="B45" s="1"/>
      <c r="D45" s="38"/>
      <c r="E45" s="5"/>
      <c r="F45" s="39"/>
      <c r="G45" s="38"/>
      <c r="H45" s="40"/>
      <c r="I45" s="38"/>
      <c r="J45" s="40"/>
      <c r="K45" s="38"/>
      <c r="L45" s="40"/>
      <c r="M45" s="40"/>
      <c r="N45" s="5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</row>
  </sheetData>
  <mergeCells count="13">
    <mergeCell ref="N3:N4"/>
    <mergeCell ref="B5:E5"/>
    <mergeCell ref="K33:L33"/>
    <mergeCell ref="A1:N1"/>
    <mergeCell ref="A2:E2"/>
    <mergeCell ref="B3:B4"/>
    <mergeCell ref="C3:C4"/>
    <mergeCell ref="D3:D4"/>
    <mergeCell ref="E3:E4"/>
    <mergeCell ref="F3:G3"/>
    <mergeCell ref="H3:I3"/>
    <mergeCell ref="J3:K3"/>
    <mergeCell ref="L3:M3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horizontalDpi="1200" verticalDpi="1200" r:id="rId1"/>
  <headerFooter alignWithMargins="0">
    <oddHeader xml:space="preserve">&amp;C&amp;"돋움,보통"&amp;16&amp;U
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CC"/>
    <pageSetUpPr fitToPage="1"/>
  </sheetPr>
  <dimension ref="A1:T62"/>
  <sheetViews>
    <sheetView view="pageBreakPreview" topLeftCell="B39" zoomScaleNormal="85" zoomScaleSheetLayoutView="100" workbookViewId="0">
      <selection activeCell="K35" sqref="K35"/>
    </sheetView>
  </sheetViews>
  <sheetFormatPr defaultColWidth="8" defaultRowHeight="14.25"/>
  <cols>
    <col min="1" max="1" width="10.5" customWidth="1"/>
    <col min="2" max="2" width="29.875" customWidth="1"/>
    <col min="3" max="3" width="18.75" customWidth="1"/>
    <col min="4" max="4" width="10.5" customWidth="1"/>
    <col min="5" max="5" width="5.25" customWidth="1"/>
    <col min="6" max="6" width="12.5" customWidth="1"/>
    <col min="7" max="7" width="15" customWidth="1"/>
    <col min="8" max="8" width="12.5" customWidth="1"/>
    <col min="9" max="9" width="16.875" customWidth="1"/>
    <col min="10" max="10" width="12.5" customWidth="1"/>
    <col min="11" max="11" width="16.875" customWidth="1"/>
    <col min="12" max="12" width="12.5" customWidth="1"/>
    <col min="13" max="13" width="16.875" customWidth="1"/>
    <col min="14" max="14" width="10.5" customWidth="1"/>
    <col min="16" max="16" width="19.25" bestFit="1" customWidth="1"/>
    <col min="18" max="18" width="10.625" bestFit="1" customWidth="1"/>
  </cols>
  <sheetData>
    <row r="1" spans="1:14" ht="35.1" customHeight="1">
      <c r="A1" s="338" t="s">
        <v>412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</row>
    <row r="2" spans="1:14" ht="15.4" customHeight="1">
      <c r="A2" s="60" t="s">
        <v>144</v>
      </c>
      <c r="B2" s="93"/>
      <c r="C2" s="116"/>
      <c r="D2" s="117"/>
      <c r="E2" s="93"/>
      <c r="F2" s="93"/>
      <c r="G2" s="93"/>
      <c r="H2" s="93"/>
      <c r="I2" s="93"/>
      <c r="J2" s="93"/>
      <c r="K2" s="93"/>
      <c r="L2" s="93"/>
      <c r="M2" s="357" t="s">
        <v>398</v>
      </c>
      <c r="N2" s="358"/>
    </row>
    <row r="3" spans="1:14" ht="19.5" customHeight="1">
      <c r="A3" s="94" t="s">
        <v>11</v>
      </c>
      <c r="B3" s="94" t="s">
        <v>12</v>
      </c>
      <c r="C3" s="115" t="s">
        <v>13</v>
      </c>
      <c r="D3" s="115" t="s">
        <v>14</v>
      </c>
      <c r="E3" s="94" t="s">
        <v>6</v>
      </c>
      <c r="F3" s="95" t="s">
        <v>8</v>
      </c>
      <c r="G3" s="96"/>
      <c r="H3" s="95" t="s">
        <v>9</v>
      </c>
      <c r="I3" s="96"/>
      <c r="J3" s="95" t="s">
        <v>15</v>
      </c>
      <c r="K3" s="96"/>
      <c r="L3" s="95" t="s">
        <v>16</v>
      </c>
      <c r="M3" s="96"/>
      <c r="N3" s="94" t="s">
        <v>44</v>
      </c>
    </row>
    <row r="4" spans="1:14" ht="19.5" customHeight="1">
      <c r="A4" s="97"/>
      <c r="B4" s="97"/>
      <c r="C4" s="97"/>
      <c r="D4" s="97"/>
      <c r="E4" s="97"/>
      <c r="F4" s="98" t="s">
        <v>17</v>
      </c>
      <c r="G4" s="98" t="s">
        <v>18</v>
      </c>
      <c r="H4" s="98" t="s">
        <v>17</v>
      </c>
      <c r="I4" s="98" t="s">
        <v>18</v>
      </c>
      <c r="J4" s="98" t="s">
        <v>17</v>
      </c>
      <c r="K4" s="98" t="s">
        <v>18</v>
      </c>
      <c r="L4" s="98" t="s">
        <v>17</v>
      </c>
      <c r="M4" s="98" t="s">
        <v>18</v>
      </c>
      <c r="N4" s="97"/>
    </row>
    <row r="5" spans="1:14" ht="22.5" customHeight="1">
      <c r="A5" s="99" t="s">
        <v>10</v>
      </c>
      <c r="B5" s="99" t="s">
        <v>19</v>
      </c>
      <c r="C5" s="99" t="s">
        <v>10</v>
      </c>
      <c r="D5" s="100">
        <v>0</v>
      </c>
      <c r="E5" s="98" t="s">
        <v>10</v>
      </c>
      <c r="F5" s="107" t="s">
        <v>10</v>
      </c>
      <c r="G5" s="107" t="s">
        <v>10</v>
      </c>
      <c r="H5" s="107" t="s">
        <v>10</v>
      </c>
      <c r="I5" s="107" t="s">
        <v>10</v>
      </c>
      <c r="J5" s="107" t="s">
        <v>10</v>
      </c>
      <c r="K5" s="107" t="s">
        <v>10</v>
      </c>
      <c r="L5" s="107" t="s">
        <v>10</v>
      </c>
      <c r="M5" s="107" t="s">
        <v>10</v>
      </c>
      <c r="N5" s="110" t="s">
        <v>10</v>
      </c>
    </row>
    <row r="6" spans="1:14" ht="22.5" customHeight="1">
      <c r="A6" s="103" t="s">
        <v>20</v>
      </c>
      <c r="B6" s="102" t="s">
        <v>93</v>
      </c>
      <c r="C6" s="103" t="s">
        <v>10</v>
      </c>
      <c r="D6" s="104">
        <v>0</v>
      </c>
      <c r="E6" s="105" t="s">
        <v>10</v>
      </c>
      <c r="F6" s="111" t="s">
        <v>10</v>
      </c>
      <c r="G6" s="111" t="s">
        <v>10</v>
      </c>
      <c r="H6" s="111" t="s">
        <v>10</v>
      </c>
      <c r="I6" s="111" t="s">
        <v>10</v>
      </c>
      <c r="J6" s="111" t="s">
        <v>10</v>
      </c>
      <c r="K6" s="111" t="s">
        <v>10</v>
      </c>
      <c r="L6" s="111" t="s">
        <v>10</v>
      </c>
      <c r="M6" s="111" t="s">
        <v>10</v>
      </c>
      <c r="N6" s="112" t="s">
        <v>10</v>
      </c>
    </row>
    <row r="7" spans="1:14" ht="22.5" customHeight="1">
      <c r="A7" s="101" t="s">
        <v>115</v>
      </c>
      <c r="B7" s="56" t="s">
        <v>49</v>
      </c>
      <c r="C7" s="101" t="s">
        <v>114</v>
      </c>
      <c r="D7" s="169"/>
      <c r="E7" s="101" t="s">
        <v>53</v>
      </c>
      <c r="F7" s="107">
        <v>473488</v>
      </c>
      <c r="G7" s="107">
        <f>D7*F7</f>
        <v>0</v>
      </c>
      <c r="H7" s="107">
        <v>364249</v>
      </c>
      <c r="I7" s="107">
        <f>D7*H7</f>
        <v>0</v>
      </c>
      <c r="J7" s="107">
        <v>13214</v>
      </c>
      <c r="K7" s="107">
        <f>D7*J7</f>
        <v>0</v>
      </c>
      <c r="L7" s="107">
        <f>F7+H7+J7</f>
        <v>850951</v>
      </c>
      <c r="M7" s="107">
        <f>D7*L7</f>
        <v>0</v>
      </c>
      <c r="N7" s="110"/>
    </row>
    <row r="8" spans="1:14" ht="22.5" customHeight="1">
      <c r="A8" s="101" t="s">
        <v>94</v>
      </c>
      <c r="B8" s="56" t="s">
        <v>49</v>
      </c>
      <c r="C8" s="101" t="s">
        <v>113</v>
      </c>
      <c r="D8" s="169"/>
      <c r="E8" s="101" t="s">
        <v>53</v>
      </c>
      <c r="F8" s="107">
        <v>2096059</v>
      </c>
      <c r="G8" s="107">
        <f>D8*F8</f>
        <v>0</v>
      </c>
      <c r="H8" s="107">
        <v>651150</v>
      </c>
      <c r="I8" s="107">
        <f>D8*H8</f>
        <v>0</v>
      </c>
      <c r="J8" s="107">
        <v>61358</v>
      </c>
      <c r="K8" s="107">
        <f>D8*J8</f>
        <v>0</v>
      </c>
      <c r="L8" s="107">
        <f t="shared" ref="L8:L12" si="0">F8+H8+J8</f>
        <v>2808567</v>
      </c>
      <c r="M8" s="107">
        <f t="shared" ref="M8:M12" si="1">D8*L8</f>
        <v>0</v>
      </c>
      <c r="N8" s="110"/>
    </row>
    <row r="9" spans="1:14" ht="22.5" customHeight="1">
      <c r="A9" s="101" t="s">
        <v>95</v>
      </c>
      <c r="B9" s="56" t="s">
        <v>49</v>
      </c>
      <c r="C9" s="101" t="s">
        <v>55</v>
      </c>
      <c r="D9" s="169"/>
      <c r="E9" s="101" t="s">
        <v>53</v>
      </c>
      <c r="F9" s="119">
        <v>2525128</v>
      </c>
      <c r="G9" s="107">
        <f>D9*F9</f>
        <v>0</v>
      </c>
      <c r="H9" s="107">
        <v>732040</v>
      </c>
      <c r="I9" s="107">
        <f>D9*H9</f>
        <v>0</v>
      </c>
      <c r="J9" s="107">
        <v>65243</v>
      </c>
      <c r="K9" s="107">
        <f>D9*J9</f>
        <v>0</v>
      </c>
      <c r="L9" s="107">
        <f t="shared" si="0"/>
        <v>3322411</v>
      </c>
      <c r="M9" s="107">
        <f t="shared" si="1"/>
        <v>0</v>
      </c>
      <c r="N9" s="110" t="s">
        <v>10</v>
      </c>
    </row>
    <row r="10" spans="1:14" ht="22.5" customHeight="1">
      <c r="A10" s="101" t="s">
        <v>96</v>
      </c>
      <c r="B10" s="56" t="s">
        <v>49</v>
      </c>
      <c r="C10" s="101" t="s">
        <v>48</v>
      </c>
      <c r="D10" s="169"/>
      <c r="E10" s="101" t="s">
        <v>53</v>
      </c>
      <c r="F10" s="119">
        <v>3251378</v>
      </c>
      <c r="G10" s="107">
        <f>D10*F10</f>
        <v>0</v>
      </c>
      <c r="H10" s="107">
        <v>774354</v>
      </c>
      <c r="I10" s="107">
        <f t="shared" ref="I10:I12" si="2">D10*H10</f>
        <v>0</v>
      </c>
      <c r="J10" s="107">
        <v>77677</v>
      </c>
      <c r="K10" s="107">
        <f t="shared" ref="K10:K12" si="3">D10*J10</f>
        <v>0</v>
      </c>
      <c r="L10" s="107">
        <f t="shared" si="0"/>
        <v>4103409</v>
      </c>
      <c r="M10" s="107">
        <f t="shared" si="1"/>
        <v>0</v>
      </c>
      <c r="N10" s="110" t="s">
        <v>10</v>
      </c>
    </row>
    <row r="11" spans="1:14" ht="22.5" customHeight="1">
      <c r="A11" s="101" t="s">
        <v>97</v>
      </c>
      <c r="B11" s="56" t="s">
        <v>49</v>
      </c>
      <c r="C11" s="101" t="s">
        <v>50</v>
      </c>
      <c r="D11" s="169"/>
      <c r="E11" s="101" t="s">
        <v>53</v>
      </c>
      <c r="F11" s="119">
        <v>3767327</v>
      </c>
      <c r="G11" s="107">
        <f t="shared" ref="G11:G12" si="4">D11*F11</f>
        <v>0</v>
      </c>
      <c r="H11" s="107">
        <v>835058</v>
      </c>
      <c r="I11" s="107">
        <f t="shared" si="2"/>
        <v>0</v>
      </c>
      <c r="J11" s="107">
        <v>126235</v>
      </c>
      <c r="K11" s="107">
        <f t="shared" si="3"/>
        <v>0</v>
      </c>
      <c r="L11" s="107">
        <f t="shared" si="0"/>
        <v>4728620</v>
      </c>
      <c r="M11" s="107">
        <f t="shared" si="1"/>
        <v>0</v>
      </c>
      <c r="N11" s="110"/>
    </row>
    <row r="12" spans="1:14" ht="22.5" customHeight="1">
      <c r="A12" s="101" t="s">
        <v>98</v>
      </c>
      <c r="B12" s="56" t="s">
        <v>49</v>
      </c>
      <c r="C12" s="101" t="s">
        <v>51</v>
      </c>
      <c r="D12" s="169">
        <v>4</v>
      </c>
      <c r="E12" s="101" t="s">
        <v>53</v>
      </c>
      <c r="F12" s="119">
        <v>4688285</v>
      </c>
      <c r="G12" s="107">
        <f t="shared" si="4"/>
        <v>18753140</v>
      </c>
      <c r="H12" s="107">
        <v>938836</v>
      </c>
      <c r="I12" s="107">
        <f t="shared" si="2"/>
        <v>3755344</v>
      </c>
      <c r="J12" s="107">
        <v>133031</v>
      </c>
      <c r="K12" s="107">
        <f t="shared" si="3"/>
        <v>532124</v>
      </c>
      <c r="L12" s="107">
        <f t="shared" si="0"/>
        <v>5760152</v>
      </c>
      <c r="M12" s="107">
        <f t="shared" si="1"/>
        <v>23040608</v>
      </c>
      <c r="N12" s="110"/>
    </row>
    <row r="13" spans="1:14" ht="22.5" customHeight="1">
      <c r="A13" s="101" t="s">
        <v>99</v>
      </c>
      <c r="B13" s="56" t="s">
        <v>49</v>
      </c>
      <c r="C13" s="101" t="s">
        <v>52</v>
      </c>
      <c r="D13" s="169"/>
      <c r="E13" s="101" t="s">
        <v>53</v>
      </c>
      <c r="F13" s="119">
        <v>7175084</v>
      </c>
      <c r="G13" s="107">
        <f t="shared" ref="G13:G27" si="5">D13*F13</f>
        <v>0</v>
      </c>
      <c r="H13" s="107">
        <v>1344035</v>
      </c>
      <c r="I13" s="107">
        <f t="shared" ref="I13:I27" si="6">D13*H13</f>
        <v>0</v>
      </c>
      <c r="J13" s="107">
        <v>256626</v>
      </c>
      <c r="K13" s="107">
        <f t="shared" ref="K13:K27" si="7">D13*J13</f>
        <v>0</v>
      </c>
      <c r="L13" s="107">
        <f t="shared" ref="L13:L27" si="8">F13+H13+J13</f>
        <v>8775745</v>
      </c>
      <c r="M13" s="107">
        <f t="shared" ref="M13:M27" si="9">D13*L13</f>
        <v>0</v>
      </c>
      <c r="N13" s="110" t="s">
        <v>10</v>
      </c>
    </row>
    <row r="14" spans="1:14" ht="22.5" customHeight="1">
      <c r="A14" s="101" t="s">
        <v>100</v>
      </c>
      <c r="B14" s="56" t="s">
        <v>49</v>
      </c>
      <c r="C14" s="101" t="s">
        <v>23</v>
      </c>
      <c r="D14" s="169"/>
      <c r="E14" s="101" t="s">
        <v>53</v>
      </c>
      <c r="F14" s="119">
        <v>9658162</v>
      </c>
      <c r="G14" s="107">
        <f t="shared" si="5"/>
        <v>0</v>
      </c>
      <c r="H14" s="107">
        <v>1485827</v>
      </c>
      <c r="I14" s="107">
        <f t="shared" si="6"/>
        <v>0</v>
      </c>
      <c r="J14" s="107">
        <v>308857</v>
      </c>
      <c r="K14" s="107">
        <f t="shared" si="7"/>
        <v>0</v>
      </c>
      <c r="L14" s="107">
        <f t="shared" si="8"/>
        <v>11452846</v>
      </c>
      <c r="M14" s="107">
        <f t="shared" si="9"/>
        <v>0</v>
      </c>
      <c r="N14" s="110" t="s">
        <v>10</v>
      </c>
    </row>
    <row r="15" spans="1:14" ht="22.5" customHeight="1">
      <c r="A15" s="101" t="s">
        <v>101</v>
      </c>
      <c r="B15" s="56" t="s">
        <v>49</v>
      </c>
      <c r="C15" s="101" t="s">
        <v>22</v>
      </c>
      <c r="D15" s="169"/>
      <c r="E15" s="101" t="s">
        <v>53</v>
      </c>
      <c r="F15" s="119">
        <v>12169198</v>
      </c>
      <c r="G15" s="107">
        <f t="shared" si="5"/>
        <v>0</v>
      </c>
      <c r="H15" s="107">
        <v>1649432</v>
      </c>
      <c r="I15" s="107">
        <f t="shared" si="6"/>
        <v>0</v>
      </c>
      <c r="J15" s="107">
        <v>341364</v>
      </c>
      <c r="K15" s="107">
        <f t="shared" si="7"/>
        <v>0</v>
      </c>
      <c r="L15" s="107">
        <f t="shared" si="8"/>
        <v>14159994</v>
      </c>
      <c r="M15" s="107">
        <f t="shared" si="9"/>
        <v>0</v>
      </c>
      <c r="N15" s="110" t="s">
        <v>10</v>
      </c>
    </row>
    <row r="16" spans="1:14" ht="22.5" customHeight="1">
      <c r="A16" s="101" t="s">
        <v>102</v>
      </c>
      <c r="B16" s="56" t="s">
        <v>49</v>
      </c>
      <c r="C16" s="101" t="s">
        <v>26</v>
      </c>
      <c r="D16" s="169"/>
      <c r="E16" s="101" t="s">
        <v>53</v>
      </c>
      <c r="F16" s="119">
        <v>17976469</v>
      </c>
      <c r="G16" s="107">
        <f>D16*F16</f>
        <v>0</v>
      </c>
      <c r="H16" s="107">
        <v>2270083</v>
      </c>
      <c r="I16" s="107">
        <f>D16*H16</f>
        <v>0</v>
      </c>
      <c r="J16" s="107">
        <v>594821</v>
      </c>
      <c r="K16" s="107">
        <f>D16*J16</f>
        <v>0</v>
      </c>
      <c r="L16" s="107">
        <f t="shared" si="8"/>
        <v>20841373</v>
      </c>
      <c r="M16" s="107">
        <f>D16*L16</f>
        <v>0</v>
      </c>
      <c r="N16" s="110"/>
    </row>
    <row r="17" spans="1:14" ht="22.5" customHeight="1">
      <c r="A17" s="101" t="s">
        <v>103</v>
      </c>
      <c r="B17" s="56" t="s">
        <v>49</v>
      </c>
      <c r="C17" s="101" t="s">
        <v>33</v>
      </c>
      <c r="D17" s="169"/>
      <c r="E17" s="101" t="s">
        <v>53</v>
      </c>
      <c r="F17" s="119">
        <v>18408234</v>
      </c>
      <c r="G17" s="107">
        <f t="shared" si="5"/>
        <v>0</v>
      </c>
      <c r="H17" s="107">
        <v>2676868</v>
      </c>
      <c r="I17" s="107">
        <f t="shared" si="6"/>
        <v>0</v>
      </c>
      <c r="J17" s="107">
        <v>664149</v>
      </c>
      <c r="K17" s="107">
        <f t="shared" si="7"/>
        <v>0</v>
      </c>
      <c r="L17" s="107">
        <f t="shared" si="8"/>
        <v>21749251</v>
      </c>
      <c r="M17" s="107">
        <f t="shared" si="9"/>
        <v>0</v>
      </c>
      <c r="N17" s="110" t="s">
        <v>10</v>
      </c>
    </row>
    <row r="18" spans="1:14" ht="22.5" customHeight="1">
      <c r="A18" s="101" t="s">
        <v>104</v>
      </c>
      <c r="B18" s="56" t="s">
        <v>49</v>
      </c>
      <c r="C18" s="101" t="s">
        <v>32</v>
      </c>
      <c r="D18" s="169"/>
      <c r="E18" s="101" t="s">
        <v>53</v>
      </c>
      <c r="F18" s="119">
        <v>21589104</v>
      </c>
      <c r="G18" s="107">
        <f t="shared" si="5"/>
        <v>0</v>
      </c>
      <c r="H18" s="107">
        <v>3082851</v>
      </c>
      <c r="I18" s="107">
        <f t="shared" si="6"/>
        <v>0</v>
      </c>
      <c r="J18" s="107">
        <v>906276</v>
      </c>
      <c r="K18" s="107">
        <f t="shared" si="7"/>
        <v>0</v>
      </c>
      <c r="L18" s="107">
        <f t="shared" si="8"/>
        <v>25578231</v>
      </c>
      <c r="M18" s="107">
        <f t="shared" si="9"/>
        <v>0</v>
      </c>
      <c r="N18" s="110"/>
    </row>
    <row r="19" spans="1:14" ht="22.5" customHeight="1">
      <c r="A19" s="101" t="s">
        <v>105</v>
      </c>
      <c r="B19" s="56" t="s">
        <v>49</v>
      </c>
      <c r="C19" s="101" t="s">
        <v>31</v>
      </c>
      <c r="D19" s="169"/>
      <c r="E19" s="101" t="s">
        <v>53</v>
      </c>
      <c r="F19" s="119">
        <v>24638400</v>
      </c>
      <c r="G19" s="107">
        <f t="shared" si="5"/>
        <v>0</v>
      </c>
      <c r="H19" s="107">
        <v>3861028</v>
      </c>
      <c r="I19" s="107">
        <f t="shared" si="6"/>
        <v>0</v>
      </c>
      <c r="J19" s="107">
        <v>1047466</v>
      </c>
      <c r="K19" s="107">
        <f t="shared" si="7"/>
        <v>0</v>
      </c>
      <c r="L19" s="107">
        <f t="shared" si="8"/>
        <v>29546894</v>
      </c>
      <c r="M19" s="107">
        <f t="shared" si="9"/>
        <v>0</v>
      </c>
      <c r="N19" s="110"/>
    </row>
    <row r="20" spans="1:14" ht="22.5" customHeight="1">
      <c r="A20" s="101" t="s">
        <v>106</v>
      </c>
      <c r="B20" s="56" t="s">
        <v>49</v>
      </c>
      <c r="C20" s="101" t="s">
        <v>30</v>
      </c>
      <c r="D20" s="169"/>
      <c r="E20" s="101" t="s">
        <v>53</v>
      </c>
      <c r="F20" s="119">
        <v>25877998</v>
      </c>
      <c r="G20" s="107">
        <f t="shared" si="5"/>
        <v>0</v>
      </c>
      <c r="H20" s="107">
        <v>4274693</v>
      </c>
      <c r="I20" s="107">
        <f t="shared" si="6"/>
        <v>0</v>
      </c>
      <c r="J20" s="107">
        <v>1733663</v>
      </c>
      <c r="K20" s="107">
        <f t="shared" si="7"/>
        <v>0</v>
      </c>
      <c r="L20" s="107">
        <f t="shared" si="8"/>
        <v>31886354</v>
      </c>
      <c r="M20" s="107">
        <f t="shared" si="9"/>
        <v>0</v>
      </c>
      <c r="N20" s="110"/>
    </row>
    <row r="21" spans="1:14" ht="22.5" customHeight="1">
      <c r="A21" s="101" t="s">
        <v>107</v>
      </c>
      <c r="B21" s="56" t="s">
        <v>49</v>
      </c>
      <c r="C21" s="101" t="s">
        <v>24</v>
      </c>
      <c r="D21" s="169"/>
      <c r="E21" s="101" t="s">
        <v>53</v>
      </c>
      <c r="F21" s="119">
        <v>32881624</v>
      </c>
      <c r="G21" s="107">
        <f t="shared" si="5"/>
        <v>0</v>
      </c>
      <c r="H21" s="107">
        <v>5130868</v>
      </c>
      <c r="I21" s="107">
        <f t="shared" si="6"/>
        <v>0</v>
      </c>
      <c r="J21" s="107">
        <v>1981912</v>
      </c>
      <c r="K21" s="107">
        <f t="shared" si="7"/>
        <v>0</v>
      </c>
      <c r="L21" s="107">
        <f t="shared" si="8"/>
        <v>39994404</v>
      </c>
      <c r="M21" s="107">
        <f t="shared" si="9"/>
        <v>0</v>
      </c>
      <c r="N21" s="110"/>
    </row>
    <row r="22" spans="1:14" ht="22.5" customHeight="1">
      <c r="A22" s="101" t="s">
        <v>108</v>
      </c>
      <c r="B22" s="56" t="s">
        <v>49</v>
      </c>
      <c r="C22" s="101" t="s">
        <v>29</v>
      </c>
      <c r="D22" s="169"/>
      <c r="E22" s="101" t="s">
        <v>53</v>
      </c>
      <c r="F22" s="119">
        <v>34983928</v>
      </c>
      <c r="G22" s="107">
        <f t="shared" si="5"/>
        <v>0</v>
      </c>
      <c r="H22" s="107">
        <v>5548044</v>
      </c>
      <c r="I22" s="107">
        <f t="shared" si="6"/>
        <v>0</v>
      </c>
      <c r="J22" s="107">
        <v>2455665</v>
      </c>
      <c r="K22" s="107">
        <f t="shared" si="7"/>
        <v>0</v>
      </c>
      <c r="L22" s="107">
        <f t="shared" si="8"/>
        <v>42987637</v>
      </c>
      <c r="M22" s="107">
        <f t="shared" si="9"/>
        <v>0</v>
      </c>
      <c r="N22" s="110"/>
    </row>
    <row r="23" spans="1:14" ht="22.5" customHeight="1">
      <c r="A23" s="101" t="s">
        <v>109</v>
      </c>
      <c r="B23" s="56" t="s">
        <v>49</v>
      </c>
      <c r="C23" s="101" t="s">
        <v>119</v>
      </c>
      <c r="D23" s="169"/>
      <c r="E23" s="101" t="s">
        <v>53</v>
      </c>
      <c r="F23" s="119">
        <v>38815548</v>
      </c>
      <c r="G23" s="107">
        <f t="shared" si="5"/>
        <v>0</v>
      </c>
      <c r="H23" s="107">
        <v>5926788</v>
      </c>
      <c r="I23" s="107">
        <f t="shared" si="6"/>
        <v>0</v>
      </c>
      <c r="J23" s="107">
        <v>2662404</v>
      </c>
      <c r="K23" s="107">
        <f t="shared" si="7"/>
        <v>0</v>
      </c>
      <c r="L23" s="107">
        <f t="shared" si="8"/>
        <v>47404740</v>
      </c>
      <c r="M23" s="107">
        <f t="shared" si="9"/>
        <v>0</v>
      </c>
      <c r="N23" s="110"/>
    </row>
    <row r="24" spans="1:14" ht="22.5" customHeight="1">
      <c r="A24" s="101" t="s">
        <v>110</v>
      </c>
      <c r="B24" s="56" t="s">
        <v>49</v>
      </c>
      <c r="C24" s="101" t="s">
        <v>28</v>
      </c>
      <c r="D24" s="169"/>
      <c r="E24" s="101" t="s">
        <v>53</v>
      </c>
      <c r="F24" s="119">
        <v>44317123</v>
      </c>
      <c r="G24" s="107">
        <f t="shared" si="5"/>
        <v>0</v>
      </c>
      <c r="H24" s="107">
        <v>6423413</v>
      </c>
      <c r="I24" s="107">
        <f t="shared" si="6"/>
        <v>0</v>
      </c>
      <c r="J24" s="107">
        <v>4659138</v>
      </c>
      <c r="K24" s="107">
        <f t="shared" si="7"/>
        <v>0</v>
      </c>
      <c r="L24" s="107">
        <f t="shared" si="8"/>
        <v>55399674</v>
      </c>
      <c r="M24" s="107">
        <f t="shared" si="9"/>
        <v>0</v>
      </c>
      <c r="N24" s="110"/>
    </row>
    <row r="25" spans="1:14" ht="22.5" customHeight="1">
      <c r="A25" s="101" t="s">
        <v>111</v>
      </c>
      <c r="B25" s="56" t="s">
        <v>49</v>
      </c>
      <c r="C25" s="101" t="s">
        <v>27</v>
      </c>
      <c r="D25" s="169"/>
      <c r="E25" s="101" t="s">
        <v>53</v>
      </c>
      <c r="F25" s="119">
        <v>47002938</v>
      </c>
      <c r="G25" s="107">
        <f>D25*F25</f>
        <v>0</v>
      </c>
      <c r="H25" s="107">
        <v>6754833</v>
      </c>
      <c r="I25" s="107">
        <f>D25*H25</f>
        <v>0</v>
      </c>
      <c r="J25" s="107">
        <v>4931649</v>
      </c>
      <c r="K25" s="107">
        <f>D25*J25</f>
        <v>0</v>
      </c>
      <c r="L25" s="107">
        <f t="shared" si="8"/>
        <v>58689420</v>
      </c>
      <c r="M25" s="107">
        <f>D25*L25</f>
        <v>0</v>
      </c>
      <c r="N25" s="110"/>
    </row>
    <row r="26" spans="1:14" ht="22.5" customHeight="1">
      <c r="A26" s="101" t="s">
        <v>112</v>
      </c>
      <c r="B26" s="56" t="s">
        <v>49</v>
      </c>
      <c r="C26" s="101" t="s">
        <v>25</v>
      </c>
      <c r="D26" s="169"/>
      <c r="E26" s="101" t="s">
        <v>53</v>
      </c>
      <c r="F26" s="119">
        <v>56158837</v>
      </c>
      <c r="G26" s="107">
        <f t="shared" si="5"/>
        <v>0</v>
      </c>
      <c r="H26" s="107">
        <v>7151107</v>
      </c>
      <c r="I26" s="107">
        <f t="shared" si="6"/>
        <v>0</v>
      </c>
      <c r="J26" s="107">
        <v>5363774</v>
      </c>
      <c r="K26" s="107">
        <f t="shared" si="7"/>
        <v>0</v>
      </c>
      <c r="L26" s="107">
        <f t="shared" si="8"/>
        <v>68673718</v>
      </c>
      <c r="M26" s="107">
        <f t="shared" si="9"/>
        <v>0</v>
      </c>
      <c r="N26" s="110"/>
    </row>
    <row r="27" spans="1:14" ht="22.5" customHeight="1">
      <c r="A27" s="101" t="s">
        <v>128</v>
      </c>
      <c r="B27" s="56" t="s">
        <v>49</v>
      </c>
      <c r="C27" s="101" t="s">
        <v>129</v>
      </c>
      <c r="D27" s="169"/>
      <c r="E27" s="101" t="s">
        <v>53</v>
      </c>
      <c r="F27" s="119">
        <v>67252461</v>
      </c>
      <c r="G27" s="107">
        <f t="shared" si="5"/>
        <v>0</v>
      </c>
      <c r="H27" s="119">
        <v>7451208</v>
      </c>
      <c r="I27" s="107">
        <f t="shared" si="6"/>
        <v>0</v>
      </c>
      <c r="J27" s="119">
        <v>5562272</v>
      </c>
      <c r="K27" s="107">
        <f t="shared" si="7"/>
        <v>0</v>
      </c>
      <c r="L27" s="107">
        <f t="shared" si="8"/>
        <v>80265941</v>
      </c>
      <c r="M27" s="107">
        <f t="shared" si="9"/>
        <v>0</v>
      </c>
      <c r="N27" s="110"/>
    </row>
    <row r="28" spans="1:14" ht="22.5" customHeight="1">
      <c r="A28" s="101"/>
      <c r="B28" s="56" t="s">
        <v>116</v>
      </c>
      <c r="C28" s="101"/>
      <c r="D28" s="169">
        <f>SUM(D7:D27)</f>
        <v>4</v>
      </c>
      <c r="E28" s="101"/>
      <c r="F28" s="119"/>
      <c r="G28" s="107">
        <f>SUM(G7:G27)</f>
        <v>18753140</v>
      </c>
      <c r="H28" s="107"/>
      <c r="I28" s="107">
        <f>SUM(I7:I27)</f>
        <v>3755344</v>
      </c>
      <c r="J28" s="107"/>
      <c r="K28" s="107">
        <f>SUM(K7:K27)</f>
        <v>532124</v>
      </c>
      <c r="L28" s="107"/>
      <c r="M28" s="107">
        <f>SUM(M7:M27)</f>
        <v>23040608</v>
      </c>
      <c r="N28" s="110"/>
    </row>
    <row r="29" spans="1:14" ht="22.5" customHeight="1">
      <c r="A29" s="102" t="s">
        <v>117</v>
      </c>
      <c r="B29" s="102" t="s">
        <v>118</v>
      </c>
      <c r="C29" s="103" t="s">
        <v>10</v>
      </c>
      <c r="D29" s="104">
        <v>0</v>
      </c>
      <c r="E29" s="105" t="s">
        <v>10</v>
      </c>
      <c r="F29" s="111"/>
      <c r="G29" s="111" t="s">
        <v>10</v>
      </c>
      <c r="H29" s="111"/>
      <c r="I29" s="111" t="s">
        <v>10</v>
      </c>
      <c r="J29" s="111" t="s">
        <v>10</v>
      </c>
      <c r="K29" s="111" t="s">
        <v>10</v>
      </c>
      <c r="L29" s="111" t="s">
        <v>10</v>
      </c>
      <c r="M29" s="111" t="s">
        <v>10</v>
      </c>
      <c r="N29" s="112" t="s">
        <v>10</v>
      </c>
    </row>
    <row r="30" spans="1:14" ht="22.5" customHeight="1">
      <c r="A30" s="101" t="s">
        <v>394</v>
      </c>
      <c r="B30" s="56" t="s">
        <v>49</v>
      </c>
      <c r="C30" s="101" t="s">
        <v>114</v>
      </c>
      <c r="D30" s="169">
        <v>0</v>
      </c>
      <c r="E30" s="101" t="s">
        <v>53</v>
      </c>
      <c r="F30" s="119">
        <v>473488</v>
      </c>
      <c r="G30" s="107">
        <f t="shared" ref="G30:G43" si="10">D30*F30</f>
        <v>0</v>
      </c>
      <c r="H30" s="107">
        <v>632217</v>
      </c>
      <c r="I30" s="107">
        <f t="shared" ref="I30:I43" si="11">D30*H30</f>
        <v>0</v>
      </c>
      <c r="J30" s="107">
        <v>13220</v>
      </c>
      <c r="K30" s="107">
        <f t="shared" ref="K30:K43" si="12">D30*J30</f>
        <v>0</v>
      </c>
      <c r="L30" s="107">
        <f t="shared" ref="L30:L43" si="13">F30+H30+J30</f>
        <v>1118925</v>
      </c>
      <c r="M30" s="107">
        <f t="shared" ref="M30:M43" si="14">D30*L30</f>
        <v>0</v>
      </c>
      <c r="N30" s="110"/>
    </row>
    <row r="31" spans="1:14" ht="22.5" customHeight="1">
      <c r="A31" s="101" t="s">
        <v>362</v>
      </c>
      <c r="B31" s="56" t="s">
        <v>49</v>
      </c>
      <c r="C31" s="101" t="s">
        <v>113</v>
      </c>
      <c r="D31" s="169"/>
      <c r="E31" s="101" t="s">
        <v>53</v>
      </c>
      <c r="F31" s="119">
        <v>2096059</v>
      </c>
      <c r="G31" s="107">
        <f t="shared" si="10"/>
        <v>0</v>
      </c>
      <c r="H31" s="107">
        <v>1176471</v>
      </c>
      <c r="I31" s="107">
        <f t="shared" si="11"/>
        <v>0</v>
      </c>
      <c r="J31" s="107">
        <v>61358</v>
      </c>
      <c r="K31" s="107">
        <f t="shared" si="12"/>
        <v>0</v>
      </c>
      <c r="L31" s="107">
        <f t="shared" si="13"/>
        <v>3333888</v>
      </c>
      <c r="M31" s="107">
        <f t="shared" si="14"/>
        <v>0</v>
      </c>
      <c r="N31" s="110"/>
    </row>
    <row r="32" spans="1:14" ht="22.5" customHeight="1">
      <c r="A32" s="101" t="s">
        <v>265</v>
      </c>
      <c r="B32" s="56" t="s">
        <v>49</v>
      </c>
      <c r="C32" s="101" t="s">
        <v>51</v>
      </c>
      <c r="D32" s="169"/>
      <c r="E32" s="101" t="s">
        <v>53</v>
      </c>
      <c r="F32" s="119">
        <v>4688285</v>
      </c>
      <c r="G32" s="107">
        <f t="shared" si="10"/>
        <v>0</v>
      </c>
      <c r="H32" s="107">
        <v>1698490</v>
      </c>
      <c r="I32" s="107">
        <f t="shared" si="11"/>
        <v>0</v>
      </c>
      <c r="J32" s="107">
        <v>133030</v>
      </c>
      <c r="K32" s="107">
        <f t="shared" si="12"/>
        <v>0</v>
      </c>
      <c r="L32" s="107">
        <f t="shared" si="13"/>
        <v>6519805</v>
      </c>
      <c r="M32" s="107">
        <f t="shared" si="14"/>
        <v>0</v>
      </c>
      <c r="N32" s="110"/>
    </row>
    <row r="33" spans="1:20" ht="22.5" customHeight="1">
      <c r="A33" s="101" t="s">
        <v>266</v>
      </c>
      <c r="B33" s="56" t="s">
        <v>49</v>
      </c>
      <c r="C33" s="101" t="s">
        <v>52</v>
      </c>
      <c r="D33" s="169"/>
      <c r="E33" s="101" t="s">
        <v>53</v>
      </c>
      <c r="F33" s="119">
        <v>7175084</v>
      </c>
      <c r="G33" s="107">
        <f t="shared" si="10"/>
        <v>0</v>
      </c>
      <c r="H33" s="107">
        <v>2392787</v>
      </c>
      <c r="I33" s="107">
        <f t="shared" si="11"/>
        <v>0</v>
      </c>
      <c r="J33" s="107">
        <v>256626</v>
      </c>
      <c r="K33" s="107">
        <f t="shared" si="12"/>
        <v>0</v>
      </c>
      <c r="L33" s="107">
        <f t="shared" si="13"/>
        <v>9824497</v>
      </c>
      <c r="M33" s="107">
        <f t="shared" si="14"/>
        <v>0</v>
      </c>
      <c r="N33" s="110"/>
    </row>
    <row r="34" spans="1:20" ht="22.5" customHeight="1">
      <c r="A34" s="101" t="s">
        <v>363</v>
      </c>
      <c r="B34" s="56" t="s">
        <v>49</v>
      </c>
      <c r="C34" s="101" t="s">
        <v>141</v>
      </c>
      <c r="D34" s="169"/>
      <c r="E34" s="101" t="s">
        <v>53</v>
      </c>
      <c r="F34" s="119">
        <v>9658163</v>
      </c>
      <c r="G34" s="107">
        <f t="shared" si="10"/>
        <v>0</v>
      </c>
      <c r="H34" s="107">
        <v>2647683</v>
      </c>
      <c r="I34" s="107">
        <f t="shared" si="11"/>
        <v>0</v>
      </c>
      <c r="J34" s="107">
        <v>308857</v>
      </c>
      <c r="K34" s="107">
        <f t="shared" si="12"/>
        <v>0</v>
      </c>
      <c r="L34" s="107">
        <f t="shared" si="13"/>
        <v>12614703</v>
      </c>
      <c r="M34" s="107">
        <f t="shared" si="14"/>
        <v>0</v>
      </c>
      <c r="N34" s="110"/>
    </row>
    <row r="35" spans="1:20" ht="22.5" customHeight="1">
      <c r="A35" s="101" t="s">
        <v>364</v>
      </c>
      <c r="B35" s="56" t="s">
        <v>49</v>
      </c>
      <c r="C35" s="101" t="s">
        <v>22</v>
      </c>
      <c r="D35" s="169"/>
      <c r="E35" s="101" t="s">
        <v>53</v>
      </c>
      <c r="F35" s="119">
        <v>12169198</v>
      </c>
      <c r="G35" s="107">
        <f t="shared" si="10"/>
        <v>0</v>
      </c>
      <c r="H35" s="107">
        <v>2940693</v>
      </c>
      <c r="I35" s="107">
        <f t="shared" si="11"/>
        <v>0</v>
      </c>
      <c r="J35" s="107">
        <v>341364</v>
      </c>
      <c r="K35" s="107">
        <f t="shared" si="12"/>
        <v>0</v>
      </c>
      <c r="L35" s="107">
        <f t="shared" si="13"/>
        <v>15451255</v>
      </c>
      <c r="M35" s="107">
        <f t="shared" si="14"/>
        <v>0</v>
      </c>
      <c r="N35" s="110" t="s">
        <v>10</v>
      </c>
    </row>
    <row r="36" spans="1:20" ht="22.5" customHeight="1">
      <c r="A36" s="101" t="s">
        <v>365</v>
      </c>
      <c r="B36" s="56" t="s">
        <v>49</v>
      </c>
      <c r="C36" s="101" t="s">
        <v>142</v>
      </c>
      <c r="D36" s="169"/>
      <c r="E36" s="101" t="s">
        <v>53</v>
      </c>
      <c r="F36" s="119">
        <v>17976470</v>
      </c>
      <c r="G36" s="107">
        <f>D36*F36</f>
        <v>0</v>
      </c>
      <c r="H36" s="107">
        <v>4065640</v>
      </c>
      <c r="I36" s="107">
        <f>D36*H36</f>
        <v>0</v>
      </c>
      <c r="J36" s="107">
        <v>594821</v>
      </c>
      <c r="K36" s="107">
        <f>D36*J36</f>
        <v>0</v>
      </c>
      <c r="L36" s="107">
        <f t="shared" si="13"/>
        <v>22636931</v>
      </c>
      <c r="M36" s="107">
        <f>D36*L36</f>
        <v>0</v>
      </c>
      <c r="N36" s="110" t="s">
        <v>10</v>
      </c>
    </row>
    <row r="37" spans="1:20" ht="22.5" customHeight="1">
      <c r="A37" s="101" t="s">
        <v>366</v>
      </c>
      <c r="B37" s="56" t="s">
        <v>49</v>
      </c>
      <c r="C37" s="101" t="s">
        <v>33</v>
      </c>
      <c r="D37" s="169"/>
      <c r="E37" s="101" t="s">
        <v>53</v>
      </c>
      <c r="F37" s="119">
        <v>18408234</v>
      </c>
      <c r="G37" s="107">
        <f t="shared" si="10"/>
        <v>0</v>
      </c>
      <c r="H37" s="119">
        <v>4803583</v>
      </c>
      <c r="I37" s="107">
        <f t="shared" si="11"/>
        <v>0</v>
      </c>
      <c r="J37" s="119">
        <v>664149</v>
      </c>
      <c r="K37" s="107">
        <f t="shared" si="12"/>
        <v>0</v>
      </c>
      <c r="L37" s="107">
        <f t="shared" si="13"/>
        <v>23875966</v>
      </c>
      <c r="M37" s="107">
        <f t="shared" si="14"/>
        <v>0</v>
      </c>
      <c r="N37" s="110" t="s">
        <v>10</v>
      </c>
    </row>
    <row r="38" spans="1:20" ht="22.5" customHeight="1">
      <c r="A38" s="101" t="s">
        <v>367</v>
      </c>
      <c r="B38" s="56" t="s">
        <v>49</v>
      </c>
      <c r="C38" s="101" t="s">
        <v>31</v>
      </c>
      <c r="D38" s="118"/>
      <c r="E38" s="101" t="s">
        <v>53</v>
      </c>
      <c r="F38" s="119">
        <v>24638400</v>
      </c>
      <c r="G38" s="107">
        <f t="shared" si="10"/>
        <v>0</v>
      </c>
      <c r="H38" s="119">
        <v>6942629</v>
      </c>
      <c r="I38" s="107">
        <f t="shared" si="11"/>
        <v>0</v>
      </c>
      <c r="J38" s="119">
        <v>1047465</v>
      </c>
      <c r="K38" s="107">
        <f t="shared" si="12"/>
        <v>0</v>
      </c>
      <c r="L38" s="107">
        <f t="shared" si="13"/>
        <v>32628494</v>
      </c>
      <c r="M38" s="107">
        <f t="shared" si="14"/>
        <v>0</v>
      </c>
      <c r="N38" s="110"/>
    </row>
    <row r="39" spans="1:20" ht="22.5" customHeight="1">
      <c r="A39" s="101" t="s">
        <v>271</v>
      </c>
      <c r="B39" s="56" t="s">
        <v>49</v>
      </c>
      <c r="C39" s="101" t="s">
        <v>143</v>
      </c>
      <c r="D39" s="118"/>
      <c r="E39" s="101" t="s">
        <v>53</v>
      </c>
      <c r="F39" s="119">
        <v>25877998</v>
      </c>
      <c r="G39" s="107">
        <f t="shared" si="10"/>
        <v>0</v>
      </c>
      <c r="H39" s="119">
        <v>7691243</v>
      </c>
      <c r="I39" s="107">
        <f t="shared" si="11"/>
        <v>0</v>
      </c>
      <c r="J39" s="119">
        <v>1733663</v>
      </c>
      <c r="K39" s="107">
        <f t="shared" si="12"/>
        <v>0</v>
      </c>
      <c r="L39" s="107">
        <f t="shared" si="13"/>
        <v>35302904</v>
      </c>
      <c r="M39" s="107">
        <f t="shared" si="14"/>
        <v>0</v>
      </c>
      <c r="N39" s="110"/>
    </row>
    <row r="40" spans="1:20" ht="22.5" customHeight="1">
      <c r="A40" s="101" t="s">
        <v>275</v>
      </c>
      <c r="B40" s="56" t="s">
        <v>49</v>
      </c>
      <c r="C40" s="101" t="s">
        <v>24</v>
      </c>
      <c r="D40" s="169"/>
      <c r="E40" s="101" t="s">
        <v>53</v>
      </c>
      <c r="F40" s="119">
        <v>32881624</v>
      </c>
      <c r="G40" s="107">
        <f t="shared" si="10"/>
        <v>0</v>
      </c>
      <c r="H40" s="119">
        <v>9231123</v>
      </c>
      <c r="I40" s="107">
        <f t="shared" si="11"/>
        <v>0</v>
      </c>
      <c r="J40" s="119">
        <v>1981912</v>
      </c>
      <c r="K40" s="107">
        <f t="shared" si="12"/>
        <v>0</v>
      </c>
      <c r="L40" s="107">
        <f t="shared" si="13"/>
        <v>44094659</v>
      </c>
      <c r="M40" s="107">
        <f t="shared" si="14"/>
        <v>0</v>
      </c>
      <c r="N40" s="110"/>
    </row>
    <row r="41" spans="1:20" ht="22.5" customHeight="1">
      <c r="A41" s="101" t="s">
        <v>278</v>
      </c>
      <c r="B41" s="56" t="s">
        <v>49</v>
      </c>
      <c r="C41" s="101" t="s">
        <v>28</v>
      </c>
      <c r="D41" s="169"/>
      <c r="E41" s="101" t="s">
        <v>53</v>
      </c>
      <c r="F41" s="119">
        <v>44317123</v>
      </c>
      <c r="G41" s="107">
        <f t="shared" si="10"/>
        <v>0</v>
      </c>
      <c r="H41" s="119">
        <v>11562746</v>
      </c>
      <c r="I41" s="107">
        <f t="shared" si="11"/>
        <v>0</v>
      </c>
      <c r="J41" s="119">
        <v>4659138</v>
      </c>
      <c r="K41" s="107">
        <f t="shared" si="12"/>
        <v>0</v>
      </c>
      <c r="L41" s="107">
        <f t="shared" si="13"/>
        <v>60539007</v>
      </c>
      <c r="M41" s="107">
        <f t="shared" si="14"/>
        <v>0</v>
      </c>
      <c r="N41" s="110"/>
    </row>
    <row r="42" spans="1:20" ht="22.5" customHeight="1">
      <c r="A42" s="101" t="s">
        <v>368</v>
      </c>
      <c r="B42" s="56" t="s">
        <v>49</v>
      </c>
      <c r="C42" s="101" t="s">
        <v>27</v>
      </c>
      <c r="D42" s="118"/>
      <c r="E42" s="101" t="s">
        <v>53</v>
      </c>
      <c r="F42" s="119">
        <v>47002938</v>
      </c>
      <c r="G42" s="107">
        <f t="shared" si="10"/>
        <v>0</v>
      </c>
      <c r="H42" s="119">
        <v>12161036</v>
      </c>
      <c r="I42" s="107">
        <f t="shared" si="11"/>
        <v>0</v>
      </c>
      <c r="J42" s="119">
        <v>4931649</v>
      </c>
      <c r="K42" s="107">
        <f t="shared" si="12"/>
        <v>0</v>
      </c>
      <c r="L42" s="107">
        <f t="shared" si="13"/>
        <v>64095623</v>
      </c>
      <c r="M42" s="107">
        <f t="shared" si="14"/>
        <v>0</v>
      </c>
      <c r="N42" s="110"/>
    </row>
    <row r="43" spans="1:20" ht="22.5" customHeight="1">
      <c r="A43" s="101" t="s">
        <v>369</v>
      </c>
      <c r="B43" s="56" t="s">
        <v>49</v>
      </c>
      <c r="C43" s="101" t="s">
        <v>25</v>
      </c>
      <c r="D43" s="118">
        <v>0</v>
      </c>
      <c r="E43" s="101" t="s">
        <v>53</v>
      </c>
      <c r="F43" s="119">
        <v>56158837</v>
      </c>
      <c r="G43" s="107">
        <f t="shared" si="10"/>
        <v>0</v>
      </c>
      <c r="H43" s="119">
        <v>12875632</v>
      </c>
      <c r="I43" s="107">
        <f t="shared" si="11"/>
        <v>0</v>
      </c>
      <c r="J43" s="119">
        <v>5363775</v>
      </c>
      <c r="K43" s="107">
        <f t="shared" si="12"/>
        <v>0</v>
      </c>
      <c r="L43" s="107">
        <f t="shared" si="13"/>
        <v>74398244</v>
      </c>
      <c r="M43" s="107">
        <f t="shared" si="14"/>
        <v>0</v>
      </c>
      <c r="N43" s="110"/>
    </row>
    <row r="44" spans="1:20" ht="22.5" customHeight="1">
      <c r="A44" s="101"/>
      <c r="B44" s="56" t="s">
        <v>116</v>
      </c>
      <c r="C44" s="101"/>
      <c r="D44" s="169">
        <f>SUM(D30:D43)</f>
        <v>0</v>
      </c>
      <c r="E44" s="101"/>
      <c r="F44" s="119"/>
      <c r="G44" s="107">
        <f>SUM(G30:G43)</f>
        <v>0</v>
      </c>
      <c r="H44" s="107"/>
      <c r="I44" s="107">
        <f>SUM(I30:I43)</f>
        <v>0</v>
      </c>
      <c r="J44" s="107"/>
      <c r="K44" s="107">
        <f>SUM(K30:K43)</f>
        <v>0</v>
      </c>
      <c r="L44" s="107"/>
      <c r="M44" s="107">
        <f>SUM(M30:M43)</f>
        <v>0</v>
      </c>
      <c r="N44" s="110"/>
    </row>
    <row r="45" spans="1:20" ht="22.5" customHeight="1">
      <c r="A45" s="102" t="s">
        <v>131</v>
      </c>
      <c r="B45" s="102" t="s">
        <v>133</v>
      </c>
      <c r="C45" s="103" t="s">
        <v>10</v>
      </c>
      <c r="D45" s="104">
        <v>0</v>
      </c>
      <c r="E45" s="105" t="s">
        <v>10</v>
      </c>
      <c r="F45" s="111"/>
      <c r="G45" s="111"/>
      <c r="H45" s="111"/>
      <c r="I45" s="111" t="s">
        <v>10</v>
      </c>
      <c r="J45" s="111" t="s">
        <v>10</v>
      </c>
      <c r="K45" s="111" t="s">
        <v>10</v>
      </c>
      <c r="L45" s="111" t="s">
        <v>10</v>
      </c>
      <c r="M45" s="111" t="s">
        <v>10</v>
      </c>
      <c r="N45" s="112" t="s">
        <v>10</v>
      </c>
    </row>
    <row r="46" spans="1:20" ht="22.5" customHeight="1">
      <c r="A46" s="101" t="s">
        <v>370</v>
      </c>
      <c r="B46" s="56" t="s">
        <v>132</v>
      </c>
      <c r="C46" s="101" t="s">
        <v>138</v>
      </c>
      <c r="D46" s="118">
        <v>0</v>
      </c>
      <c r="E46" s="101" t="s">
        <v>130</v>
      </c>
      <c r="F46" s="119">
        <v>26432884</v>
      </c>
      <c r="G46" s="107">
        <f t="shared" ref="G46:G50" si="15">D46*F46</f>
        <v>0</v>
      </c>
      <c r="H46" s="119">
        <v>1649432</v>
      </c>
      <c r="I46" s="107">
        <f t="shared" ref="I46:I50" si="16">D46*H46</f>
        <v>0</v>
      </c>
      <c r="J46" s="119">
        <v>419928</v>
      </c>
      <c r="K46" s="107">
        <f t="shared" ref="K46:K50" si="17">D46*J46</f>
        <v>0</v>
      </c>
      <c r="L46" s="107">
        <f t="shared" ref="L46:L50" si="18">F46+H46+J46</f>
        <v>28502244</v>
      </c>
      <c r="M46" s="107">
        <f t="shared" ref="M46:M50" si="19">D46*L46</f>
        <v>0</v>
      </c>
      <c r="N46" s="110"/>
    </row>
    <row r="47" spans="1:20" ht="22.5" customHeight="1">
      <c r="A47" s="101" t="s">
        <v>285</v>
      </c>
      <c r="B47" s="56" t="s">
        <v>132</v>
      </c>
      <c r="C47" s="101" t="s">
        <v>134</v>
      </c>
      <c r="D47" s="118">
        <v>0</v>
      </c>
      <c r="E47" s="101" t="s">
        <v>130</v>
      </c>
      <c r="F47" s="119">
        <v>58301697</v>
      </c>
      <c r="G47" s="107">
        <f t="shared" si="15"/>
        <v>0</v>
      </c>
      <c r="H47" s="119">
        <v>5130868</v>
      </c>
      <c r="I47" s="107">
        <f t="shared" si="16"/>
        <v>0</v>
      </c>
      <c r="J47" s="119">
        <v>2543989</v>
      </c>
      <c r="K47" s="107">
        <f t="shared" si="17"/>
        <v>0</v>
      </c>
      <c r="L47" s="107">
        <f t="shared" si="18"/>
        <v>65976554</v>
      </c>
      <c r="M47" s="107">
        <f t="shared" si="19"/>
        <v>0</v>
      </c>
      <c r="N47" s="110"/>
      <c r="P47" s="171"/>
      <c r="T47" s="171"/>
    </row>
    <row r="48" spans="1:20" ht="22.5" customHeight="1">
      <c r="A48" s="101" t="s">
        <v>371</v>
      </c>
      <c r="B48" s="56" t="s">
        <v>132</v>
      </c>
      <c r="C48" s="101" t="s">
        <v>119</v>
      </c>
      <c r="D48" s="118">
        <v>0</v>
      </c>
      <c r="E48" s="101" t="s">
        <v>130</v>
      </c>
      <c r="F48" s="119">
        <v>67170931</v>
      </c>
      <c r="G48" s="107">
        <f t="shared" si="15"/>
        <v>0</v>
      </c>
      <c r="H48" s="119">
        <v>5926788</v>
      </c>
      <c r="I48" s="107">
        <f t="shared" si="16"/>
        <v>0</v>
      </c>
      <c r="J48" s="119">
        <v>5128336</v>
      </c>
      <c r="K48" s="107">
        <f t="shared" si="17"/>
        <v>0</v>
      </c>
      <c r="L48" s="107">
        <f t="shared" si="18"/>
        <v>78226055</v>
      </c>
      <c r="M48" s="107">
        <f t="shared" si="19"/>
        <v>0</v>
      </c>
      <c r="N48" s="110"/>
      <c r="P48" s="171"/>
      <c r="T48" s="171"/>
    </row>
    <row r="49" spans="1:20" ht="22.5" customHeight="1">
      <c r="A49" s="101" t="s">
        <v>372</v>
      </c>
      <c r="B49" s="56" t="s">
        <v>132</v>
      </c>
      <c r="C49" s="101" t="s">
        <v>135</v>
      </c>
      <c r="D49" s="118"/>
      <c r="E49" s="101" t="s">
        <v>130</v>
      </c>
      <c r="F49" s="119">
        <v>91562155</v>
      </c>
      <c r="G49" s="107">
        <f>D49*F49</f>
        <v>0</v>
      </c>
      <c r="H49" s="119">
        <v>6754833</v>
      </c>
      <c r="I49" s="107">
        <f>D49*H49</f>
        <v>0</v>
      </c>
      <c r="J49" s="119">
        <v>6416064</v>
      </c>
      <c r="K49" s="107">
        <f>D49*J49</f>
        <v>0</v>
      </c>
      <c r="L49" s="107">
        <f t="shared" si="18"/>
        <v>104733052</v>
      </c>
      <c r="M49" s="107">
        <f>D49*L49</f>
        <v>0</v>
      </c>
      <c r="N49" s="110"/>
      <c r="P49" s="171"/>
      <c r="T49" s="171"/>
    </row>
    <row r="50" spans="1:20" ht="22.5" customHeight="1">
      <c r="A50" s="101" t="s">
        <v>373</v>
      </c>
      <c r="B50" s="56" t="s">
        <v>132</v>
      </c>
      <c r="C50" s="101" t="s">
        <v>136</v>
      </c>
      <c r="D50" s="118">
        <v>0</v>
      </c>
      <c r="E50" s="101" t="s">
        <v>130</v>
      </c>
      <c r="F50" s="119">
        <v>101618610</v>
      </c>
      <c r="G50" s="107">
        <f t="shared" si="15"/>
        <v>0</v>
      </c>
      <c r="H50" s="119">
        <v>7151107</v>
      </c>
      <c r="I50" s="107">
        <f t="shared" si="16"/>
        <v>0</v>
      </c>
      <c r="J50" s="119">
        <v>7086024</v>
      </c>
      <c r="K50" s="107">
        <f t="shared" si="17"/>
        <v>0</v>
      </c>
      <c r="L50" s="107">
        <f t="shared" si="18"/>
        <v>115855741</v>
      </c>
      <c r="M50" s="107">
        <f t="shared" si="19"/>
        <v>0</v>
      </c>
      <c r="N50" s="110"/>
      <c r="P50" s="171"/>
      <c r="T50" s="171"/>
    </row>
    <row r="51" spans="1:20" ht="22.5" customHeight="1">
      <c r="A51" s="101"/>
      <c r="B51" s="56" t="s">
        <v>116</v>
      </c>
      <c r="C51" s="101"/>
      <c r="D51" s="169">
        <f>SUM(D46:D50)</f>
        <v>0</v>
      </c>
      <c r="E51" s="101"/>
      <c r="F51" s="119"/>
      <c r="G51" s="107">
        <f>SUM(G46:G50)</f>
        <v>0</v>
      </c>
      <c r="H51" s="107"/>
      <c r="I51" s="107">
        <f>SUM(I46:I50)</f>
        <v>0</v>
      </c>
      <c r="J51" s="107"/>
      <c r="K51" s="107">
        <f>SUM(K46:K50)</f>
        <v>0</v>
      </c>
      <c r="L51" s="107"/>
      <c r="M51" s="107">
        <f>SUM(M46:M50)</f>
        <v>0</v>
      </c>
      <c r="N51" s="110"/>
    </row>
    <row r="52" spans="1:20" ht="22.5" customHeight="1">
      <c r="A52" s="102" t="s">
        <v>137</v>
      </c>
      <c r="B52" s="102" t="s">
        <v>140</v>
      </c>
      <c r="C52" s="103" t="s">
        <v>10</v>
      </c>
      <c r="D52" s="104">
        <v>0</v>
      </c>
      <c r="E52" s="105" t="s">
        <v>10</v>
      </c>
      <c r="F52" s="111"/>
      <c r="G52" s="111" t="s">
        <v>10</v>
      </c>
      <c r="H52" s="111"/>
      <c r="I52" s="111" t="s">
        <v>10</v>
      </c>
      <c r="J52" s="111" t="s">
        <v>10</v>
      </c>
      <c r="K52" s="111" t="s">
        <v>10</v>
      </c>
      <c r="L52" s="111" t="s">
        <v>10</v>
      </c>
      <c r="M52" s="111" t="s">
        <v>10</v>
      </c>
      <c r="N52" s="112" t="s">
        <v>10</v>
      </c>
    </row>
    <row r="53" spans="1:20" ht="22.5" customHeight="1">
      <c r="A53" s="101" t="s">
        <v>374</v>
      </c>
      <c r="B53" s="56" t="s">
        <v>132</v>
      </c>
      <c r="C53" s="101" t="s">
        <v>136</v>
      </c>
      <c r="D53" s="118">
        <v>0</v>
      </c>
      <c r="E53" s="101" t="s">
        <v>130</v>
      </c>
      <c r="F53" s="119">
        <v>101618610</v>
      </c>
      <c r="G53" s="107">
        <v>0</v>
      </c>
      <c r="H53" s="119">
        <v>12875632</v>
      </c>
      <c r="I53" s="107">
        <f t="shared" ref="I53" si="20">D53*H53</f>
        <v>0</v>
      </c>
      <c r="J53" s="107">
        <v>7086025</v>
      </c>
      <c r="K53" s="107">
        <f t="shared" ref="K53" si="21">D53*J53</f>
        <v>0</v>
      </c>
      <c r="L53" s="107">
        <f t="shared" ref="L53" si="22">F53+H53+J53</f>
        <v>121580267</v>
      </c>
      <c r="M53" s="107">
        <f t="shared" ref="M53" si="23">D53*L53</f>
        <v>0</v>
      </c>
      <c r="N53" s="110"/>
    </row>
    <row r="54" spans="1:20" ht="22.5" customHeight="1">
      <c r="A54" s="101"/>
      <c r="B54" s="56" t="s">
        <v>116</v>
      </c>
      <c r="C54" s="101"/>
      <c r="D54" s="169">
        <f>SUM(D53)</f>
        <v>0</v>
      </c>
      <c r="E54" s="101"/>
      <c r="F54" s="119"/>
      <c r="G54" s="107">
        <f>SUM(G53)</f>
        <v>0</v>
      </c>
      <c r="H54" s="107"/>
      <c r="I54" s="107">
        <f>SUM(I53)</f>
        <v>0</v>
      </c>
      <c r="J54" s="107"/>
      <c r="K54" s="107">
        <f>SUM(K53)</f>
        <v>0</v>
      </c>
      <c r="L54" s="107"/>
      <c r="M54" s="107">
        <f>SUM(M53)</f>
        <v>0</v>
      </c>
      <c r="N54" s="110"/>
    </row>
    <row r="55" spans="1:20" ht="22.5" customHeight="1">
      <c r="A55" s="102" t="s">
        <v>139</v>
      </c>
      <c r="B55" s="102" t="s">
        <v>120</v>
      </c>
      <c r="C55" s="103" t="s">
        <v>10</v>
      </c>
      <c r="D55" s="104">
        <v>0</v>
      </c>
      <c r="E55" s="105" t="s">
        <v>10</v>
      </c>
      <c r="F55" s="111"/>
      <c r="G55" s="111" t="s">
        <v>10</v>
      </c>
      <c r="H55" s="111"/>
      <c r="I55" s="111" t="s">
        <v>10</v>
      </c>
      <c r="J55" s="111" t="s">
        <v>10</v>
      </c>
      <c r="K55" s="111" t="s">
        <v>10</v>
      </c>
      <c r="L55" s="111" t="s">
        <v>10</v>
      </c>
      <c r="M55" s="111" t="s">
        <v>10</v>
      </c>
      <c r="N55" s="112" t="s">
        <v>10</v>
      </c>
    </row>
    <row r="56" spans="1:20" ht="22.5" customHeight="1">
      <c r="A56" s="101" t="s">
        <v>393</v>
      </c>
      <c r="B56" s="56" t="s">
        <v>21</v>
      </c>
      <c r="C56" s="101" t="s">
        <v>121</v>
      </c>
      <c r="D56" s="169"/>
      <c r="E56" s="101" t="s">
        <v>125</v>
      </c>
      <c r="F56" s="107">
        <v>0</v>
      </c>
      <c r="G56" s="107">
        <f t="shared" ref="G56:G59" si="24">D56*F56</f>
        <v>0</v>
      </c>
      <c r="H56" s="107">
        <v>37560</v>
      </c>
      <c r="I56" s="107">
        <f t="shared" ref="I56:I59" si="25">D56*H56</f>
        <v>0</v>
      </c>
      <c r="J56" s="107">
        <v>0</v>
      </c>
      <c r="K56" s="107">
        <f t="shared" ref="K56:K59" si="26">D56*J56</f>
        <v>0</v>
      </c>
      <c r="L56" s="107">
        <f t="shared" ref="L56:L59" si="27">F56+H56+J56</f>
        <v>37560</v>
      </c>
      <c r="M56" s="107">
        <f t="shared" ref="M56:M59" si="28">D56*L56</f>
        <v>0</v>
      </c>
      <c r="N56" s="110"/>
    </row>
    <row r="57" spans="1:20" ht="22.5" customHeight="1">
      <c r="A57" s="101" t="s">
        <v>376</v>
      </c>
      <c r="B57" s="56" t="s">
        <v>123</v>
      </c>
      <c r="C57" s="101" t="s">
        <v>121</v>
      </c>
      <c r="D57" s="169"/>
      <c r="E57" s="101" t="s">
        <v>125</v>
      </c>
      <c r="F57" s="107">
        <v>12998</v>
      </c>
      <c r="G57" s="107">
        <f t="shared" si="24"/>
        <v>0</v>
      </c>
      <c r="H57" s="107">
        <v>35841</v>
      </c>
      <c r="I57" s="107">
        <f t="shared" si="25"/>
        <v>0</v>
      </c>
      <c r="J57" s="107">
        <v>3899</v>
      </c>
      <c r="K57" s="107">
        <f t="shared" si="26"/>
        <v>0</v>
      </c>
      <c r="L57" s="107">
        <f t="shared" si="27"/>
        <v>52738</v>
      </c>
      <c r="M57" s="107">
        <f t="shared" si="28"/>
        <v>0</v>
      </c>
      <c r="N57" s="110"/>
    </row>
    <row r="58" spans="1:20" ht="22.5" customHeight="1">
      <c r="A58" s="101" t="s">
        <v>377</v>
      </c>
      <c r="B58" s="56" t="s">
        <v>124</v>
      </c>
      <c r="C58" s="101" t="s">
        <v>121</v>
      </c>
      <c r="D58" s="169"/>
      <c r="E58" s="101" t="s">
        <v>125</v>
      </c>
      <c r="F58" s="119">
        <v>0</v>
      </c>
      <c r="G58" s="107">
        <f t="shared" si="24"/>
        <v>0</v>
      </c>
      <c r="H58" s="107">
        <v>0</v>
      </c>
      <c r="I58" s="107">
        <f t="shared" si="25"/>
        <v>0</v>
      </c>
      <c r="J58" s="107">
        <v>98</v>
      </c>
      <c r="K58" s="107">
        <f t="shared" si="26"/>
        <v>0</v>
      </c>
      <c r="L58" s="107">
        <f t="shared" si="27"/>
        <v>98</v>
      </c>
      <c r="M58" s="107">
        <f t="shared" si="28"/>
        <v>0</v>
      </c>
      <c r="N58" s="110" t="s">
        <v>10</v>
      </c>
    </row>
    <row r="59" spans="1:20" ht="22.5" customHeight="1">
      <c r="A59" s="101" t="s">
        <v>378</v>
      </c>
      <c r="B59" s="56" t="s">
        <v>122</v>
      </c>
      <c r="C59" s="101" t="s">
        <v>121</v>
      </c>
      <c r="D59" s="169"/>
      <c r="E59" s="101" t="s">
        <v>125</v>
      </c>
      <c r="F59" s="119">
        <v>10216</v>
      </c>
      <c r="G59" s="107">
        <f t="shared" si="24"/>
        <v>0</v>
      </c>
      <c r="H59" s="107">
        <v>58179</v>
      </c>
      <c r="I59" s="107">
        <f t="shared" si="25"/>
        <v>0</v>
      </c>
      <c r="J59" s="107">
        <v>49420</v>
      </c>
      <c r="K59" s="107">
        <f t="shared" si="26"/>
        <v>0</v>
      </c>
      <c r="L59" s="107">
        <f t="shared" si="27"/>
        <v>117815</v>
      </c>
      <c r="M59" s="107">
        <f t="shared" si="28"/>
        <v>0</v>
      </c>
      <c r="N59" s="110" t="s">
        <v>10</v>
      </c>
    </row>
    <row r="60" spans="1:20" ht="22.5" customHeight="1">
      <c r="A60" s="101"/>
      <c r="B60" s="56" t="s">
        <v>116</v>
      </c>
      <c r="C60" s="101"/>
      <c r="D60" s="169">
        <f>SUM(D56:D59)</f>
        <v>0</v>
      </c>
      <c r="E60" s="101"/>
      <c r="F60" s="119"/>
      <c r="G60" s="119">
        <f>SUM(G56:G59)</f>
        <v>0</v>
      </c>
      <c r="H60" s="119"/>
      <c r="I60" s="119">
        <f>SUM(I56:I59)</f>
        <v>0</v>
      </c>
      <c r="J60" s="119"/>
      <c r="K60" s="119">
        <f>SUM(K56:K59)</f>
        <v>0</v>
      </c>
      <c r="L60" s="119"/>
      <c r="M60" s="119">
        <f>SUM(M56:M59)</f>
        <v>0</v>
      </c>
      <c r="N60" s="110"/>
    </row>
    <row r="61" spans="1:20" ht="22.5" customHeight="1">
      <c r="A61" s="106" t="s">
        <v>45</v>
      </c>
      <c r="B61" s="106" t="s">
        <v>10</v>
      </c>
      <c r="C61" s="106" t="s">
        <v>10</v>
      </c>
      <c r="D61" s="108">
        <v>0</v>
      </c>
      <c r="E61" s="109" t="s">
        <v>10</v>
      </c>
      <c r="F61" s="113">
        <v>0</v>
      </c>
      <c r="G61" s="113">
        <f>G28+G44+G51+G60</f>
        <v>18753140</v>
      </c>
      <c r="H61" s="113">
        <v>0</v>
      </c>
      <c r="I61" s="113">
        <f>I28+I44+I51+I60</f>
        <v>3755344</v>
      </c>
      <c r="J61" s="113">
        <v>0</v>
      </c>
      <c r="K61" s="113">
        <f>K28+K44+K51+K60</f>
        <v>532124</v>
      </c>
      <c r="L61" s="113">
        <v>0</v>
      </c>
      <c r="M61" s="113">
        <f>M28+M44+M51+M60</f>
        <v>23040608</v>
      </c>
      <c r="N61" s="114" t="s">
        <v>10</v>
      </c>
    </row>
    <row r="62" spans="1:20">
      <c r="D62" s="295">
        <f>SUM(D28,D44,D51,D54)</f>
        <v>4</v>
      </c>
    </row>
  </sheetData>
  <autoFilter ref="A4:N61"/>
  <mergeCells count="2">
    <mergeCell ref="A1:N1"/>
    <mergeCell ref="M2:N2"/>
  </mergeCells>
  <phoneticPr fontId="14" type="noConversion"/>
  <printOptions horizontalCentered="1"/>
  <pageMargins left="0.51181102362204722" right="0.51181102362204722" top="0.82677165354330717" bottom="0.86614173228346458" header="0.51181102362204722" footer="0.59055118110236227"/>
  <pageSetup paperSize="9" scale="63" fitToHeight="0" orientation="landscape" horizontalDpi="360" verticalDpi="36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CC"/>
  </sheetPr>
  <dimension ref="A1:N12"/>
  <sheetViews>
    <sheetView view="pageBreakPreview" zoomScale="85" zoomScaleNormal="100" zoomScaleSheetLayoutView="85" workbookViewId="0">
      <selection activeCell="H19" sqref="H19"/>
    </sheetView>
  </sheetViews>
  <sheetFormatPr defaultRowHeight="16.5"/>
  <cols>
    <col min="1" max="1" width="10.125" style="268" customWidth="1"/>
    <col min="2" max="2" width="10.625" style="268" customWidth="1"/>
    <col min="3" max="3" width="8.25" style="268" customWidth="1"/>
    <col min="4" max="4" width="22" style="268" customWidth="1"/>
    <col min="5" max="5" width="10.625" style="268" customWidth="1"/>
    <col min="6" max="7" width="11.5" style="268" customWidth="1"/>
    <col min="8" max="8" width="55.5" style="268" customWidth="1"/>
    <col min="9" max="9" width="18" style="268" bestFit="1" customWidth="1"/>
    <col min="10" max="16384" width="9" style="268"/>
  </cols>
  <sheetData>
    <row r="1" spans="1:14" s="260" customFormat="1" ht="35.1" customHeight="1">
      <c r="A1" s="359" t="s">
        <v>413</v>
      </c>
      <c r="B1" s="360"/>
      <c r="C1" s="360"/>
      <c r="D1" s="360"/>
      <c r="E1" s="360"/>
      <c r="F1" s="360"/>
      <c r="G1" s="360"/>
      <c r="H1" s="360"/>
      <c r="I1" s="361"/>
      <c r="J1" s="259"/>
      <c r="K1" s="259"/>
      <c r="L1" s="259"/>
      <c r="M1" s="259"/>
      <c r="N1" s="259"/>
    </row>
    <row r="2" spans="1:14" s="263" customFormat="1" ht="19.5" customHeight="1">
      <c r="A2" s="362" t="s">
        <v>289</v>
      </c>
      <c r="B2" s="363"/>
      <c r="C2" s="363"/>
      <c r="D2" s="363"/>
      <c r="E2" s="363"/>
      <c r="F2" s="261"/>
      <c r="G2" s="261"/>
      <c r="H2" s="261"/>
      <c r="I2" s="262" t="s">
        <v>397</v>
      </c>
      <c r="J2" s="261"/>
      <c r="K2" s="261"/>
      <c r="L2" s="261"/>
    </row>
    <row r="3" spans="1:14" ht="28.5" customHeight="1">
      <c r="A3" s="264" t="s">
        <v>330</v>
      </c>
      <c r="B3" s="265" t="s">
        <v>331</v>
      </c>
      <c r="C3" s="265" t="s">
        <v>332</v>
      </c>
      <c r="D3" s="265" t="s">
        <v>333</v>
      </c>
      <c r="E3" s="265" t="s">
        <v>334</v>
      </c>
      <c r="F3" s="266" t="s">
        <v>335</v>
      </c>
      <c r="G3" s="266" t="s">
        <v>336</v>
      </c>
      <c r="H3" s="266" t="s">
        <v>337</v>
      </c>
      <c r="I3" s="267" t="s">
        <v>338</v>
      </c>
    </row>
    <row r="4" spans="1:14" s="286" customFormat="1" ht="28.5" customHeight="1">
      <c r="A4" s="269" t="s">
        <v>342</v>
      </c>
      <c r="B4" s="266" t="s">
        <v>339</v>
      </c>
      <c r="C4" s="266">
        <v>2025</v>
      </c>
      <c r="D4" s="272" t="s">
        <v>360</v>
      </c>
      <c r="E4" s="273">
        <v>150</v>
      </c>
      <c r="F4" s="266">
        <v>4</v>
      </c>
      <c r="G4" s="266" t="s">
        <v>340</v>
      </c>
      <c r="H4" s="272" t="s">
        <v>361</v>
      </c>
      <c r="I4" s="274"/>
    </row>
    <row r="5" spans="1:14" s="286" customFormat="1" ht="28.5" customHeight="1">
      <c r="A5" s="269"/>
      <c r="B5" s="266"/>
      <c r="C5" s="266"/>
      <c r="D5" s="266"/>
      <c r="E5" s="270"/>
      <c r="F5" s="266"/>
      <c r="G5" s="266"/>
      <c r="H5" s="266"/>
      <c r="I5" s="271"/>
    </row>
    <row r="6" spans="1:14" s="287" customFormat="1" ht="28.5" customHeight="1">
      <c r="A6" s="289"/>
      <c r="B6" s="290"/>
      <c r="C6" s="290"/>
      <c r="D6" s="290"/>
      <c r="E6" s="290"/>
      <c r="F6" s="290"/>
      <c r="G6" s="290"/>
      <c r="H6" s="290"/>
      <c r="I6" s="291"/>
      <c r="J6" s="288"/>
    </row>
    <row r="7" spans="1:14" ht="28.5" customHeight="1">
      <c r="A7" s="289"/>
      <c r="B7" s="290"/>
      <c r="C7" s="290"/>
      <c r="D7" s="290"/>
      <c r="E7" s="290"/>
      <c r="F7" s="290"/>
      <c r="G7" s="290"/>
      <c r="H7" s="290"/>
      <c r="I7" s="291"/>
    </row>
    <row r="8" spans="1:14" ht="28.5" customHeight="1">
      <c r="A8" s="289"/>
      <c r="B8" s="290"/>
      <c r="C8" s="290"/>
      <c r="D8" s="290"/>
      <c r="E8" s="290"/>
      <c r="F8" s="290"/>
      <c r="G8" s="290"/>
      <c r="H8" s="290"/>
      <c r="I8" s="291"/>
    </row>
    <row r="9" spans="1:14" ht="28.5" customHeight="1">
      <c r="A9" s="289"/>
      <c r="B9" s="290"/>
      <c r="C9" s="290"/>
      <c r="D9" s="290"/>
      <c r="E9" s="290"/>
      <c r="F9" s="290"/>
      <c r="G9" s="290"/>
      <c r="H9" s="290"/>
      <c r="I9" s="291"/>
    </row>
    <row r="10" spans="1:14" ht="28.5" customHeight="1">
      <c r="A10" s="275"/>
      <c r="B10" s="276"/>
      <c r="C10" s="272"/>
      <c r="D10" s="272"/>
      <c r="E10" s="273"/>
      <c r="F10" s="272"/>
      <c r="G10" s="272"/>
      <c r="H10" s="272"/>
      <c r="I10" s="274"/>
    </row>
    <row r="11" spans="1:14" ht="28.5" customHeight="1">
      <c r="A11" s="275"/>
      <c r="B11" s="276"/>
      <c r="C11" s="272"/>
      <c r="D11" s="272"/>
      <c r="E11" s="273"/>
      <c r="F11" s="272"/>
      <c r="G11" s="272"/>
      <c r="H11" s="272"/>
      <c r="I11" s="274"/>
    </row>
    <row r="12" spans="1:14" ht="27.75" customHeight="1">
      <c r="F12" s="268">
        <f>SUM(F4:F11)</f>
        <v>4</v>
      </c>
    </row>
  </sheetData>
  <mergeCells count="2">
    <mergeCell ref="A1:I1"/>
    <mergeCell ref="A2:E2"/>
  </mergeCells>
  <phoneticPr fontId="14" type="noConversion"/>
  <pageMargins left="0.7" right="0.7" top="0.75" bottom="0.75" header="0.3" footer="0.3"/>
  <pageSetup paperSize="9" scale="5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FF"/>
  </sheetPr>
  <dimension ref="A1:DN41"/>
  <sheetViews>
    <sheetView view="pageBreakPreview" zoomScale="85" zoomScaleNormal="90" zoomScaleSheetLayoutView="85" workbookViewId="0">
      <pane xSplit="10" ySplit="3" topLeftCell="K4" activePane="bottomRight" state="frozen"/>
      <selection sqref="A1:XFD1"/>
      <selection pane="topRight" sqref="A1:XFD1"/>
      <selection pane="bottomLeft" sqref="A1:XFD1"/>
      <selection pane="bottomRight" activeCell="H17" sqref="H17"/>
    </sheetView>
  </sheetViews>
  <sheetFormatPr defaultRowHeight="34.700000000000003" customHeight="1"/>
  <cols>
    <col min="1" max="1" width="4.625" style="1" customWidth="1"/>
    <col min="2" max="2" width="27.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4.625" style="38" customWidth="1"/>
    <col min="8" max="8" width="10.625" style="40" customWidth="1"/>
    <col min="9" max="9" width="9.875" style="38" customWidth="1"/>
    <col min="10" max="10" width="18.125" style="38" bestFit="1" customWidth="1"/>
    <col min="11" max="11" width="18.125" style="40" bestFit="1" customWidth="1"/>
    <col min="12" max="12" width="18.125" style="40" customWidth="1"/>
    <col min="13" max="13" width="9.625" style="5" customWidth="1"/>
    <col min="14" max="233" width="9" style="1"/>
    <col min="234" max="234" width="4.625" style="1" customWidth="1"/>
    <col min="235" max="235" width="34.625" style="1" customWidth="1"/>
    <col min="236" max="236" width="11.625" style="1" customWidth="1"/>
    <col min="237" max="238" width="6.625" style="1" customWidth="1"/>
    <col min="239" max="239" width="10.625" style="1" customWidth="1"/>
    <col min="240" max="240" width="14.625" style="1" customWidth="1"/>
    <col min="241" max="241" width="10.625" style="1" customWidth="1"/>
    <col min="242" max="242" width="14.625" style="1" customWidth="1"/>
    <col min="243" max="243" width="10.625" style="1" customWidth="1"/>
    <col min="244" max="244" width="14.625" style="1" customWidth="1"/>
    <col min="245" max="245" width="10.625" style="1" customWidth="1"/>
    <col min="246" max="246" width="18.625" style="1" customWidth="1"/>
    <col min="247" max="247" width="9.625" style="1" customWidth="1"/>
    <col min="248" max="248" width="10.5" style="1" customWidth="1"/>
    <col min="249" max="249" width="20.375" style="1" bestFit="1" customWidth="1"/>
    <col min="250" max="250" width="12.5" style="1" customWidth="1"/>
    <col min="251" max="251" width="13.125" style="1" customWidth="1"/>
    <col min="252" max="256" width="9" style="1"/>
    <col min="257" max="257" width="11.25" style="1" bestFit="1" customWidth="1"/>
    <col min="258" max="258" width="11.625" style="1" bestFit="1" customWidth="1"/>
    <col min="259" max="489" width="9" style="1"/>
    <col min="490" max="490" width="4.625" style="1" customWidth="1"/>
    <col min="491" max="491" width="34.625" style="1" customWidth="1"/>
    <col min="492" max="492" width="11.625" style="1" customWidth="1"/>
    <col min="493" max="494" width="6.625" style="1" customWidth="1"/>
    <col min="495" max="495" width="10.625" style="1" customWidth="1"/>
    <col min="496" max="496" width="14.625" style="1" customWidth="1"/>
    <col min="497" max="497" width="10.625" style="1" customWidth="1"/>
    <col min="498" max="498" width="14.625" style="1" customWidth="1"/>
    <col min="499" max="499" width="10.625" style="1" customWidth="1"/>
    <col min="500" max="500" width="14.625" style="1" customWidth="1"/>
    <col min="501" max="501" width="10.625" style="1" customWidth="1"/>
    <col min="502" max="502" width="18.625" style="1" customWidth="1"/>
    <col min="503" max="503" width="9.625" style="1" customWidth="1"/>
    <col min="504" max="504" width="10.5" style="1" customWidth="1"/>
    <col min="505" max="505" width="20.375" style="1" bestFit="1" customWidth="1"/>
    <col min="506" max="506" width="12.5" style="1" customWidth="1"/>
    <col min="507" max="507" width="13.125" style="1" customWidth="1"/>
    <col min="508" max="512" width="9" style="1"/>
    <col min="513" max="513" width="11.25" style="1" bestFit="1" customWidth="1"/>
    <col min="514" max="514" width="11.625" style="1" bestFit="1" customWidth="1"/>
    <col min="515" max="745" width="9" style="1"/>
    <col min="746" max="746" width="4.625" style="1" customWidth="1"/>
    <col min="747" max="747" width="34.625" style="1" customWidth="1"/>
    <col min="748" max="748" width="11.625" style="1" customWidth="1"/>
    <col min="749" max="750" width="6.625" style="1" customWidth="1"/>
    <col min="751" max="751" width="10.625" style="1" customWidth="1"/>
    <col min="752" max="752" width="14.625" style="1" customWidth="1"/>
    <col min="753" max="753" width="10.625" style="1" customWidth="1"/>
    <col min="754" max="754" width="14.625" style="1" customWidth="1"/>
    <col min="755" max="755" width="10.625" style="1" customWidth="1"/>
    <col min="756" max="756" width="14.625" style="1" customWidth="1"/>
    <col min="757" max="757" width="10.625" style="1" customWidth="1"/>
    <col min="758" max="758" width="18.625" style="1" customWidth="1"/>
    <col min="759" max="759" width="9.625" style="1" customWidth="1"/>
    <col min="760" max="760" width="10.5" style="1" customWidth="1"/>
    <col min="761" max="761" width="20.375" style="1" bestFit="1" customWidth="1"/>
    <col min="762" max="762" width="12.5" style="1" customWidth="1"/>
    <col min="763" max="763" width="13.125" style="1" customWidth="1"/>
    <col min="764" max="768" width="9" style="1"/>
    <col min="769" max="769" width="11.25" style="1" bestFit="1" customWidth="1"/>
    <col min="770" max="770" width="11.625" style="1" bestFit="1" customWidth="1"/>
    <col min="771" max="1001" width="9" style="1"/>
    <col min="1002" max="1002" width="4.625" style="1" customWidth="1"/>
    <col min="1003" max="1003" width="34.625" style="1" customWidth="1"/>
    <col min="1004" max="1004" width="11.625" style="1" customWidth="1"/>
    <col min="1005" max="1006" width="6.625" style="1" customWidth="1"/>
    <col min="1007" max="1007" width="10.625" style="1" customWidth="1"/>
    <col min="1008" max="1008" width="14.625" style="1" customWidth="1"/>
    <col min="1009" max="1009" width="10.625" style="1" customWidth="1"/>
    <col min="1010" max="1010" width="14.625" style="1" customWidth="1"/>
    <col min="1011" max="1011" width="10.625" style="1" customWidth="1"/>
    <col min="1012" max="1012" width="14.625" style="1" customWidth="1"/>
    <col min="1013" max="1013" width="10.625" style="1" customWidth="1"/>
    <col min="1014" max="1014" width="18.625" style="1" customWidth="1"/>
    <col min="1015" max="1015" width="9.625" style="1" customWidth="1"/>
    <col min="1016" max="1016" width="10.5" style="1" customWidth="1"/>
    <col min="1017" max="1017" width="20.375" style="1" bestFit="1" customWidth="1"/>
    <col min="1018" max="1018" width="12.5" style="1" customWidth="1"/>
    <col min="1019" max="1019" width="13.125" style="1" customWidth="1"/>
    <col min="1020" max="1024" width="9" style="1"/>
    <col min="1025" max="1025" width="11.25" style="1" bestFit="1" customWidth="1"/>
    <col min="1026" max="1026" width="11.625" style="1" bestFit="1" customWidth="1"/>
    <col min="1027" max="1257" width="9" style="1"/>
    <col min="1258" max="1258" width="4.625" style="1" customWidth="1"/>
    <col min="1259" max="1259" width="34.625" style="1" customWidth="1"/>
    <col min="1260" max="1260" width="11.625" style="1" customWidth="1"/>
    <col min="1261" max="1262" width="6.625" style="1" customWidth="1"/>
    <col min="1263" max="1263" width="10.625" style="1" customWidth="1"/>
    <col min="1264" max="1264" width="14.625" style="1" customWidth="1"/>
    <col min="1265" max="1265" width="10.625" style="1" customWidth="1"/>
    <col min="1266" max="1266" width="14.625" style="1" customWidth="1"/>
    <col min="1267" max="1267" width="10.625" style="1" customWidth="1"/>
    <col min="1268" max="1268" width="14.625" style="1" customWidth="1"/>
    <col min="1269" max="1269" width="10.625" style="1" customWidth="1"/>
    <col min="1270" max="1270" width="18.625" style="1" customWidth="1"/>
    <col min="1271" max="1271" width="9.625" style="1" customWidth="1"/>
    <col min="1272" max="1272" width="10.5" style="1" customWidth="1"/>
    <col min="1273" max="1273" width="20.375" style="1" bestFit="1" customWidth="1"/>
    <col min="1274" max="1274" width="12.5" style="1" customWidth="1"/>
    <col min="1275" max="1275" width="13.125" style="1" customWidth="1"/>
    <col min="1276" max="1280" width="9" style="1"/>
    <col min="1281" max="1281" width="11.25" style="1" bestFit="1" customWidth="1"/>
    <col min="1282" max="1282" width="11.625" style="1" bestFit="1" customWidth="1"/>
    <col min="1283" max="1513" width="9" style="1"/>
    <col min="1514" max="1514" width="4.625" style="1" customWidth="1"/>
    <col min="1515" max="1515" width="34.625" style="1" customWidth="1"/>
    <col min="1516" max="1516" width="11.625" style="1" customWidth="1"/>
    <col min="1517" max="1518" width="6.625" style="1" customWidth="1"/>
    <col min="1519" max="1519" width="10.625" style="1" customWidth="1"/>
    <col min="1520" max="1520" width="14.625" style="1" customWidth="1"/>
    <col min="1521" max="1521" width="10.625" style="1" customWidth="1"/>
    <col min="1522" max="1522" width="14.625" style="1" customWidth="1"/>
    <col min="1523" max="1523" width="10.625" style="1" customWidth="1"/>
    <col min="1524" max="1524" width="14.625" style="1" customWidth="1"/>
    <col min="1525" max="1525" width="10.625" style="1" customWidth="1"/>
    <col min="1526" max="1526" width="18.625" style="1" customWidth="1"/>
    <col min="1527" max="1527" width="9.625" style="1" customWidth="1"/>
    <col min="1528" max="1528" width="10.5" style="1" customWidth="1"/>
    <col min="1529" max="1529" width="20.375" style="1" bestFit="1" customWidth="1"/>
    <col min="1530" max="1530" width="12.5" style="1" customWidth="1"/>
    <col min="1531" max="1531" width="13.125" style="1" customWidth="1"/>
    <col min="1532" max="1536" width="9" style="1"/>
    <col min="1537" max="1537" width="11.25" style="1" bestFit="1" customWidth="1"/>
    <col min="1538" max="1538" width="11.625" style="1" bestFit="1" customWidth="1"/>
    <col min="1539" max="1769" width="9" style="1"/>
    <col min="1770" max="1770" width="4.625" style="1" customWidth="1"/>
    <col min="1771" max="1771" width="34.625" style="1" customWidth="1"/>
    <col min="1772" max="1772" width="11.625" style="1" customWidth="1"/>
    <col min="1773" max="1774" width="6.625" style="1" customWidth="1"/>
    <col min="1775" max="1775" width="10.625" style="1" customWidth="1"/>
    <col min="1776" max="1776" width="14.625" style="1" customWidth="1"/>
    <col min="1777" max="1777" width="10.625" style="1" customWidth="1"/>
    <col min="1778" max="1778" width="14.625" style="1" customWidth="1"/>
    <col min="1779" max="1779" width="10.625" style="1" customWidth="1"/>
    <col min="1780" max="1780" width="14.625" style="1" customWidth="1"/>
    <col min="1781" max="1781" width="10.625" style="1" customWidth="1"/>
    <col min="1782" max="1782" width="18.625" style="1" customWidth="1"/>
    <col min="1783" max="1783" width="9.625" style="1" customWidth="1"/>
    <col min="1784" max="1784" width="10.5" style="1" customWidth="1"/>
    <col min="1785" max="1785" width="20.375" style="1" bestFit="1" customWidth="1"/>
    <col min="1786" max="1786" width="12.5" style="1" customWidth="1"/>
    <col min="1787" max="1787" width="13.125" style="1" customWidth="1"/>
    <col min="1788" max="1792" width="9" style="1"/>
    <col min="1793" max="1793" width="11.25" style="1" bestFit="1" customWidth="1"/>
    <col min="1794" max="1794" width="11.625" style="1" bestFit="1" customWidth="1"/>
    <col min="1795" max="2025" width="9" style="1"/>
    <col min="2026" max="2026" width="4.625" style="1" customWidth="1"/>
    <col min="2027" max="2027" width="34.625" style="1" customWidth="1"/>
    <col min="2028" max="2028" width="11.625" style="1" customWidth="1"/>
    <col min="2029" max="2030" width="6.625" style="1" customWidth="1"/>
    <col min="2031" max="2031" width="10.625" style="1" customWidth="1"/>
    <col min="2032" max="2032" width="14.625" style="1" customWidth="1"/>
    <col min="2033" max="2033" width="10.625" style="1" customWidth="1"/>
    <col min="2034" max="2034" width="14.625" style="1" customWidth="1"/>
    <col min="2035" max="2035" width="10.625" style="1" customWidth="1"/>
    <col min="2036" max="2036" width="14.625" style="1" customWidth="1"/>
    <col min="2037" max="2037" width="10.625" style="1" customWidth="1"/>
    <col min="2038" max="2038" width="18.625" style="1" customWidth="1"/>
    <col min="2039" max="2039" width="9.625" style="1" customWidth="1"/>
    <col min="2040" max="2040" width="10.5" style="1" customWidth="1"/>
    <col min="2041" max="2041" width="20.375" style="1" bestFit="1" customWidth="1"/>
    <col min="2042" max="2042" width="12.5" style="1" customWidth="1"/>
    <col min="2043" max="2043" width="13.125" style="1" customWidth="1"/>
    <col min="2044" max="2048" width="9" style="1"/>
    <col min="2049" max="2049" width="11.25" style="1" bestFit="1" customWidth="1"/>
    <col min="2050" max="2050" width="11.625" style="1" bestFit="1" customWidth="1"/>
    <col min="2051" max="2281" width="9" style="1"/>
    <col min="2282" max="2282" width="4.625" style="1" customWidth="1"/>
    <col min="2283" max="2283" width="34.625" style="1" customWidth="1"/>
    <col min="2284" max="2284" width="11.625" style="1" customWidth="1"/>
    <col min="2285" max="2286" width="6.625" style="1" customWidth="1"/>
    <col min="2287" max="2287" width="10.625" style="1" customWidth="1"/>
    <col min="2288" max="2288" width="14.625" style="1" customWidth="1"/>
    <col min="2289" max="2289" width="10.625" style="1" customWidth="1"/>
    <col min="2290" max="2290" width="14.625" style="1" customWidth="1"/>
    <col min="2291" max="2291" width="10.625" style="1" customWidth="1"/>
    <col min="2292" max="2292" width="14.625" style="1" customWidth="1"/>
    <col min="2293" max="2293" width="10.625" style="1" customWidth="1"/>
    <col min="2294" max="2294" width="18.625" style="1" customWidth="1"/>
    <col min="2295" max="2295" width="9.625" style="1" customWidth="1"/>
    <col min="2296" max="2296" width="10.5" style="1" customWidth="1"/>
    <col min="2297" max="2297" width="20.375" style="1" bestFit="1" customWidth="1"/>
    <col min="2298" max="2298" width="12.5" style="1" customWidth="1"/>
    <col min="2299" max="2299" width="13.125" style="1" customWidth="1"/>
    <col min="2300" max="2304" width="9" style="1"/>
    <col min="2305" max="2305" width="11.25" style="1" bestFit="1" customWidth="1"/>
    <col min="2306" max="2306" width="11.625" style="1" bestFit="1" customWidth="1"/>
    <col min="2307" max="2537" width="9" style="1"/>
    <col min="2538" max="2538" width="4.625" style="1" customWidth="1"/>
    <col min="2539" max="2539" width="34.625" style="1" customWidth="1"/>
    <col min="2540" max="2540" width="11.625" style="1" customWidth="1"/>
    <col min="2541" max="2542" width="6.625" style="1" customWidth="1"/>
    <col min="2543" max="2543" width="10.625" style="1" customWidth="1"/>
    <col min="2544" max="2544" width="14.625" style="1" customWidth="1"/>
    <col min="2545" max="2545" width="10.625" style="1" customWidth="1"/>
    <col min="2546" max="2546" width="14.625" style="1" customWidth="1"/>
    <col min="2547" max="2547" width="10.625" style="1" customWidth="1"/>
    <col min="2548" max="2548" width="14.625" style="1" customWidth="1"/>
    <col min="2549" max="2549" width="10.625" style="1" customWidth="1"/>
    <col min="2550" max="2550" width="18.625" style="1" customWidth="1"/>
    <col min="2551" max="2551" width="9.625" style="1" customWidth="1"/>
    <col min="2552" max="2552" width="10.5" style="1" customWidth="1"/>
    <col min="2553" max="2553" width="20.375" style="1" bestFit="1" customWidth="1"/>
    <col min="2554" max="2554" width="12.5" style="1" customWidth="1"/>
    <col min="2555" max="2555" width="13.125" style="1" customWidth="1"/>
    <col min="2556" max="2560" width="9" style="1"/>
    <col min="2561" max="2561" width="11.25" style="1" bestFit="1" customWidth="1"/>
    <col min="2562" max="2562" width="11.625" style="1" bestFit="1" customWidth="1"/>
    <col min="2563" max="2793" width="9" style="1"/>
    <col min="2794" max="2794" width="4.625" style="1" customWidth="1"/>
    <col min="2795" max="2795" width="34.625" style="1" customWidth="1"/>
    <col min="2796" max="2796" width="11.625" style="1" customWidth="1"/>
    <col min="2797" max="2798" width="6.625" style="1" customWidth="1"/>
    <col min="2799" max="2799" width="10.625" style="1" customWidth="1"/>
    <col min="2800" max="2800" width="14.625" style="1" customWidth="1"/>
    <col min="2801" max="2801" width="10.625" style="1" customWidth="1"/>
    <col min="2802" max="2802" width="14.625" style="1" customWidth="1"/>
    <col min="2803" max="2803" width="10.625" style="1" customWidth="1"/>
    <col min="2804" max="2804" width="14.625" style="1" customWidth="1"/>
    <col min="2805" max="2805" width="10.625" style="1" customWidth="1"/>
    <col min="2806" max="2806" width="18.625" style="1" customWidth="1"/>
    <col min="2807" max="2807" width="9.625" style="1" customWidth="1"/>
    <col min="2808" max="2808" width="10.5" style="1" customWidth="1"/>
    <col min="2809" max="2809" width="20.375" style="1" bestFit="1" customWidth="1"/>
    <col min="2810" max="2810" width="12.5" style="1" customWidth="1"/>
    <col min="2811" max="2811" width="13.125" style="1" customWidth="1"/>
    <col min="2812" max="2816" width="9" style="1"/>
    <col min="2817" max="2817" width="11.25" style="1" bestFit="1" customWidth="1"/>
    <col min="2818" max="2818" width="11.625" style="1" bestFit="1" customWidth="1"/>
    <col min="2819" max="3049" width="9" style="1"/>
    <col min="3050" max="3050" width="4.625" style="1" customWidth="1"/>
    <col min="3051" max="3051" width="34.625" style="1" customWidth="1"/>
    <col min="3052" max="3052" width="11.625" style="1" customWidth="1"/>
    <col min="3053" max="3054" width="6.625" style="1" customWidth="1"/>
    <col min="3055" max="3055" width="10.625" style="1" customWidth="1"/>
    <col min="3056" max="3056" width="14.625" style="1" customWidth="1"/>
    <col min="3057" max="3057" width="10.625" style="1" customWidth="1"/>
    <col min="3058" max="3058" width="14.625" style="1" customWidth="1"/>
    <col min="3059" max="3059" width="10.625" style="1" customWidth="1"/>
    <col min="3060" max="3060" width="14.625" style="1" customWidth="1"/>
    <col min="3061" max="3061" width="10.625" style="1" customWidth="1"/>
    <col min="3062" max="3062" width="18.625" style="1" customWidth="1"/>
    <col min="3063" max="3063" width="9.625" style="1" customWidth="1"/>
    <col min="3064" max="3064" width="10.5" style="1" customWidth="1"/>
    <col min="3065" max="3065" width="20.375" style="1" bestFit="1" customWidth="1"/>
    <col min="3066" max="3066" width="12.5" style="1" customWidth="1"/>
    <col min="3067" max="3067" width="13.125" style="1" customWidth="1"/>
    <col min="3068" max="3072" width="9" style="1"/>
    <col min="3073" max="3073" width="11.25" style="1" bestFit="1" customWidth="1"/>
    <col min="3074" max="3074" width="11.625" style="1" bestFit="1" customWidth="1"/>
    <col min="3075" max="3305" width="9" style="1"/>
    <col min="3306" max="3306" width="4.625" style="1" customWidth="1"/>
    <col min="3307" max="3307" width="34.625" style="1" customWidth="1"/>
    <col min="3308" max="3308" width="11.625" style="1" customWidth="1"/>
    <col min="3309" max="3310" width="6.625" style="1" customWidth="1"/>
    <col min="3311" max="3311" width="10.625" style="1" customWidth="1"/>
    <col min="3312" max="3312" width="14.625" style="1" customWidth="1"/>
    <col min="3313" max="3313" width="10.625" style="1" customWidth="1"/>
    <col min="3314" max="3314" width="14.625" style="1" customWidth="1"/>
    <col min="3315" max="3315" width="10.625" style="1" customWidth="1"/>
    <col min="3316" max="3316" width="14.625" style="1" customWidth="1"/>
    <col min="3317" max="3317" width="10.625" style="1" customWidth="1"/>
    <col min="3318" max="3318" width="18.625" style="1" customWidth="1"/>
    <col min="3319" max="3319" width="9.625" style="1" customWidth="1"/>
    <col min="3320" max="3320" width="10.5" style="1" customWidth="1"/>
    <col min="3321" max="3321" width="20.375" style="1" bestFit="1" customWidth="1"/>
    <col min="3322" max="3322" width="12.5" style="1" customWidth="1"/>
    <col min="3323" max="3323" width="13.125" style="1" customWidth="1"/>
    <col min="3324" max="3328" width="9" style="1"/>
    <col min="3329" max="3329" width="11.25" style="1" bestFit="1" customWidth="1"/>
    <col min="3330" max="3330" width="11.625" style="1" bestFit="1" customWidth="1"/>
    <col min="3331" max="3561" width="9" style="1"/>
    <col min="3562" max="3562" width="4.625" style="1" customWidth="1"/>
    <col min="3563" max="3563" width="34.625" style="1" customWidth="1"/>
    <col min="3564" max="3564" width="11.625" style="1" customWidth="1"/>
    <col min="3565" max="3566" width="6.625" style="1" customWidth="1"/>
    <col min="3567" max="3567" width="10.625" style="1" customWidth="1"/>
    <col min="3568" max="3568" width="14.625" style="1" customWidth="1"/>
    <col min="3569" max="3569" width="10.625" style="1" customWidth="1"/>
    <col min="3570" max="3570" width="14.625" style="1" customWidth="1"/>
    <col min="3571" max="3571" width="10.625" style="1" customWidth="1"/>
    <col min="3572" max="3572" width="14.625" style="1" customWidth="1"/>
    <col min="3573" max="3573" width="10.625" style="1" customWidth="1"/>
    <col min="3574" max="3574" width="18.625" style="1" customWidth="1"/>
    <col min="3575" max="3575" width="9.625" style="1" customWidth="1"/>
    <col min="3576" max="3576" width="10.5" style="1" customWidth="1"/>
    <col min="3577" max="3577" width="20.375" style="1" bestFit="1" customWidth="1"/>
    <col min="3578" max="3578" width="12.5" style="1" customWidth="1"/>
    <col min="3579" max="3579" width="13.125" style="1" customWidth="1"/>
    <col min="3580" max="3584" width="9" style="1"/>
    <col min="3585" max="3585" width="11.25" style="1" bestFit="1" customWidth="1"/>
    <col min="3586" max="3586" width="11.625" style="1" bestFit="1" customWidth="1"/>
    <col min="3587" max="3817" width="9" style="1"/>
    <col min="3818" max="3818" width="4.625" style="1" customWidth="1"/>
    <col min="3819" max="3819" width="34.625" style="1" customWidth="1"/>
    <col min="3820" max="3820" width="11.625" style="1" customWidth="1"/>
    <col min="3821" max="3822" width="6.625" style="1" customWidth="1"/>
    <col min="3823" max="3823" width="10.625" style="1" customWidth="1"/>
    <col min="3824" max="3824" width="14.625" style="1" customWidth="1"/>
    <col min="3825" max="3825" width="10.625" style="1" customWidth="1"/>
    <col min="3826" max="3826" width="14.625" style="1" customWidth="1"/>
    <col min="3827" max="3827" width="10.625" style="1" customWidth="1"/>
    <col min="3828" max="3828" width="14.625" style="1" customWidth="1"/>
    <col min="3829" max="3829" width="10.625" style="1" customWidth="1"/>
    <col min="3830" max="3830" width="18.625" style="1" customWidth="1"/>
    <col min="3831" max="3831" width="9.625" style="1" customWidth="1"/>
    <col min="3832" max="3832" width="10.5" style="1" customWidth="1"/>
    <col min="3833" max="3833" width="20.375" style="1" bestFit="1" customWidth="1"/>
    <col min="3834" max="3834" width="12.5" style="1" customWidth="1"/>
    <col min="3835" max="3835" width="13.125" style="1" customWidth="1"/>
    <col min="3836" max="3840" width="9" style="1"/>
    <col min="3841" max="3841" width="11.25" style="1" bestFit="1" customWidth="1"/>
    <col min="3842" max="3842" width="11.625" style="1" bestFit="1" customWidth="1"/>
    <col min="3843" max="4073" width="9" style="1"/>
    <col min="4074" max="4074" width="4.625" style="1" customWidth="1"/>
    <col min="4075" max="4075" width="34.625" style="1" customWidth="1"/>
    <col min="4076" max="4076" width="11.625" style="1" customWidth="1"/>
    <col min="4077" max="4078" width="6.625" style="1" customWidth="1"/>
    <col min="4079" max="4079" width="10.625" style="1" customWidth="1"/>
    <col min="4080" max="4080" width="14.625" style="1" customWidth="1"/>
    <col min="4081" max="4081" width="10.625" style="1" customWidth="1"/>
    <col min="4082" max="4082" width="14.625" style="1" customWidth="1"/>
    <col min="4083" max="4083" width="10.625" style="1" customWidth="1"/>
    <col min="4084" max="4084" width="14.625" style="1" customWidth="1"/>
    <col min="4085" max="4085" width="10.625" style="1" customWidth="1"/>
    <col min="4086" max="4086" width="18.625" style="1" customWidth="1"/>
    <col min="4087" max="4087" width="9.625" style="1" customWidth="1"/>
    <col min="4088" max="4088" width="10.5" style="1" customWidth="1"/>
    <col min="4089" max="4089" width="20.375" style="1" bestFit="1" customWidth="1"/>
    <col min="4090" max="4090" width="12.5" style="1" customWidth="1"/>
    <col min="4091" max="4091" width="13.125" style="1" customWidth="1"/>
    <col min="4092" max="4096" width="9" style="1"/>
    <col min="4097" max="4097" width="11.25" style="1" bestFit="1" customWidth="1"/>
    <col min="4098" max="4098" width="11.625" style="1" bestFit="1" customWidth="1"/>
    <col min="4099" max="4329" width="9" style="1"/>
    <col min="4330" max="4330" width="4.625" style="1" customWidth="1"/>
    <col min="4331" max="4331" width="34.625" style="1" customWidth="1"/>
    <col min="4332" max="4332" width="11.625" style="1" customWidth="1"/>
    <col min="4333" max="4334" width="6.625" style="1" customWidth="1"/>
    <col min="4335" max="4335" width="10.625" style="1" customWidth="1"/>
    <col min="4336" max="4336" width="14.625" style="1" customWidth="1"/>
    <col min="4337" max="4337" width="10.625" style="1" customWidth="1"/>
    <col min="4338" max="4338" width="14.625" style="1" customWidth="1"/>
    <col min="4339" max="4339" width="10.625" style="1" customWidth="1"/>
    <col min="4340" max="4340" width="14.625" style="1" customWidth="1"/>
    <col min="4341" max="4341" width="10.625" style="1" customWidth="1"/>
    <col min="4342" max="4342" width="18.625" style="1" customWidth="1"/>
    <col min="4343" max="4343" width="9.625" style="1" customWidth="1"/>
    <col min="4344" max="4344" width="10.5" style="1" customWidth="1"/>
    <col min="4345" max="4345" width="20.375" style="1" bestFit="1" customWidth="1"/>
    <col min="4346" max="4346" width="12.5" style="1" customWidth="1"/>
    <col min="4347" max="4347" width="13.125" style="1" customWidth="1"/>
    <col min="4348" max="4352" width="9" style="1"/>
    <col min="4353" max="4353" width="11.25" style="1" bestFit="1" customWidth="1"/>
    <col min="4354" max="4354" width="11.625" style="1" bestFit="1" customWidth="1"/>
    <col min="4355" max="4585" width="9" style="1"/>
    <col min="4586" max="4586" width="4.625" style="1" customWidth="1"/>
    <col min="4587" max="4587" width="34.625" style="1" customWidth="1"/>
    <col min="4588" max="4588" width="11.625" style="1" customWidth="1"/>
    <col min="4589" max="4590" width="6.625" style="1" customWidth="1"/>
    <col min="4591" max="4591" width="10.625" style="1" customWidth="1"/>
    <col min="4592" max="4592" width="14.625" style="1" customWidth="1"/>
    <col min="4593" max="4593" width="10.625" style="1" customWidth="1"/>
    <col min="4594" max="4594" width="14.625" style="1" customWidth="1"/>
    <col min="4595" max="4595" width="10.625" style="1" customWidth="1"/>
    <col min="4596" max="4596" width="14.625" style="1" customWidth="1"/>
    <col min="4597" max="4597" width="10.625" style="1" customWidth="1"/>
    <col min="4598" max="4598" width="18.625" style="1" customWidth="1"/>
    <col min="4599" max="4599" width="9.625" style="1" customWidth="1"/>
    <col min="4600" max="4600" width="10.5" style="1" customWidth="1"/>
    <col min="4601" max="4601" width="20.375" style="1" bestFit="1" customWidth="1"/>
    <col min="4602" max="4602" width="12.5" style="1" customWidth="1"/>
    <col min="4603" max="4603" width="13.125" style="1" customWidth="1"/>
    <col min="4604" max="4608" width="9" style="1"/>
    <col min="4609" max="4609" width="11.25" style="1" bestFit="1" customWidth="1"/>
    <col min="4610" max="4610" width="11.625" style="1" bestFit="1" customWidth="1"/>
    <col min="4611" max="4841" width="9" style="1"/>
    <col min="4842" max="4842" width="4.625" style="1" customWidth="1"/>
    <col min="4843" max="4843" width="34.625" style="1" customWidth="1"/>
    <col min="4844" max="4844" width="11.625" style="1" customWidth="1"/>
    <col min="4845" max="4846" width="6.625" style="1" customWidth="1"/>
    <col min="4847" max="4847" width="10.625" style="1" customWidth="1"/>
    <col min="4848" max="4848" width="14.625" style="1" customWidth="1"/>
    <col min="4849" max="4849" width="10.625" style="1" customWidth="1"/>
    <col min="4850" max="4850" width="14.625" style="1" customWidth="1"/>
    <col min="4851" max="4851" width="10.625" style="1" customWidth="1"/>
    <col min="4852" max="4852" width="14.625" style="1" customWidth="1"/>
    <col min="4853" max="4853" width="10.625" style="1" customWidth="1"/>
    <col min="4854" max="4854" width="18.625" style="1" customWidth="1"/>
    <col min="4855" max="4855" width="9.625" style="1" customWidth="1"/>
    <col min="4856" max="4856" width="10.5" style="1" customWidth="1"/>
    <col min="4857" max="4857" width="20.375" style="1" bestFit="1" customWidth="1"/>
    <col min="4858" max="4858" width="12.5" style="1" customWidth="1"/>
    <col min="4859" max="4859" width="13.125" style="1" customWidth="1"/>
    <col min="4860" max="4864" width="9" style="1"/>
    <col min="4865" max="4865" width="11.25" style="1" bestFit="1" customWidth="1"/>
    <col min="4866" max="4866" width="11.625" style="1" bestFit="1" customWidth="1"/>
    <col min="4867" max="5097" width="9" style="1"/>
    <col min="5098" max="5098" width="4.625" style="1" customWidth="1"/>
    <col min="5099" max="5099" width="34.625" style="1" customWidth="1"/>
    <col min="5100" max="5100" width="11.625" style="1" customWidth="1"/>
    <col min="5101" max="5102" width="6.625" style="1" customWidth="1"/>
    <col min="5103" max="5103" width="10.625" style="1" customWidth="1"/>
    <col min="5104" max="5104" width="14.625" style="1" customWidth="1"/>
    <col min="5105" max="5105" width="10.625" style="1" customWidth="1"/>
    <col min="5106" max="5106" width="14.625" style="1" customWidth="1"/>
    <col min="5107" max="5107" width="10.625" style="1" customWidth="1"/>
    <col min="5108" max="5108" width="14.625" style="1" customWidth="1"/>
    <col min="5109" max="5109" width="10.625" style="1" customWidth="1"/>
    <col min="5110" max="5110" width="18.625" style="1" customWidth="1"/>
    <col min="5111" max="5111" width="9.625" style="1" customWidth="1"/>
    <col min="5112" max="5112" width="10.5" style="1" customWidth="1"/>
    <col min="5113" max="5113" width="20.375" style="1" bestFit="1" customWidth="1"/>
    <col min="5114" max="5114" width="12.5" style="1" customWidth="1"/>
    <col min="5115" max="5115" width="13.125" style="1" customWidth="1"/>
    <col min="5116" max="5120" width="9" style="1"/>
    <col min="5121" max="5121" width="11.25" style="1" bestFit="1" customWidth="1"/>
    <col min="5122" max="5122" width="11.625" style="1" bestFit="1" customWidth="1"/>
    <col min="5123" max="5353" width="9" style="1"/>
    <col min="5354" max="5354" width="4.625" style="1" customWidth="1"/>
    <col min="5355" max="5355" width="34.625" style="1" customWidth="1"/>
    <col min="5356" max="5356" width="11.625" style="1" customWidth="1"/>
    <col min="5357" max="5358" width="6.625" style="1" customWidth="1"/>
    <col min="5359" max="5359" width="10.625" style="1" customWidth="1"/>
    <col min="5360" max="5360" width="14.625" style="1" customWidth="1"/>
    <col min="5361" max="5361" width="10.625" style="1" customWidth="1"/>
    <col min="5362" max="5362" width="14.625" style="1" customWidth="1"/>
    <col min="5363" max="5363" width="10.625" style="1" customWidth="1"/>
    <col min="5364" max="5364" width="14.625" style="1" customWidth="1"/>
    <col min="5365" max="5365" width="10.625" style="1" customWidth="1"/>
    <col min="5366" max="5366" width="18.625" style="1" customWidth="1"/>
    <col min="5367" max="5367" width="9.625" style="1" customWidth="1"/>
    <col min="5368" max="5368" width="10.5" style="1" customWidth="1"/>
    <col min="5369" max="5369" width="20.375" style="1" bestFit="1" customWidth="1"/>
    <col min="5370" max="5370" width="12.5" style="1" customWidth="1"/>
    <col min="5371" max="5371" width="13.125" style="1" customWidth="1"/>
    <col min="5372" max="5376" width="9" style="1"/>
    <col min="5377" max="5377" width="11.25" style="1" bestFit="1" customWidth="1"/>
    <col min="5378" max="5378" width="11.625" style="1" bestFit="1" customWidth="1"/>
    <col min="5379" max="5609" width="9" style="1"/>
    <col min="5610" max="5610" width="4.625" style="1" customWidth="1"/>
    <col min="5611" max="5611" width="34.625" style="1" customWidth="1"/>
    <col min="5612" max="5612" width="11.625" style="1" customWidth="1"/>
    <col min="5613" max="5614" width="6.625" style="1" customWidth="1"/>
    <col min="5615" max="5615" width="10.625" style="1" customWidth="1"/>
    <col min="5616" max="5616" width="14.625" style="1" customWidth="1"/>
    <col min="5617" max="5617" width="10.625" style="1" customWidth="1"/>
    <col min="5618" max="5618" width="14.625" style="1" customWidth="1"/>
    <col min="5619" max="5619" width="10.625" style="1" customWidth="1"/>
    <col min="5620" max="5620" width="14.625" style="1" customWidth="1"/>
    <col min="5621" max="5621" width="10.625" style="1" customWidth="1"/>
    <col min="5622" max="5622" width="18.625" style="1" customWidth="1"/>
    <col min="5623" max="5623" width="9.625" style="1" customWidth="1"/>
    <col min="5624" max="5624" width="10.5" style="1" customWidth="1"/>
    <col min="5625" max="5625" width="20.375" style="1" bestFit="1" customWidth="1"/>
    <col min="5626" max="5626" width="12.5" style="1" customWidth="1"/>
    <col min="5627" max="5627" width="13.125" style="1" customWidth="1"/>
    <col min="5628" max="5632" width="9" style="1"/>
    <col min="5633" max="5633" width="11.25" style="1" bestFit="1" customWidth="1"/>
    <col min="5634" max="5634" width="11.625" style="1" bestFit="1" customWidth="1"/>
    <col min="5635" max="5865" width="9" style="1"/>
    <col min="5866" max="5866" width="4.625" style="1" customWidth="1"/>
    <col min="5867" max="5867" width="34.625" style="1" customWidth="1"/>
    <col min="5868" max="5868" width="11.625" style="1" customWidth="1"/>
    <col min="5869" max="5870" width="6.625" style="1" customWidth="1"/>
    <col min="5871" max="5871" width="10.625" style="1" customWidth="1"/>
    <col min="5872" max="5872" width="14.625" style="1" customWidth="1"/>
    <col min="5873" max="5873" width="10.625" style="1" customWidth="1"/>
    <col min="5874" max="5874" width="14.625" style="1" customWidth="1"/>
    <col min="5875" max="5875" width="10.625" style="1" customWidth="1"/>
    <col min="5876" max="5876" width="14.625" style="1" customWidth="1"/>
    <col min="5877" max="5877" width="10.625" style="1" customWidth="1"/>
    <col min="5878" max="5878" width="18.625" style="1" customWidth="1"/>
    <col min="5879" max="5879" width="9.625" style="1" customWidth="1"/>
    <col min="5880" max="5880" width="10.5" style="1" customWidth="1"/>
    <col min="5881" max="5881" width="20.375" style="1" bestFit="1" customWidth="1"/>
    <col min="5882" max="5882" width="12.5" style="1" customWidth="1"/>
    <col min="5883" max="5883" width="13.125" style="1" customWidth="1"/>
    <col min="5884" max="5888" width="9" style="1"/>
    <col min="5889" max="5889" width="11.25" style="1" bestFit="1" customWidth="1"/>
    <col min="5890" max="5890" width="11.625" style="1" bestFit="1" customWidth="1"/>
    <col min="5891" max="6121" width="9" style="1"/>
    <col min="6122" max="6122" width="4.625" style="1" customWidth="1"/>
    <col min="6123" max="6123" width="34.625" style="1" customWidth="1"/>
    <col min="6124" max="6124" width="11.625" style="1" customWidth="1"/>
    <col min="6125" max="6126" width="6.625" style="1" customWidth="1"/>
    <col min="6127" max="6127" width="10.625" style="1" customWidth="1"/>
    <col min="6128" max="6128" width="14.625" style="1" customWidth="1"/>
    <col min="6129" max="6129" width="10.625" style="1" customWidth="1"/>
    <col min="6130" max="6130" width="14.625" style="1" customWidth="1"/>
    <col min="6131" max="6131" width="10.625" style="1" customWidth="1"/>
    <col min="6132" max="6132" width="14.625" style="1" customWidth="1"/>
    <col min="6133" max="6133" width="10.625" style="1" customWidth="1"/>
    <col min="6134" max="6134" width="18.625" style="1" customWidth="1"/>
    <col min="6135" max="6135" width="9.625" style="1" customWidth="1"/>
    <col min="6136" max="6136" width="10.5" style="1" customWidth="1"/>
    <col min="6137" max="6137" width="20.375" style="1" bestFit="1" customWidth="1"/>
    <col min="6138" max="6138" width="12.5" style="1" customWidth="1"/>
    <col min="6139" max="6139" width="13.125" style="1" customWidth="1"/>
    <col min="6140" max="6144" width="9" style="1"/>
    <col min="6145" max="6145" width="11.25" style="1" bestFit="1" customWidth="1"/>
    <col min="6146" max="6146" width="11.625" style="1" bestFit="1" customWidth="1"/>
    <col min="6147" max="6377" width="9" style="1"/>
    <col min="6378" max="6378" width="4.625" style="1" customWidth="1"/>
    <col min="6379" max="6379" width="34.625" style="1" customWidth="1"/>
    <col min="6380" max="6380" width="11.625" style="1" customWidth="1"/>
    <col min="6381" max="6382" width="6.625" style="1" customWidth="1"/>
    <col min="6383" max="6383" width="10.625" style="1" customWidth="1"/>
    <col min="6384" max="6384" width="14.625" style="1" customWidth="1"/>
    <col min="6385" max="6385" width="10.625" style="1" customWidth="1"/>
    <col min="6386" max="6386" width="14.625" style="1" customWidth="1"/>
    <col min="6387" max="6387" width="10.625" style="1" customWidth="1"/>
    <col min="6388" max="6388" width="14.625" style="1" customWidth="1"/>
    <col min="6389" max="6389" width="10.625" style="1" customWidth="1"/>
    <col min="6390" max="6390" width="18.625" style="1" customWidth="1"/>
    <col min="6391" max="6391" width="9.625" style="1" customWidth="1"/>
    <col min="6392" max="6392" width="10.5" style="1" customWidth="1"/>
    <col min="6393" max="6393" width="20.375" style="1" bestFit="1" customWidth="1"/>
    <col min="6394" max="6394" width="12.5" style="1" customWidth="1"/>
    <col min="6395" max="6395" width="13.125" style="1" customWidth="1"/>
    <col min="6396" max="6400" width="9" style="1"/>
    <col min="6401" max="6401" width="11.25" style="1" bestFit="1" customWidth="1"/>
    <col min="6402" max="6402" width="11.625" style="1" bestFit="1" customWidth="1"/>
    <col min="6403" max="6633" width="9" style="1"/>
    <col min="6634" max="6634" width="4.625" style="1" customWidth="1"/>
    <col min="6635" max="6635" width="34.625" style="1" customWidth="1"/>
    <col min="6636" max="6636" width="11.625" style="1" customWidth="1"/>
    <col min="6637" max="6638" width="6.625" style="1" customWidth="1"/>
    <col min="6639" max="6639" width="10.625" style="1" customWidth="1"/>
    <col min="6640" max="6640" width="14.625" style="1" customWidth="1"/>
    <col min="6641" max="6641" width="10.625" style="1" customWidth="1"/>
    <col min="6642" max="6642" width="14.625" style="1" customWidth="1"/>
    <col min="6643" max="6643" width="10.625" style="1" customWidth="1"/>
    <col min="6644" max="6644" width="14.625" style="1" customWidth="1"/>
    <col min="6645" max="6645" width="10.625" style="1" customWidth="1"/>
    <col min="6646" max="6646" width="18.625" style="1" customWidth="1"/>
    <col min="6647" max="6647" width="9.625" style="1" customWidth="1"/>
    <col min="6648" max="6648" width="10.5" style="1" customWidth="1"/>
    <col min="6649" max="6649" width="20.375" style="1" bestFit="1" customWidth="1"/>
    <col min="6650" max="6650" width="12.5" style="1" customWidth="1"/>
    <col min="6651" max="6651" width="13.125" style="1" customWidth="1"/>
    <col min="6652" max="6656" width="9" style="1"/>
    <col min="6657" max="6657" width="11.25" style="1" bestFit="1" customWidth="1"/>
    <col min="6658" max="6658" width="11.625" style="1" bestFit="1" customWidth="1"/>
    <col min="6659" max="6889" width="9" style="1"/>
    <col min="6890" max="6890" width="4.625" style="1" customWidth="1"/>
    <col min="6891" max="6891" width="34.625" style="1" customWidth="1"/>
    <col min="6892" max="6892" width="11.625" style="1" customWidth="1"/>
    <col min="6893" max="6894" width="6.625" style="1" customWidth="1"/>
    <col min="6895" max="6895" width="10.625" style="1" customWidth="1"/>
    <col min="6896" max="6896" width="14.625" style="1" customWidth="1"/>
    <col min="6897" max="6897" width="10.625" style="1" customWidth="1"/>
    <col min="6898" max="6898" width="14.625" style="1" customWidth="1"/>
    <col min="6899" max="6899" width="10.625" style="1" customWidth="1"/>
    <col min="6900" max="6900" width="14.625" style="1" customWidth="1"/>
    <col min="6901" max="6901" width="10.625" style="1" customWidth="1"/>
    <col min="6902" max="6902" width="18.625" style="1" customWidth="1"/>
    <col min="6903" max="6903" width="9.625" style="1" customWidth="1"/>
    <col min="6904" max="6904" width="10.5" style="1" customWidth="1"/>
    <col min="6905" max="6905" width="20.375" style="1" bestFit="1" customWidth="1"/>
    <col min="6906" max="6906" width="12.5" style="1" customWidth="1"/>
    <col min="6907" max="6907" width="13.125" style="1" customWidth="1"/>
    <col min="6908" max="6912" width="9" style="1"/>
    <col min="6913" max="6913" width="11.25" style="1" bestFit="1" customWidth="1"/>
    <col min="6914" max="6914" width="11.625" style="1" bestFit="1" customWidth="1"/>
    <col min="6915" max="7145" width="9" style="1"/>
    <col min="7146" max="7146" width="4.625" style="1" customWidth="1"/>
    <col min="7147" max="7147" width="34.625" style="1" customWidth="1"/>
    <col min="7148" max="7148" width="11.625" style="1" customWidth="1"/>
    <col min="7149" max="7150" width="6.625" style="1" customWidth="1"/>
    <col min="7151" max="7151" width="10.625" style="1" customWidth="1"/>
    <col min="7152" max="7152" width="14.625" style="1" customWidth="1"/>
    <col min="7153" max="7153" width="10.625" style="1" customWidth="1"/>
    <col min="7154" max="7154" width="14.625" style="1" customWidth="1"/>
    <col min="7155" max="7155" width="10.625" style="1" customWidth="1"/>
    <col min="7156" max="7156" width="14.625" style="1" customWidth="1"/>
    <col min="7157" max="7157" width="10.625" style="1" customWidth="1"/>
    <col min="7158" max="7158" width="18.625" style="1" customWidth="1"/>
    <col min="7159" max="7159" width="9.625" style="1" customWidth="1"/>
    <col min="7160" max="7160" width="10.5" style="1" customWidth="1"/>
    <col min="7161" max="7161" width="20.375" style="1" bestFit="1" customWidth="1"/>
    <col min="7162" max="7162" width="12.5" style="1" customWidth="1"/>
    <col min="7163" max="7163" width="13.125" style="1" customWidth="1"/>
    <col min="7164" max="7168" width="9" style="1"/>
    <col min="7169" max="7169" width="11.25" style="1" bestFit="1" customWidth="1"/>
    <col min="7170" max="7170" width="11.625" style="1" bestFit="1" customWidth="1"/>
    <col min="7171" max="7401" width="9" style="1"/>
    <col min="7402" max="7402" width="4.625" style="1" customWidth="1"/>
    <col min="7403" max="7403" width="34.625" style="1" customWidth="1"/>
    <col min="7404" max="7404" width="11.625" style="1" customWidth="1"/>
    <col min="7405" max="7406" width="6.625" style="1" customWidth="1"/>
    <col min="7407" max="7407" width="10.625" style="1" customWidth="1"/>
    <col min="7408" max="7408" width="14.625" style="1" customWidth="1"/>
    <col min="7409" max="7409" width="10.625" style="1" customWidth="1"/>
    <col min="7410" max="7410" width="14.625" style="1" customWidth="1"/>
    <col min="7411" max="7411" width="10.625" style="1" customWidth="1"/>
    <col min="7412" max="7412" width="14.625" style="1" customWidth="1"/>
    <col min="7413" max="7413" width="10.625" style="1" customWidth="1"/>
    <col min="7414" max="7414" width="18.625" style="1" customWidth="1"/>
    <col min="7415" max="7415" width="9.625" style="1" customWidth="1"/>
    <col min="7416" max="7416" width="10.5" style="1" customWidth="1"/>
    <col min="7417" max="7417" width="20.375" style="1" bestFit="1" customWidth="1"/>
    <col min="7418" max="7418" width="12.5" style="1" customWidth="1"/>
    <col min="7419" max="7419" width="13.125" style="1" customWidth="1"/>
    <col min="7420" max="7424" width="9" style="1"/>
    <col min="7425" max="7425" width="11.25" style="1" bestFit="1" customWidth="1"/>
    <col min="7426" max="7426" width="11.625" style="1" bestFit="1" customWidth="1"/>
    <col min="7427" max="7657" width="9" style="1"/>
    <col min="7658" max="7658" width="4.625" style="1" customWidth="1"/>
    <col min="7659" max="7659" width="34.625" style="1" customWidth="1"/>
    <col min="7660" max="7660" width="11.625" style="1" customWidth="1"/>
    <col min="7661" max="7662" width="6.625" style="1" customWidth="1"/>
    <col min="7663" max="7663" width="10.625" style="1" customWidth="1"/>
    <col min="7664" max="7664" width="14.625" style="1" customWidth="1"/>
    <col min="7665" max="7665" width="10.625" style="1" customWidth="1"/>
    <col min="7666" max="7666" width="14.625" style="1" customWidth="1"/>
    <col min="7667" max="7667" width="10.625" style="1" customWidth="1"/>
    <col min="7668" max="7668" width="14.625" style="1" customWidth="1"/>
    <col min="7669" max="7669" width="10.625" style="1" customWidth="1"/>
    <col min="7670" max="7670" width="18.625" style="1" customWidth="1"/>
    <col min="7671" max="7671" width="9.625" style="1" customWidth="1"/>
    <col min="7672" max="7672" width="10.5" style="1" customWidth="1"/>
    <col min="7673" max="7673" width="20.375" style="1" bestFit="1" customWidth="1"/>
    <col min="7674" max="7674" width="12.5" style="1" customWidth="1"/>
    <col min="7675" max="7675" width="13.125" style="1" customWidth="1"/>
    <col min="7676" max="7680" width="9" style="1"/>
    <col min="7681" max="7681" width="11.25" style="1" bestFit="1" customWidth="1"/>
    <col min="7682" max="7682" width="11.625" style="1" bestFit="1" customWidth="1"/>
    <col min="7683" max="7913" width="9" style="1"/>
    <col min="7914" max="7914" width="4.625" style="1" customWidth="1"/>
    <col min="7915" max="7915" width="34.625" style="1" customWidth="1"/>
    <col min="7916" max="7916" width="11.625" style="1" customWidth="1"/>
    <col min="7917" max="7918" width="6.625" style="1" customWidth="1"/>
    <col min="7919" max="7919" width="10.625" style="1" customWidth="1"/>
    <col min="7920" max="7920" width="14.625" style="1" customWidth="1"/>
    <col min="7921" max="7921" width="10.625" style="1" customWidth="1"/>
    <col min="7922" max="7922" width="14.625" style="1" customWidth="1"/>
    <col min="7923" max="7923" width="10.625" style="1" customWidth="1"/>
    <col min="7924" max="7924" width="14.625" style="1" customWidth="1"/>
    <col min="7925" max="7925" width="10.625" style="1" customWidth="1"/>
    <col min="7926" max="7926" width="18.625" style="1" customWidth="1"/>
    <col min="7927" max="7927" width="9.625" style="1" customWidth="1"/>
    <col min="7928" max="7928" width="10.5" style="1" customWidth="1"/>
    <col min="7929" max="7929" width="20.375" style="1" bestFit="1" customWidth="1"/>
    <col min="7930" max="7930" width="12.5" style="1" customWidth="1"/>
    <col min="7931" max="7931" width="13.125" style="1" customWidth="1"/>
    <col min="7932" max="7936" width="9" style="1"/>
    <col min="7937" max="7937" width="11.25" style="1" bestFit="1" customWidth="1"/>
    <col min="7938" max="7938" width="11.625" style="1" bestFit="1" customWidth="1"/>
    <col min="7939" max="8169" width="9" style="1"/>
    <col min="8170" max="8170" width="4.625" style="1" customWidth="1"/>
    <col min="8171" max="8171" width="34.625" style="1" customWidth="1"/>
    <col min="8172" max="8172" width="11.625" style="1" customWidth="1"/>
    <col min="8173" max="8174" width="6.625" style="1" customWidth="1"/>
    <col min="8175" max="8175" width="10.625" style="1" customWidth="1"/>
    <col min="8176" max="8176" width="14.625" style="1" customWidth="1"/>
    <col min="8177" max="8177" width="10.625" style="1" customWidth="1"/>
    <col min="8178" max="8178" width="14.625" style="1" customWidth="1"/>
    <col min="8179" max="8179" width="10.625" style="1" customWidth="1"/>
    <col min="8180" max="8180" width="14.625" style="1" customWidth="1"/>
    <col min="8181" max="8181" width="10.625" style="1" customWidth="1"/>
    <col min="8182" max="8182" width="18.625" style="1" customWidth="1"/>
    <col min="8183" max="8183" width="9.625" style="1" customWidth="1"/>
    <col min="8184" max="8184" width="10.5" style="1" customWidth="1"/>
    <col min="8185" max="8185" width="20.375" style="1" bestFit="1" customWidth="1"/>
    <col min="8186" max="8186" width="12.5" style="1" customWidth="1"/>
    <col min="8187" max="8187" width="13.125" style="1" customWidth="1"/>
    <col min="8188" max="8192" width="9" style="1"/>
    <col min="8193" max="8193" width="11.25" style="1" bestFit="1" customWidth="1"/>
    <col min="8194" max="8194" width="11.625" style="1" bestFit="1" customWidth="1"/>
    <col min="8195" max="8425" width="9" style="1"/>
    <col min="8426" max="8426" width="4.625" style="1" customWidth="1"/>
    <col min="8427" max="8427" width="34.625" style="1" customWidth="1"/>
    <col min="8428" max="8428" width="11.625" style="1" customWidth="1"/>
    <col min="8429" max="8430" width="6.625" style="1" customWidth="1"/>
    <col min="8431" max="8431" width="10.625" style="1" customWidth="1"/>
    <col min="8432" max="8432" width="14.625" style="1" customWidth="1"/>
    <col min="8433" max="8433" width="10.625" style="1" customWidth="1"/>
    <col min="8434" max="8434" width="14.625" style="1" customWidth="1"/>
    <col min="8435" max="8435" width="10.625" style="1" customWidth="1"/>
    <col min="8436" max="8436" width="14.625" style="1" customWidth="1"/>
    <col min="8437" max="8437" width="10.625" style="1" customWidth="1"/>
    <col min="8438" max="8438" width="18.625" style="1" customWidth="1"/>
    <col min="8439" max="8439" width="9.625" style="1" customWidth="1"/>
    <col min="8440" max="8440" width="10.5" style="1" customWidth="1"/>
    <col min="8441" max="8441" width="20.375" style="1" bestFit="1" customWidth="1"/>
    <col min="8442" max="8442" width="12.5" style="1" customWidth="1"/>
    <col min="8443" max="8443" width="13.125" style="1" customWidth="1"/>
    <col min="8444" max="8448" width="9" style="1"/>
    <col min="8449" max="8449" width="11.25" style="1" bestFit="1" customWidth="1"/>
    <col min="8450" max="8450" width="11.625" style="1" bestFit="1" customWidth="1"/>
    <col min="8451" max="8681" width="9" style="1"/>
    <col min="8682" max="8682" width="4.625" style="1" customWidth="1"/>
    <col min="8683" max="8683" width="34.625" style="1" customWidth="1"/>
    <col min="8684" max="8684" width="11.625" style="1" customWidth="1"/>
    <col min="8685" max="8686" width="6.625" style="1" customWidth="1"/>
    <col min="8687" max="8687" width="10.625" style="1" customWidth="1"/>
    <col min="8688" max="8688" width="14.625" style="1" customWidth="1"/>
    <col min="8689" max="8689" width="10.625" style="1" customWidth="1"/>
    <col min="8690" max="8690" width="14.625" style="1" customWidth="1"/>
    <col min="8691" max="8691" width="10.625" style="1" customWidth="1"/>
    <col min="8692" max="8692" width="14.625" style="1" customWidth="1"/>
    <col min="8693" max="8693" width="10.625" style="1" customWidth="1"/>
    <col min="8694" max="8694" width="18.625" style="1" customWidth="1"/>
    <col min="8695" max="8695" width="9.625" style="1" customWidth="1"/>
    <col min="8696" max="8696" width="10.5" style="1" customWidth="1"/>
    <col min="8697" max="8697" width="20.375" style="1" bestFit="1" customWidth="1"/>
    <col min="8698" max="8698" width="12.5" style="1" customWidth="1"/>
    <col min="8699" max="8699" width="13.125" style="1" customWidth="1"/>
    <col min="8700" max="8704" width="9" style="1"/>
    <col min="8705" max="8705" width="11.25" style="1" bestFit="1" customWidth="1"/>
    <col min="8706" max="8706" width="11.625" style="1" bestFit="1" customWidth="1"/>
    <col min="8707" max="8937" width="9" style="1"/>
    <col min="8938" max="8938" width="4.625" style="1" customWidth="1"/>
    <col min="8939" max="8939" width="34.625" style="1" customWidth="1"/>
    <col min="8940" max="8940" width="11.625" style="1" customWidth="1"/>
    <col min="8941" max="8942" width="6.625" style="1" customWidth="1"/>
    <col min="8943" max="8943" width="10.625" style="1" customWidth="1"/>
    <col min="8944" max="8944" width="14.625" style="1" customWidth="1"/>
    <col min="8945" max="8945" width="10.625" style="1" customWidth="1"/>
    <col min="8946" max="8946" width="14.625" style="1" customWidth="1"/>
    <col min="8947" max="8947" width="10.625" style="1" customWidth="1"/>
    <col min="8948" max="8948" width="14.625" style="1" customWidth="1"/>
    <col min="8949" max="8949" width="10.625" style="1" customWidth="1"/>
    <col min="8950" max="8950" width="18.625" style="1" customWidth="1"/>
    <col min="8951" max="8951" width="9.625" style="1" customWidth="1"/>
    <col min="8952" max="8952" width="10.5" style="1" customWidth="1"/>
    <col min="8953" max="8953" width="20.375" style="1" bestFit="1" customWidth="1"/>
    <col min="8954" max="8954" width="12.5" style="1" customWidth="1"/>
    <col min="8955" max="8955" width="13.125" style="1" customWidth="1"/>
    <col min="8956" max="8960" width="9" style="1"/>
    <col min="8961" max="8961" width="11.25" style="1" bestFit="1" customWidth="1"/>
    <col min="8962" max="8962" width="11.625" style="1" bestFit="1" customWidth="1"/>
    <col min="8963" max="9193" width="9" style="1"/>
    <col min="9194" max="9194" width="4.625" style="1" customWidth="1"/>
    <col min="9195" max="9195" width="34.625" style="1" customWidth="1"/>
    <col min="9196" max="9196" width="11.625" style="1" customWidth="1"/>
    <col min="9197" max="9198" width="6.625" style="1" customWidth="1"/>
    <col min="9199" max="9199" width="10.625" style="1" customWidth="1"/>
    <col min="9200" max="9200" width="14.625" style="1" customWidth="1"/>
    <col min="9201" max="9201" width="10.625" style="1" customWidth="1"/>
    <col min="9202" max="9202" width="14.625" style="1" customWidth="1"/>
    <col min="9203" max="9203" width="10.625" style="1" customWidth="1"/>
    <col min="9204" max="9204" width="14.625" style="1" customWidth="1"/>
    <col min="9205" max="9205" width="10.625" style="1" customWidth="1"/>
    <col min="9206" max="9206" width="18.625" style="1" customWidth="1"/>
    <col min="9207" max="9207" width="9.625" style="1" customWidth="1"/>
    <col min="9208" max="9208" width="10.5" style="1" customWidth="1"/>
    <col min="9209" max="9209" width="20.375" style="1" bestFit="1" customWidth="1"/>
    <col min="9210" max="9210" width="12.5" style="1" customWidth="1"/>
    <col min="9211" max="9211" width="13.125" style="1" customWidth="1"/>
    <col min="9212" max="9216" width="9" style="1"/>
    <col min="9217" max="9217" width="11.25" style="1" bestFit="1" customWidth="1"/>
    <col min="9218" max="9218" width="11.625" style="1" bestFit="1" customWidth="1"/>
    <col min="9219" max="9449" width="9" style="1"/>
    <col min="9450" max="9450" width="4.625" style="1" customWidth="1"/>
    <col min="9451" max="9451" width="34.625" style="1" customWidth="1"/>
    <col min="9452" max="9452" width="11.625" style="1" customWidth="1"/>
    <col min="9453" max="9454" width="6.625" style="1" customWidth="1"/>
    <col min="9455" max="9455" width="10.625" style="1" customWidth="1"/>
    <col min="9456" max="9456" width="14.625" style="1" customWidth="1"/>
    <col min="9457" max="9457" width="10.625" style="1" customWidth="1"/>
    <col min="9458" max="9458" width="14.625" style="1" customWidth="1"/>
    <col min="9459" max="9459" width="10.625" style="1" customWidth="1"/>
    <col min="9460" max="9460" width="14.625" style="1" customWidth="1"/>
    <col min="9461" max="9461" width="10.625" style="1" customWidth="1"/>
    <col min="9462" max="9462" width="18.625" style="1" customWidth="1"/>
    <col min="9463" max="9463" width="9.625" style="1" customWidth="1"/>
    <col min="9464" max="9464" width="10.5" style="1" customWidth="1"/>
    <col min="9465" max="9465" width="20.375" style="1" bestFit="1" customWidth="1"/>
    <col min="9466" max="9466" width="12.5" style="1" customWidth="1"/>
    <col min="9467" max="9467" width="13.125" style="1" customWidth="1"/>
    <col min="9468" max="9472" width="9" style="1"/>
    <col min="9473" max="9473" width="11.25" style="1" bestFit="1" customWidth="1"/>
    <col min="9474" max="9474" width="11.625" style="1" bestFit="1" customWidth="1"/>
    <col min="9475" max="9705" width="9" style="1"/>
    <col min="9706" max="9706" width="4.625" style="1" customWidth="1"/>
    <col min="9707" max="9707" width="34.625" style="1" customWidth="1"/>
    <col min="9708" max="9708" width="11.625" style="1" customWidth="1"/>
    <col min="9709" max="9710" width="6.625" style="1" customWidth="1"/>
    <col min="9711" max="9711" width="10.625" style="1" customWidth="1"/>
    <col min="9712" max="9712" width="14.625" style="1" customWidth="1"/>
    <col min="9713" max="9713" width="10.625" style="1" customWidth="1"/>
    <col min="9714" max="9714" width="14.625" style="1" customWidth="1"/>
    <col min="9715" max="9715" width="10.625" style="1" customWidth="1"/>
    <col min="9716" max="9716" width="14.625" style="1" customWidth="1"/>
    <col min="9717" max="9717" width="10.625" style="1" customWidth="1"/>
    <col min="9718" max="9718" width="18.625" style="1" customWidth="1"/>
    <col min="9719" max="9719" width="9.625" style="1" customWidth="1"/>
    <col min="9720" max="9720" width="10.5" style="1" customWidth="1"/>
    <col min="9721" max="9721" width="20.375" style="1" bestFit="1" customWidth="1"/>
    <col min="9722" max="9722" width="12.5" style="1" customWidth="1"/>
    <col min="9723" max="9723" width="13.125" style="1" customWidth="1"/>
    <col min="9724" max="9728" width="9" style="1"/>
    <col min="9729" max="9729" width="11.25" style="1" bestFit="1" customWidth="1"/>
    <col min="9730" max="9730" width="11.625" style="1" bestFit="1" customWidth="1"/>
    <col min="9731" max="9961" width="9" style="1"/>
    <col min="9962" max="9962" width="4.625" style="1" customWidth="1"/>
    <col min="9963" max="9963" width="34.625" style="1" customWidth="1"/>
    <col min="9964" max="9964" width="11.625" style="1" customWidth="1"/>
    <col min="9965" max="9966" width="6.625" style="1" customWidth="1"/>
    <col min="9967" max="9967" width="10.625" style="1" customWidth="1"/>
    <col min="9968" max="9968" width="14.625" style="1" customWidth="1"/>
    <col min="9969" max="9969" width="10.625" style="1" customWidth="1"/>
    <col min="9970" max="9970" width="14.625" style="1" customWidth="1"/>
    <col min="9971" max="9971" width="10.625" style="1" customWidth="1"/>
    <col min="9972" max="9972" width="14.625" style="1" customWidth="1"/>
    <col min="9973" max="9973" width="10.625" style="1" customWidth="1"/>
    <col min="9974" max="9974" width="18.625" style="1" customWidth="1"/>
    <col min="9975" max="9975" width="9.625" style="1" customWidth="1"/>
    <col min="9976" max="9976" width="10.5" style="1" customWidth="1"/>
    <col min="9977" max="9977" width="20.375" style="1" bestFit="1" customWidth="1"/>
    <col min="9978" max="9978" width="12.5" style="1" customWidth="1"/>
    <col min="9979" max="9979" width="13.125" style="1" customWidth="1"/>
    <col min="9980" max="9984" width="9" style="1"/>
    <col min="9985" max="9985" width="11.25" style="1" bestFit="1" customWidth="1"/>
    <col min="9986" max="9986" width="11.625" style="1" bestFit="1" customWidth="1"/>
    <col min="9987" max="10217" width="9" style="1"/>
    <col min="10218" max="10218" width="4.625" style="1" customWidth="1"/>
    <col min="10219" max="10219" width="34.625" style="1" customWidth="1"/>
    <col min="10220" max="10220" width="11.625" style="1" customWidth="1"/>
    <col min="10221" max="10222" width="6.625" style="1" customWidth="1"/>
    <col min="10223" max="10223" width="10.625" style="1" customWidth="1"/>
    <col min="10224" max="10224" width="14.625" style="1" customWidth="1"/>
    <col min="10225" max="10225" width="10.625" style="1" customWidth="1"/>
    <col min="10226" max="10226" width="14.625" style="1" customWidth="1"/>
    <col min="10227" max="10227" width="10.625" style="1" customWidth="1"/>
    <col min="10228" max="10228" width="14.625" style="1" customWidth="1"/>
    <col min="10229" max="10229" width="10.625" style="1" customWidth="1"/>
    <col min="10230" max="10230" width="18.625" style="1" customWidth="1"/>
    <col min="10231" max="10231" width="9.625" style="1" customWidth="1"/>
    <col min="10232" max="10232" width="10.5" style="1" customWidth="1"/>
    <col min="10233" max="10233" width="20.375" style="1" bestFit="1" customWidth="1"/>
    <col min="10234" max="10234" width="12.5" style="1" customWidth="1"/>
    <col min="10235" max="10235" width="13.125" style="1" customWidth="1"/>
    <col min="10236" max="10240" width="9" style="1"/>
    <col min="10241" max="10241" width="11.25" style="1" bestFit="1" customWidth="1"/>
    <col min="10242" max="10242" width="11.625" style="1" bestFit="1" customWidth="1"/>
    <col min="10243" max="10473" width="9" style="1"/>
    <col min="10474" max="10474" width="4.625" style="1" customWidth="1"/>
    <col min="10475" max="10475" width="34.625" style="1" customWidth="1"/>
    <col min="10476" max="10476" width="11.625" style="1" customWidth="1"/>
    <col min="10477" max="10478" width="6.625" style="1" customWidth="1"/>
    <col min="10479" max="10479" width="10.625" style="1" customWidth="1"/>
    <col min="10480" max="10480" width="14.625" style="1" customWidth="1"/>
    <col min="10481" max="10481" width="10.625" style="1" customWidth="1"/>
    <col min="10482" max="10482" width="14.625" style="1" customWidth="1"/>
    <col min="10483" max="10483" width="10.625" style="1" customWidth="1"/>
    <col min="10484" max="10484" width="14.625" style="1" customWidth="1"/>
    <col min="10485" max="10485" width="10.625" style="1" customWidth="1"/>
    <col min="10486" max="10486" width="18.625" style="1" customWidth="1"/>
    <col min="10487" max="10487" width="9.625" style="1" customWidth="1"/>
    <col min="10488" max="10488" width="10.5" style="1" customWidth="1"/>
    <col min="10489" max="10489" width="20.375" style="1" bestFit="1" customWidth="1"/>
    <col min="10490" max="10490" width="12.5" style="1" customWidth="1"/>
    <col min="10491" max="10491" width="13.125" style="1" customWidth="1"/>
    <col min="10492" max="10496" width="9" style="1"/>
    <col min="10497" max="10497" width="11.25" style="1" bestFit="1" customWidth="1"/>
    <col min="10498" max="10498" width="11.625" style="1" bestFit="1" customWidth="1"/>
    <col min="10499" max="10729" width="9" style="1"/>
    <col min="10730" max="10730" width="4.625" style="1" customWidth="1"/>
    <col min="10731" max="10731" width="34.625" style="1" customWidth="1"/>
    <col min="10732" max="10732" width="11.625" style="1" customWidth="1"/>
    <col min="10733" max="10734" width="6.625" style="1" customWidth="1"/>
    <col min="10735" max="10735" width="10.625" style="1" customWidth="1"/>
    <col min="10736" max="10736" width="14.625" style="1" customWidth="1"/>
    <col min="10737" max="10737" width="10.625" style="1" customWidth="1"/>
    <col min="10738" max="10738" width="14.625" style="1" customWidth="1"/>
    <col min="10739" max="10739" width="10.625" style="1" customWidth="1"/>
    <col min="10740" max="10740" width="14.625" style="1" customWidth="1"/>
    <col min="10741" max="10741" width="10.625" style="1" customWidth="1"/>
    <col min="10742" max="10742" width="18.625" style="1" customWidth="1"/>
    <col min="10743" max="10743" width="9.625" style="1" customWidth="1"/>
    <col min="10744" max="10744" width="10.5" style="1" customWidth="1"/>
    <col min="10745" max="10745" width="20.375" style="1" bestFit="1" customWidth="1"/>
    <col min="10746" max="10746" width="12.5" style="1" customWidth="1"/>
    <col min="10747" max="10747" width="13.125" style="1" customWidth="1"/>
    <col min="10748" max="10752" width="9" style="1"/>
    <col min="10753" max="10753" width="11.25" style="1" bestFit="1" customWidth="1"/>
    <col min="10754" max="10754" width="11.625" style="1" bestFit="1" customWidth="1"/>
    <col min="10755" max="10985" width="9" style="1"/>
    <col min="10986" max="10986" width="4.625" style="1" customWidth="1"/>
    <col min="10987" max="10987" width="34.625" style="1" customWidth="1"/>
    <col min="10988" max="10988" width="11.625" style="1" customWidth="1"/>
    <col min="10989" max="10990" width="6.625" style="1" customWidth="1"/>
    <col min="10991" max="10991" width="10.625" style="1" customWidth="1"/>
    <col min="10992" max="10992" width="14.625" style="1" customWidth="1"/>
    <col min="10993" max="10993" width="10.625" style="1" customWidth="1"/>
    <col min="10994" max="10994" width="14.625" style="1" customWidth="1"/>
    <col min="10995" max="10995" width="10.625" style="1" customWidth="1"/>
    <col min="10996" max="10996" width="14.625" style="1" customWidth="1"/>
    <col min="10997" max="10997" width="10.625" style="1" customWidth="1"/>
    <col min="10998" max="10998" width="18.625" style="1" customWidth="1"/>
    <col min="10999" max="10999" width="9.625" style="1" customWidth="1"/>
    <col min="11000" max="11000" width="10.5" style="1" customWidth="1"/>
    <col min="11001" max="11001" width="20.375" style="1" bestFit="1" customWidth="1"/>
    <col min="11002" max="11002" width="12.5" style="1" customWidth="1"/>
    <col min="11003" max="11003" width="13.125" style="1" customWidth="1"/>
    <col min="11004" max="11008" width="9" style="1"/>
    <col min="11009" max="11009" width="11.25" style="1" bestFit="1" customWidth="1"/>
    <col min="11010" max="11010" width="11.625" style="1" bestFit="1" customWidth="1"/>
    <col min="11011" max="11241" width="9" style="1"/>
    <col min="11242" max="11242" width="4.625" style="1" customWidth="1"/>
    <col min="11243" max="11243" width="34.625" style="1" customWidth="1"/>
    <col min="11244" max="11244" width="11.625" style="1" customWidth="1"/>
    <col min="11245" max="11246" width="6.625" style="1" customWidth="1"/>
    <col min="11247" max="11247" width="10.625" style="1" customWidth="1"/>
    <col min="11248" max="11248" width="14.625" style="1" customWidth="1"/>
    <col min="11249" max="11249" width="10.625" style="1" customWidth="1"/>
    <col min="11250" max="11250" width="14.625" style="1" customWidth="1"/>
    <col min="11251" max="11251" width="10.625" style="1" customWidth="1"/>
    <col min="11252" max="11252" width="14.625" style="1" customWidth="1"/>
    <col min="11253" max="11253" width="10.625" style="1" customWidth="1"/>
    <col min="11254" max="11254" width="18.625" style="1" customWidth="1"/>
    <col min="11255" max="11255" width="9.625" style="1" customWidth="1"/>
    <col min="11256" max="11256" width="10.5" style="1" customWidth="1"/>
    <col min="11257" max="11257" width="20.375" style="1" bestFit="1" customWidth="1"/>
    <col min="11258" max="11258" width="12.5" style="1" customWidth="1"/>
    <col min="11259" max="11259" width="13.125" style="1" customWidth="1"/>
    <col min="11260" max="11264" width="9" style="1"/>
    <col min="11265" max="11265" width="11.25" style="1" bestFit="1" customWidth="1"/>
    <col min="11266" max="11266" width="11.625" style="1" bestFit="1" customWidth="1"/>
    <col min="11267" max="11497" width="9" style="1"/>
    <col min="11498" max="11498" width="4.625" style="1" customWidth="1"/>
    <col min="11499" max="11499" width="34.625" style="1" customWidth="1"/>
    <col min="11500" max="11500" width="11.625" style="1" customWidth="1"/>
    <col min="11501" max="11502" width="6.625" style="1" customWidth="1"/>
    <col min="11503" max="11503" width="10.625" style="1" customWidth="1"/>
    <col min="11504" max="11504" width="14.625" style="1" customWidth="1"/>
    <col min="11505" max="11505" width="10.625" style="1" customWidth="1"/>
    <col min="11506" max="11506" width="14.625" style="1" customWidth="1"/>
    <col min="11507" max="11507" width="10.625" style="1" customWidth="1"/>
    <col min="11508" max="11508" width="14.625" style="1" customWidth="1"/>
    <col min="11509" max="11509" width="10.625" style="1" customWidth="1"/>
    <col min="11510" max="11510" width="18.625" style="1" customWidth="1"/>
    <col min="11511" max="11511" width="9.625" style="1" customWidth="1"/>
    <col min="11512" max="11512" width="10.5" style="1" customWidth="1"/>
    <col min="11513" max="11513" width="20.375" style="1" bestFit="1" customWidth="1"/>
    <col min="11514" max="11514" width="12.5" style="1" customWidth="1"/>
    <col min="11515" max="11515" width="13.125" style="1" customWidth="1"/>
    <col min="11516" max="11520" width="9" style="1"/>
    <col min="11521" max="11521" width="11.25" style="1" bestFit="1" customWidth="1"/>
    <col min="11522" max="11522" width="11.625" style="1" bestFit="1" customWidth="1"/>
    <col min="11523" max="11753" width="9" style="1"/>
    <col min="11754" max="11754" width="4.625" style="1" customWidth="1"/>
    <col min="11755" max="11755" width="34.625" style="1" customWidth="1"/>
    <col min="11756" max="11756" width="11.625" style="1" customWidth="1"/>
    <col min="11757" max="11758" width="6.625" style="1" customWidth="1"/>
    <col min="11759" max="11759" width="10.625" style="1" customWidth="1"/>
    <col min="11760" max="11760" width="14.625" style="1" customWidth="1"/>
    <col min="11761" max="11761" width="10.625" style="1" customWidth="1"/>
    <col min="11762" max="11762" width="14.625" style="1" customWidth="1"/>
    <col min="11763" max="11763" width="10.625" style="1" customWidth="1"/>
    <col min="11764" max="11764" width="14.625" style="1" customWidth="1"/>
    <col min="11765" max="11765" width="10.625" style="1" customWidth="1"/>
    <col min="11766" max="11766" width="18.625" style="1" customWidth="1"/>
    <col min="11767" max="11767" width="9.625" style="1" customWidth="1"/>
    <col min="11768" max="11768" width="10.5" style="1" customWidth="1"/>
    <col min="11769" max="11769" width="20.375" style="1" bestFit="1" customWidth="1"/>
    <col min="11770" max="11770" width="12.5" style="1" customWidth="1"/>
    <col min="11771" max="11771" width="13.125" style="1" customWidth="1"/>
    <col min="11772" max="11776" width="9" style="1"/>
    <col min="11777" max="11777" width="11.25" style="1" bestFit="1" customWidth="1"/>
    <col min="11778" max="11778" width="11.625" style="1" bestFit="1" customWidth="1"/>
    <col min="11779" max="12009" width="9" style="1"/>
    <col min="12010" max="12010" width="4.625" style="1" customWidth="1"/>
    <col min="12011" max="12011" width="34.625" style="1" customWidth="1"/>
    <col min="12012" max="12012" width="11.625" style="1" customWidth="1"/>
    <col min="12013" max="12014" width="6.625" style="1" customWidth="1"/>
    <col min="12015" max="12015" width="10.625" style="1" customWidth="1"/>
    <col min="12016" max="12016" width="14.625" style="1" customWidth="1"/>
    <col min="12017" max="12017" width="10.625" style="1" customWidth="1"/>
    <col min="12018" max="12018" width="14.625" style="1" customWidth="1"/>
    <col min="12019" max="12019" width="10.625" style="1" customWidth="1"/>
    <col min="12020" max="12020" width="14.625" style="1" customWidth="1"/>
    <col min="12021" max="12021" width="10.625" style="1" customWidth="1"/>
    <col min="12022" max="12022" width="18.625" style="1" customWidth="1"/>
    <col min="12023" max="12023" width="9.625" style="1" customWidth="1"/>
    <col min="12024" max="12024" width="10.5" style="1" customWidth="1"/>
    <col min="12025" max="12025" width="20.375" style="1" bestFit="1" customWidth="1"/>
    <col min="12026" max="12026" width="12.5" style="1" customWidth="1"/>
    <col min="12027" max="12027" width="13.125" style="1" customWidth="1"/>
    <col min="12028" max="12032" width="9" style="1"/>
    <col min="12033" max="12033" width="11.25" style="1" bestFit="1" customWidth="1"/>
    <col min="12034" max="12034" width="11.625" style="1" bestFit="1" customWidth="1"/>
    <col min="12035" max="12265" width="9" style="1"/>
    <col min="12266" max="12266" width="4.625" style="1" customWidth="1"/>
    <col min="12267" max="12267" width="34.625" style="1" customWidth="1"/>
    <col min="12268" max="12268" width="11.625" style="1" customWidth="1"/>
    <col min="12269" max="12270" width="6.625" style="1" customWidth="1"/>
    <col min="12271" max="12271" width="10.625" style="1" customWidth="1"/>
    <col min="12272" max="12272" width="14.625" style="1" customWidth="1"/>
    <col min="12273" max="12273" width="10.625" style="1" customWidth="1"/>
    <col min="12274" max="12274" width="14.625" style="1" customWidth="1"/>
    <col min="12275" max="12275" width="10.625" style="1" customWidth="1"/>
    <col min="12276" max="12276" width="14.625" style="1" customWidth="1"/>
    <col min="12277" max="12277" width="10.625" style="1" customWidth="1"/>
    <col min="12278" max="12278" width="18.625" style="1" customWidth="1"/>
    <col min="12279" max="12279" width="9.625" style="1" customWidth="1"/>
    <col min="12280" max="12280" width="10.5" style="1" customWidth="1"/>
    <col min="12281" max="12281" width="20.375" style="1" bestFit="1" customWidth="1"/>
    <col min="12282" max="12282" width="12.5" style="1" customWidth="1"/>
    <col min="12283" max="12283" width="13.125" style="1" customWidth="1"/>
    <col min="12284" max="12288" width="9" style="1"/>
    <col min="12289" max="12289" width="11.25" style="1" bestFit="1" customWidth="1"/>
    <col min="12290" max="12290" width="11.625" style="1" bestFit="1" customWidth="1"/>
    <col min="12291" max="12521" width="9" style="1"/>
    <col min="12522" max="12522" width="4.625" style="1" customWidth="1"/>
    <col min="12523" max="12523" width="34.625" style="1" customWidth="1"/>
    <col min="12524" max="12524" width="11.625" style="1" customWidth="1"/>
    <col min="12525" max="12526" width="6.625" style="1" customWidth="1"/>
    <col min="12527" max="12527" width="10.625" style="1" customWidth="1"/>
    <col min="12528" max="12528" width="14.625" style="1" customWidth="1"/>
    <col min="12529" max="12529" width="10.625" style="1" customWidth="1"/>
    <col min="12530" max="12530" width="14.625" style="1" customWidth="1"/>
    <col min="12531" max="12531" width="10.625" style="1" customWidth="1"/>
    <col min="12532" max="12532" width="14.625" style="1" customWidth="1"/>
    <col min="12533" max="12533" width="10.625" style="1" customWidth="1"/>
    <col min="12534" max="12534" width="18.625" style="1" customWidth="1"/>
    <col min="12535" max="12535" width="9.625" style="1" customWidth="1"/>
    <col min="12536" max="12536" width="10.5" style="1" customWidth="1"/>
    <col min="12537" max="12537" width="20.375" style="1" bestFit="1" customWidth="1"/>
    <col min="12538" max="12538" width="12.5" style="1" customWidth="1"/>
    <col min="12539" max="12539" width="13.125" style="1" customWidth="1"/>
    <col min="12540" max="12544" width="9" style="1"/>
    <col min="12545" max="12545" width="11.25" style="1" bestFit="1" customWidth="1"/>
    <col min="12546" max="12546" width="11.625" style="1" bestFit="1" customWidth="1"/>
    <col min="12547" max="12777" width="9" style="1"/>
    <col min="12778" max="12778" width="4.625" style="1" customWidth="1"/>
    <col min="12779" max="12779" width="34.625" style="1" customWidth="1"/>
    <col min="12780" max="12780" width="11.625" style="1" customWidth="1"/>
    <col min="12781" max="12782" width="6.625" style="1" customWidth="1"/>
    <col min="12783" max="12783" width="10.625" style="1" customWidth="1"/>
    <col min="12784" max="12784" width="14.625" style="1" customWidth="1"/>
    <col min="12785" max="12785" width="10.625" style="1" customWidth="1"/>
    <col min="12786" max="12786" width="14.625" style="1" customWidth="1"/>
    <col min="12787" max="12787" width="10.625" style="1" customWidth="1"/>
    <col min="12788" max="12788" width="14.625" style="1" customWidth="1"/>
    <col min="12789" max="12789" width="10.625" style="1" customWidth="1"/>
    <col min="12790" max="12790" width="18.625" style="1" customWidth="1"/>
    <col min="12791" max="12791" width="9.625" style="1" customWidth="1"/>
    <col min="12792" max="12792" width="10.5" style="1" customWidth="1"/>
    <col min="12793" max="12793" width="20.375" style="1" bestFit="1" customWidth="1"/>
    <col min="12794" max="12794" width="12.5" style="1" customWidth="1"/>
    <col min="12795" max="12795" width="13.125" style="1" customWidth="1"/>
    <col min="12796" max="12800" width="9" style="1"/>
    <col min="12801" max="12801" width="11.25" style="1" bestFit="1" customWidth="1"/>
    <col min="12802" max="12802" width="11.625" style="1" bestFit="1" customWidth="1"/>
    <col min="12803" max="13033" width="9" style="1"/>
    <col min="13034" max="13034" width="4.625" style="1" customWidth="1"/>
    <col min="13035" max="13035" width="34.625" style="1" customWidth="1"/>
    <col min="13036" max="13036" width="11.625" style="1" customWidth="1"/>
    <col min="13037" max="13038" width="6.625" style="1" customWidth="1"/>
    <col min="13039" max="13039" width="10.625" style="1" customWidth="1"/>
    <col min="13040" max="13040" width="14.625" style="1" customWidth="1"/>
    <col min="13041" max="13041" width="10.625" style="1" customWidth="1"/>
    <col min="13042" max="13042" width="14.625" style="1" customWidth="1"/>
    <col min="13043" max="13043" width="10.625" style="1" customWidth="1"/>
    <col min="13044" max="13044" width="14.625" style="1" customWidth="1"/>
    <col min="13045" max="13045" width="10.625" style="1" customWidth="1"/>
    <col min="13046" max="13046" width="18.625" style="1" customWidth="1"/>
    <col min="13047" max="13047" width="9.625" style="1" customWidth="1"/>
    <col min="13048" max="13048" width="10.5" style="1" customWidth="1"/>
    <col min="13049" max="13049" width="20.375" style="1" bestFit="1" customWidth="1"/>
    <col min="13050" max="13050" width="12.5" style="1" customWidth="1"/>
    <col min="13051" max="13051" width="13.125" style="1" customWidth="1"/>
    <col min="13052" max="13056" width="9" style="1"/>
    <col min="13057" max="13057" width="11.25" style="1" bestFit="1" customWidth="1"/>
    <col min="13058" max="13058" width="11.625" style="1" bestFit="1" customWidth="1"/>
    <col min="13059" max="13289" width="9" style="1"/>
    <col min="13290" max="13290" width="4.625" style="1" customWidth="1"/>
    <col min="13291" max="13291" width="34.625" style="1" customWidth="1"/>
    <col min="13292" max="13292" width="11.625" style="1" customWidth="1"/>
    <col min="13293" max="13294" width="6.625" style="1" customWidth="1"/>
    <col min="13295" max="13295" width="10.625" style="1" customWidth="1"/>
    <col min="13296" max="13296" width="14.625" style="1" customWidth="1"/>
    <col min="13297" max="13297" width="10.625" style="1" customWidth="1"/>
    <col min="13298" max="13298" width="14.625" style="1" customWidth="1"/>
    <col min="13299" max="13299" width="10.625" style="1" customWidth="1"/>
    <col min="13300" max="13300" width="14.625" style="1" customWidth="1"/>
    <col min="13301" max="13301" width="10.625" style="1" customWidth="1"/>
    <col min="13302" max="13302" width="18.625" style="1" customWidth="1"/>
    <col min="13303" max="13303" width="9.625" style="1" customWidth="1"/>
    <col min="13304" max="13304" width="10.5" style="1" customWidth="1"/>
    <col min="13305" max="13305" width="20.375" style="1" bestFit="1" customWidth="1"/>
    <col min="13306" max="13306" width="12.5" style="1" customWidth="1"/>
    <col min="13307" max="13307" width="13.125" style="1" customWidth="1"/>
    <col min="13308" max="13312" width="9" style="1"/>
    <col min="13313" max="13313" width="11.25" style="1" bestFit="1" customWidth="1"/>
    <col min="13314" max="13314" width="11.625" style="1" bestFit="1" customWidth="1"/>
    <col min="13315" max="13545" width="9" style="1"/>
    <col min="13546" max="13546" width="4.625" style="1" customWidth="1"/>
    <col min="13547" max="13547" width="34.625" style="1" customWidth="1"/>
    <col min="13548" max="13548" width="11.625" style="1" customWidth="1"/>
    <col min="13549" max="13550" width="6.625" style="1" customWidth="1"/>
    <col min="13551" max="13551" width="10.625" style="1" customWidth="1"/>
    <col min="13552" max="13552" width="14.625" style="1" customWidth="1"/>
    <col min="13553" max="13553" width="10.625" style="1" customWidth="1"/>
    <col min="13554" max="13554" width="14.625" style="1" customWidth="1"/>
    <col min="13555" max="13555" width="10.625" style="1" customWidth="1"/>
    <col min="13556" max="13556" width="14.625" style="1" customWidth="1"/>
    <col min="13557" max="13557" width="10.625" style="1" customWidth="1"/>
    <col min="13558" max="13558" width="18.625" style="1" customWidth="1"/>
    <col min="13559" max="13559" width="9.625" style="1" customWidth="1"/>
    <col min="13560" max="13560" width="10.5" style="1" customWidth="1"/>
    <col min="13561" max="13561" width="20.375" style="1" bestFit="1" customWidth="1"/>
    <col min="13562" max="13562" width="12.5" style="1" customWidth="1"/>
    <col min="13563" max="13563" width="13.125" style="1" customWidth="1"/>
    <col min="13564" max="13568" width="9" style="1"/>
    <col min="13569" max="13569" width="11.25" style="1" bestFit="1" customWidth="1"/>
    <col min="13570" max="13570" width="11.625" style="1" bestFit="1" customWidth="1"/>
    <col min="13571" max="13801" width="9" style="1"/>
    <col min="13802" max="13802" width="4.625" style="1" customWidth="1"/>
    <col min="13803" max="13803" width="34.625" style="1" customWidth="1"/>
    <col min="13804" max="13804" width="11.625" style="1" customWidth="1"/>
    <col min="13805" max="13806" width="6.625" style="1" customWidth="1"/>
    <col min="13807" max="13807" width="10.625" style="1" customWidth="1"/>
    <col min="13808" max="13808" width="14.625" style="1" customWidth="1"/>
    <col min="13809" max="13809" width="10.625" style="1" customWidth="1"/>
    <col min="13810" max="13810" width="14.625" style="1" customWidth="1"/>
    <col min="13811" max="13811" width="10.625" style="1" customWidth="1"/>
    <col min="13812" max="13812" width="14.625" style="1" customWidth="1"/>
    <col min="13813" max="13813" width="10.625" style="1" customWidth="1"/>
    <col min="13814" max="13814" width="18.625" style="1" customWidth="1"/>
    <col min="13815" max="13815" width="9.625" style="1" customWidth="1"/>
    <col min="13816" max="13816" width="10.5" style="1" customWidth="1"/>
    <col min="13817" max="13817" width="20.375" style="1" bestFit="1" customWidth="1"/>
    <col min="13818" max="13818" width="12.5" style="1" customWidth="1"/>
    <col min="13819" max="13819" width="13.125" style="1" customWidth="1"/>
    <col min="13820" max="13824" width="9" style="1"/>
    <col min="13825" max="13825" width="11.25" style="1" bestFit="1" customWidth="1"/>
    <col min="13826" max="13826" width="11.625" style="1" bestFit="1" customWidth="1"/>
    <col min="13827" max="14057" width="9" style="1"/>
    <col min="14058" max="14058" width="4.625" style="1" customWidth="1"/>
    <col min="14059" max="14059" width="34.625" style="1" customWidth="1"/>
    <col min="14060" max="14060" width="11.625" style="1" customWidth="1"/>
    <col min="14061" max="14062" width="6.625" style="1" customWidth="1"/>
    <col min="14063" max="14063" width="10.625" style="1" customWidth="1"/>
    <col min="14064" max="14064" width="14.625" style="1" customWidth="1"/>
    <col min="14065" max="14065" width="10.625" style="1" customWidth="1"/>
    <col min="14066" max="14066" width="14.625" style="1" customWidth="1"/>
    <col min="14067" max="14067" width="10.625" style="1" customWidth="1"/>
    <col min="14068" max="14068" width="14.625" style="1" customWidth="1"/>
    <col min="14069" max="14069" width="10.625" style="1" customWidth="1"/>
    <col min="14070" max="14070" width="18.625" style="1" customWidth="1"/>
    <col min="14071" max="14071" width="9.625" style="1" customWidth="1"/>
    <col min="14072" max="14072" width="10.5" style="1" customWidth="1"/>
    <col min="14073" max="14073" width="20.375" style="1" bestFit="1" customWidth="1"/>
    <col min="14074" max="14074" width="12.5" style="1" customWidth="1"/>
    <col min="14075" max="14075" width="13.125" style="1" customWidth="1"/>
    <col min="14076" max="14080" width="9" style="1"/>
    <col min="14081" max="14081" width="11.25" style="1" bestFit="1" customWidth="1"/>
    <col min="14082" max="14082" width="11.625" style="1" bestFit="1" customWidth="1"/>
    <col min="14083" max="14313" width="9" style="1"/>
    <col min="14314" max="14314" width="4.625" style="1" customWidth="1"/>
    <col min="14315" max="14315" width="34.625" style="1" customWidth="1"/>
    <col min="14316" max="14316" width="11.625" style="1" customWidth="1"/>
    <col min="14317" max="14318" width="6.625" style="1" customWidth="1"/>
    <col min="14319" max="14319" width="10.625" style="1" customWidth="1"/>
    <col min="14320" max="14320" width="14.625" style="1" customWidth="1"/>
    <col min="14321" max="14321" width="10.625" style="1" customWidth="1"/>
    <col min="14322" max="14322" width="14.625" style="1" customWidth="1"/>
    <col min="14323" max="14323" width="10.625" style="1" customWidth="1"/>
    <col min="14324" max="14324" width="14.625" style="1" customWidth="1"/>
    <col min="14325" max="14325" width="10.625" style="1" customWidth="1"/>
    <col min="14326" max="14326" width="18.625" style="1" customWidth="1"/>
    <col min="14327" max="14327" width="9.625" style="1" customWidth="1"/>
    <col min="14328" max="14328" width="10.5" style="1" customWidth="1"/>
    <col min="14329" max="14329" width="20.375" style="1" bestFit="1" customWidth="1"/>
    <col min="14330" max="14330" width="12.5" style="1" customWidth="1"/>
    <col min="14331" max="14331" width="13.125" style="1" customWidth="1"/>
    <col min="14332" max="14336" width="9" style="1"/>
    <col min="14337" max="14337" width="11.25" style="1" bestFit="1" customWidth="1"/>
    <col min="14338" max="14338" width="11.625" style="1" bestFit="1" customWidth="1"/>
    <col min="14339" max="14569" width="9" style="1"/>
    <col min="14570" max="14570" width="4.625" style="1" customWidth="1"/>
    <col min="14571" max="14571" width="34.625" style="1" customWidth="1"/>
    <col min="14572" max="14572" width="11.625" style="1" customWidth="1"/>
    <col min="14573" max="14574" width="6.625" style="1" customWidth="1"/>
    <col min="14575" max="14575" width="10.625" style="1" customWidth="1"/>
    <col min="14576" max="14576" width="14.625" style="1" customWidth="1"/>
    <col min="14577" max="14577" width="10.625" style="1" customWidth="1"/>
    <col min="14578" max="14578" width="14.625" style="1" customWidth="1"/>
    <col min="14579" max="14579" width="10.625" style="1" customWidth="1"/>
    <col min="14580" max="14580" width="14.625" style="1" customWidth="1"/>
    <col min="14581" max="14581" width="10.625" style="1" customWidth="1"/>
    <col min="14582" max="14582" width="18.625" style="1" customWidth="1"/>
    <col min="14583" max="14583" width="9.625" style="1" customWidth="1"/>
    <col min="14584" max="14584" width="10.5" style="1" customWidth="1"/>
    <col min="14585" max="14585" width="20.375" style="1" bestFit="1" customWidth="1"/>
    <col min="14586" max="14586" width="12.5" style="1" customWidth="1"/>
    <col min="14587" max="14587" width="13.125" style="1" customWidth="1"/>
    <col min="14588" max="14592" width="9" style="1"/>
    <col min="14593" max="14593" width="11.25" style="1" bestFit="1" customWidth="1"/>
    <col min="14594" max="14594" width="11.625" style="1" bestFit="1" customWidth="1"/>
    <col min="14595" max="14825" width="9" style="1"/>
    <col min="14826" max="14826" width="4.625" style="1" customWidth="1"/>
    <col min="14827" max="14827" width="34.625" style="1" customWidth="1"/>
    <col min="14828" max="14828" width="11.625" style="1" customWidth="1"/>
    <col min="14829" max="14830" width="6.625" style="1" customWidth="1"/>
    <col min="14831" max="14831" width="10.625" style="1" customWidth="1"/>
    <col min="14832" max="14832" width="14.625" style="1" customWidth="1"/>
    <col min="14833" max="14833" width="10.625" style="1" customWidth="1"/>
    <col min="14834" max="14834" width="14.625" style="1" customWidth="1"/>
    <col min="14835" max="14835" width="10.625" style="1" customWidth="1"/>
    <col min="14836" max="14836" width="14.625" style="1" customWidth="1"/>
    <col min="14837" max="14837" width="10.625" style="1" customWidth="1"/>
    <col min="14838" max="14838" width="18.625" style="1" customWidth="1"/>
    <col min="14839" max="14839" width="9.625" style="1" customWidth="1"/>
    <col min="14840" max="14840" width="10.5" style="1" customWidth="1"/>
    <col min="14841" max="14841" width="20.375" style="1" bestFit="1" customWidth="1"/>
    <col min="14842" max="14842" width="12.5" style="1" customWidth="1"/>
    <col min="14843" max="14843" width="13.125" style="1" customWidth="1"/>
    <col min="14844" max="14848" width="9" style="1"/>
    <col min="14849" max="14849" width="11.25" style="1" bestFit="1" customWidth="1"/>
    <col min="14850" max="14850" width="11.625" style="1" bestFit="1" customWidth="1"/>
    <col min="14851" max="15081" width="9" style="1"/>
    <col min="15082" max="15082" width="4.625" style="1" customWidth="1"/>
    <col min="15083" max="15083" width="34.625" style="1" customWidth="1"/>
    <col min="15084" max="15084" width="11.625" style="1" customWidth="1"/>
    <col min="15085" max="15086" width="6.625" style="1" customWidth="1"/>
    <col min="15087" max="15087" width="10.625" style="1" customWidth="1"/>
    <col min="15088" max="15088" width="14.625" style="1" customWidth="1"/>
    <col min="15089" max="15089" width="10.625" style="1" customWidth="1"/>
    <col min="15090" max="15090" width="14.625" style="1" customWidth="1"/>
    <col min="15091" max="15091" width="10.625" style="1" customWidth="1"/>
    <col min="15092" max="15092" width="14.625" style="1" customWidth="1"/>
    <col min="15093" max="15093" width="10.625" style="1" customWidth="1"/>
    <col min="15094" max="15094" width="18.625" style="1" customWidth="1"/>
    <col min="15095" max="15095" width="9.625" style="1" customWidth="1"/>
    <col min="15096" max="15096" width="10.5" style="1" customWidth="1"/>
    <col min="15097" max="15097" width="20.375" style="1" bestFit="1" customWidth="1"/>
    <col min="15098" max="15098" width="12.5" style="1" customWidth="1"/>
    <col min="15099" max="15099" width="13.125" style="1" customWidth="1"/>
    <col min="15100" max="15104" width="9" style="1"/>
    <col min="15105" max="15105" width="11.25" style="1" bestFit="1" customWidth="1"/>
    <col min="15106" max="15106" width="11.625" style="1" bestFit="1" customWidth="1"/>
    <col min="15107" max="15337" width="9" style="1"/>
    <col min="15338" max="15338" width="4.625" style="1" customWidth="1"/>
    <col min="15339" max="15339" width="34.625" style="1" customWidth="1"/>
    <col min="15340" max="15340" width="11.625" style="1" customWidth="1"/>
    <col min="15341" max="15342" width="6.625" style="1" customWidth="1"/>
    <col min="15343" max="15343" width="10.625" style="1" customWidth="1"/>
    <col min="15344" max="15344" width="14.625" style="1" customWidth="1"/>
    <col min="15345" max="15345" width="10.625" style="1" customWidth="1"/>
    <col min="15346" max="15346" width="14.625" style="1" customWidth="1"/>
    <col min="15347" max="15347" width="10.625" style="1" customWidth="1"/>
    <col min="15348" max="15348" width="14.625" style="1" customWidth="1"/>
    <col min="15349" max="15349" width="10.625" style="1" customWidth="1"/>
    <col min="15350" max="15350" width="18.625" style="1" customWidth="1"/>
    <col min="15351" max="15351" width="9.625" style="1" customWidth="1"/>
    <col min="15352" max="15352" width="10.5" style="1" customWidth="1"/>
    <col min="15353" max="15353" width="20.375" style="1" bestFit="1" customWidth="1"/>
    <col min="15354" max="15354" width="12.5" style="1" customWidth="1"/>
    <col min="15355" max="15355" width="13.125" style="1" customWidth="1"/>
    <col min="15356" max="15360" width="9" style="1"/>
    <col min="15361" max="15361" width="11.25" style="1" bestFit="1" customWidth="1"/>
    <col min="15362" max="15362" width="11.625" style="1" bestFit="1" customWidth="1"/>
    <col min="15363" max="15593" width="9" style="1"/>
    <col min="15594" max="15594" width="4.625" style="1" customWidth="1"/>
    <col min="15595" max="15595" width="34.625" style="1" customWidth="1"/>
    <col min="15596" max="15596" width="11.625" style="1" customWidth="1"/>
    <col min="15597" max="15598" width="6.625" style="1" customWidth="1"/>
    <col min="15599" max="15599" width="10.625" style="1" customWidth="1"/>
    <col min="15600" max="15600" width="14.625" style="1" customWidth="1"/>
    <col min="15601" max="15601" width="10.625" style="1" customWidth="1"/>
    <col min="15602" max="15602" width="14.625" style="1" customWidth="1"/>
    <col min="15603" max="15603" width="10.625" style="1" customWidth="1"/>
    <col min="15604" max="15604" width="14.625" style="1" customWidth="1"/>
    <col min="15605" max="15605" width="10.625" style="1" customWidth="1"/>
    <col min="15606" max="15606" width="18.625" style="1" customWidth="1"/>
    <col min="15607" max="15607" width="9.625" style="1" customWidth="1"/>
    <col min="15608" max="15608" width="10.5" style="1" customWidth="1"/>
    <col min="15609" max="15609" width="20.375" style="1" bestFit="1" customWidth="1"/>
    <col min="15610" max="15610" width="12.5" style="1" customWidth="1"/>
    <col min="15611" max="15611" width="13.125" style="1" customWidth="1"/>
    <col min="15612" max="15616" width="9" style="1"/>
    <col min="15617" max="15617" width="11.25" style="1" bestFit="1" customWidth="1"/>
    <col min="15618" max="15618" width="11.625" style="1" bestFit="1" customWidth="1"/>
    <col min="15619" max="15849" width="9" style="1"/>
    <col min="15850" max="15850" width="4.625" style="1" customWidth="1"/>
    <col min="15851" max="15851" width="34.625" style="1" customWidth="1"/>
    <col min="15852" max="15852" width="11.625" style="1" customWidth="1"/>
    <col min="15853" max="15854" width="6.625" style="1" customWidth="1"/>
    <col min="15855" max="15855" width="10.625" style="1" customWidth="1"/>
    <col min="15856" max="15856" width="14.625" style="1" customWidth="1"/>
    <col min="15857" max="15857" width="10.625" style="1" customWidth="1"/>
    <col min="15858" max="15858" width="14.625" style="1" customWidth="1"/>
    <col min="15859" max="15859" width="10.625" style="1" customWidth="1"/>
    <col min="15860" max="15860" width="14.625" style="1" customWidth="1"/>
    <col min="15861" max="15861" width="10.625" style="1" customWidth="1"/>
    <col min="15862" max="15862" width="18.625" style="1" customWidth="1"/>
    <col min="15863" max="15863" width="9.625" style="1" customWidth="1"/>
    <col min="15864" max="15864" width="10.5" style="1" customWidth="1"/>
    <col min="15865" max="15865" width="20.375" style="1" bestFit="1" customWidth="1"/>
    <col min="15866" max="15866" width="12.5" style="1" customWidth="1"/>
    <col min="15867" max="15867" width="13.125" style="1" customWidth="1"/>
    <col min="15868" max="15872" width="9" style="1"/>
    <col min="15873" max="15873" width="11.25" style="1" bestFit="1" customWidth="1"/>
    <col min="15874" max="15874" width="11.625" style="1" bestFit="1" customWidth="1"/>
    <col min="15875" max="16105" width="9" style="1"/>
    <col min="16106" max="16106" width="4.625" style="1" customWidth="1"/>
    <col min="16107" max="16107" width="34.625" style="1" customWidth="1"/>
    <col min="16108" max="16108" width="11.625" style="1" customWidth="1"/>
    <col min="16109" max="16110" width="6.625" style="1" customWidth="1"/>
    <col min="16111" max="16111" width="10.625" style="1" customWidth="1"/>
    <col min="16112" max="16112" width="14.625" style="1" customWidth="1"/>
    <col min="16113" max="16113" width="10.625" style="1" customWidth="1"/>
    <col min="16114" max="16114" width="14.625" style="1" customWidth="1"/>
    <col min="16115" max="16115" width="10.625" style="1" customWidth="1"/>
    <col min="16116" max="16116" width="14.625" style="1" customWidth="1"/>
    <col min="16117" max="16117" width="10.625" style="1" customWidth="1"/>
    <col min="16118" max="16118" width="18.625" style="1" customWidth="1"/>
    <col min="16119" max="16119" width="9.625" style="1" customWidth="1"/>
    <col min="16120" max="16120" width="10.5" style="1" customWidth="1"/>
    <col min="16121" max="16121" width="20.375" style="1" bestFit="1" customWidth="1"/>
    <col min="16122" max="16122" width="12.5" style="1" customWidth="1"/>
    <col min="16123" max="16123" width="13.125" style="1" customWidth="1"/>
    <col min="16124" max="16128" width="9" style="1"/>
    <col min="16129" max="16129" width="11.25" style="1" bestFit="1" customWidth="1"/>
    <col min="16130" max="16130" width="11.625" style="1" bestFit="1" customWidth="1"/>
    <col min="16131" max="16384" width="9" style="1"/>
  </cols>
  <sheetData>
    <row r="1" spans="1:118" s="207" customFormat="1" ht="35.1" customHeight="1">
      <c r="A1" s="330" t="s">
        <v>399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</row>
    <row r="2" spans="1:118" ht="19.5" customHeight="1" thickBot="1">
      <c r="A2" s="354" t="s">
        <v>289</v>
      </c>
      <c r="B2" s="354"/>
      <c r="C2" s="354"/>
      <c r="D2" s="354"/>
      <c r="E2" s="354"/>
      <c r="F2" s="355"/>
      <c r="G2" s="355"/>
      <c r="H2" s="355"/>
      <c r="I2" s="355"/>
      <c r="J2" s="179"/>
      <c r="K2" s="179"/>
      <c r="L2" s="179"/>
      <c r="M2" s="258" t="s">
        <v>442</v>
      </c>
    </row>
    <row r="3" spans="1:118" ht="30" customHeight="1" thickBot="1">
      <c r="A3" s="121"/>
      <c r="B3" s="180" t="s">
        <v>290</v>
      </c>
      <c r="C3" s="181" t="s">
        <v>291</v>
      </c>
      <c r="D3" s="181" t="s">
        <v>292</v>
      </c>
      <c r="E3" s="181" t="s">
        <v>293</v>
      </c>
      <c r="F3" s="333" t="s">
        <v>294</v>
      </c>
      <c r="G3" s="334"/>
      <c r="H3" s="334"/>
      <c r="I3" s="334"/>
      <c r="J3" s="210" t="s">
        <v>295</v>
      </c>
      <c r="K3" s="210" t="s">
        <v>296</v>
      </c>
      <c r="L3" s="210" t="s">
        <v>297</v>
      </c>
      <c r="M3" s="211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</row>
    <row r="4" spans="1:118" ht="30" customHeight="1">
      <c r="A4" s="165" t="s">
        <v>298</v>
      </c>
      <c r="B4" s="44"/>
      <c r="C4" s="44"/>
      <c r="D4" s="44"/>
      <c r="E4" s="47"/>
      <c r="F4" s="335"/>
      <c r="G4" s="336"/>
      <c r="H4" s="336"/>
      <c r="I4" s="337"/>
      <c r="J4" s="48">
        <f ca="1">'기성정산내역(수지-수원_시티_건가)'!J4</f>
        <v>0</v>
      </c>
      <c r="K4" s="46">
        <f>'기성총괄표(수지-수원_시티_건가)'!M10</f>
        <v>438331708</v>
      </c>
      <c r="L4" s="212">
        <f ca="1">J4+K4</f>
        <v>438331708</v>
      </c>
      <c r="M4" s="166"/>
    </row>
    <row r="5" spans="1:118" s="3" customFormat="1" ht="30" customHeight="1">
      <c r="A5" s="127"/>
      <c r="B5" s="132"/>
      <c r="C5" s="129"/>
      <c r="D5" s="130"/>
      <c r="E5" s="128"/>
      <c r="F5" s="321"/>
      <c r="G5" s="322"/>
      <c r="H5" s="322"/>
      <c r="I5" s="323"/>
      <c r="J5" s="80"/>
      <c r="K5" s="80"/>
      <c r="L5" s="80"/>
      <c r="M5" s="8"/>
    </row>
    <row r="6" spans="1:118" s="3" customFormat="1" ht="30" customHeight="1">
      <c r="A6" s="127"/>
      <c r="B6" s="132"/>
      <c r="C6" s="129"/>
      <c r="D6" s="130"/>
      <c r="E6" s="128"/>
      <c r="F6" s="321"/>
      <c r="G6" s="322"/>
      <c r="H6" s="322"/>
      <c r="I6" s="323"/>
      <c r="J6" s="80"/>
      <c r="K6" s="80"/>
      <c r="L6" s="80"/>
      <c r="M6" s="8"/>
    </row>
    <row r="7" spans="1:118" s="3" customFormat="1" ht="30" customHeight="1" thickBot="1">
      <c r="A7" s="133"/>
      <c r="B7" s="134"/>
      <c r="C7" s="135"/>
      <c r="D7" s="62"/>
      <c r="E7" s="62"/>
      <c r="F7" s="324"/>
      <c r="G7" s="325"/>
      <c r="H7" s="325"/>
      <c r="I7" s="326"/>
      <c r="J7" s="23"/>
      <c r="K7" s="23"/>
      <c r="L7" s="23"/>
      <c r="M7" s="63"/>
    </row>
    <row r="8" spans="1:118" s="52" customFormat="1" ht="30" customHeight="1" thickBot="1">
      <c r="A8" s="136"/>
      <c r="B8" s="137" t="s">
        <v>299</v>
      </c>
      <c r="C8" s="138"/>
      <c r="D8" s="139"/>
      <c r="E8" s="138"/>
      <c r="F8" s="327"/>
      <c r="G8" s="328"/>
      <c r="H8" s="328"/>
      <c r="I8" s="329"/>
      <c r="J8" s="140">
        <f t="shared" ref="J8" ca="1" si="0">SUM(J4:J7)</f>
        <v>0</v>
      </c>
      <c r="K8" s="140">
        <f>SUM(K4:K7)</f>
        <v>438331708</v>
      </c>
      <c r="L8" s="140">
        <f ca="1">SUM(L4:L7)</f>
        <v>438331708</v>
      </c>
      <c r="M8" s="141"/>
    </row>
    <row r="9" spans="1:118" s="92" customFormat="1" ht="30" customHeight="1">
      <c r="A9" s="142"/>
      <c r="B9" s="143" t="s">
        <v>300</v>
      </c>
      <c r="C9" s="82"/>
      <c r="D9" s="83"/>
      <c r="E9" s="84"/>
      <c r="F9" s="85"/>
      <c r="G9" s="213"/>
      <c r="H9" s="213"/>
      <c r="I9" s="213"/>
      <c r="J9" s="215"/>
      <c r="K9" s="216"/>
      <c r="L9" s="216"/>
      <c r="M9" s="90"/>
    </row>
    <row r="10" spans="1:118" s="3" customFormat="1" ht="30" customHeight="1">
      <c r="A10" s="144" t="s">
        <v>36</v>
      </c>
      <c r="B10" s="145" t="s">
        <v>301</v>
      </c>
      <c r="C10" s="6"/>
      <c r="D10" s="7">
        <v>1</v>
      </c>
      <c r="E10" s="6" t="s">
        <v>5</v>
      </c>
      <c r="F10" s="217"/>
      <c r="G10" s="27"/>
      <c r="H10" s="27"/>
      <c r="I10" s="27"/>
      <c r="J10" s="218">
        <v>0</v>
      </c>
      <c r="K10" s="30">
        <f>'기성총괄표(수지-수원_시티_건가)'!M12</f>
        <v>359801184</v>
      </c>
      <c r="L10" s="30">
        <f>J10+K10</f>
        <v>359801184</v>
      </c>
      <c r="M10" s="8"/>
    </row>
    <row r="11" spans="1:118" s="3" customFormat="1" ht="30" customHeight="1">
      <c r="A11" s="144" t="s">
        <v>34</v>
      </c>
      <c r="B11" s="146" t="s">
        <v>302</v>
      </c>
      <c r="C11" s="6"/>
      <c r="D11" s="31"/>
      <c r="E11" s="32"/>
      <c r="F11" s="217"/>
      <c r="G11" s="27"/>
      <c r="H11" s="27"/>
      <c r="I11" s="27"/>
      <c r="J11" s="218">
        <v>0</v>
      </c>
      <c r="K11" s="30">
        <f>'기성총괄표(수지-수원_시티_건가)'!M13</f>
        <v>62469495</v>
      </c>
      <c r="L11" s="30">
        <f t="shared" ref="L11:L35" si="1">J11+K11</f>
        <v>62469495</v>
      </c>
      <c r="M11" s="8"/>
    </row>
    <row r="12" spans="1:118" ht="30" customHeight="1">
      <c r="A12" s="126"/>
      <c r="B12" s="145" t="s">
        <v>42</v>
      </c>
      <c r="C12" s="33"/>
      <c r="D12" s="7">
        <v>1</v>
      </c>
      <c r="E12" s="6" t="s">
        <v>5</v>
      </c>
      <c r="F12" s="219"/>
      <c r="G12" s="220"/>
      <c r="H12" s="220"/>
      <c r="I12" s="220"/>
      <c r="J12" s="218">
        <v>0</v>
      </c>
      <c r="K12" s="30">
        <f>'기성총괄표(수지-수원_시티_건가)'!M14</f>
        <v>55136360</v>
      </c>
      <c r="L12" s="30">
        <f t="shared" si="1"/>
        <v>55136360</v>
      </c>
      <c r="M12" s="8"/>
    </row>
    <row r="13" spans="1:118" ht="30" customHeight="1">
      <c r="A13" s="126"/>
      <c r="B13" s="145" t="s">
        <v>303</v>
      </c>
      <c r="C13" s="35">
        <v>0.11600000000000001</v>
      </c>
      <c r="D13" s="7">
        <v>1</v>
      </c>
      <c r="E13" s="6" t="s">
        <v>5</v>
      </c>
      <c r="F13" s="219" t="s">
        <v>2</v>
      </c>
      <c r="G13" s="220"/>
      <c r="H13" s="220"/>
      <c r="I13" s="220"/>
      <c r="J13" s="218">
        <v>0</v>
      </c>
      <c r="K13" s="30">
        <f>'기성총괄표(수지-수원_시티_건가)'!M15</f>
        <v>7333135</v>
      </c>
      <c r="L13" s="30">
        <f t="shared" si="1"/>
        <v>7333135</v>
      </c>
      <c r="M13" s="8"/>
    </row>
    <row r="14" spans="1:118" ht="30" customHeight="1">
      <c r="A14" s="144" t="s">
        <v>35</v>
      </c>
      <c r="B14" s="146" t="s">
        <v>62</v>
      </c>
      <c r="C14" s="33"/>
      <c r="D14" s="7"/>
      <c r="E14" s="6"/>
      <c r="F14" s="219"/>
      <c r="G14" s="220"/>
      <c r="H14" s="220"/>
      <c r="I14" s="220"/>
      <c r="J14" s="218">
        <v>0</v>
      </c>
      <c r="K14" s="30">
        <f>'기성총괄표(수지-수원_시티_건가)'!M16</f>
        <v>43984387</v>
      </c>
      <c r="L14" s="30">
        <f t="shared" si="1"/>
        <v>43984387</v>
      </c>
      <c r="M14" s="8"/>
    </row>
    <row r="15" spans="1:118" ht="30" customHeight="1">
      <c r="A15" s="126"/>
      <c r="B15" s="145" t="s">
        <v>304</v>
      </c>
      <c r="C15" s="33"/>
      <c r="D15" s="7">
        <v>1</v>
      </c>
      <c r="E15" s="6" t="s">
        <v>5</v>
      </c>
      <c r="F15" s="219"/>
      <c r="G15" s="220"/>
      <c r="H15" s="220"/>
      <c r="I15" s="220"/>
      <c r="J15" s="218">
        <v>0</v>
      </c>
      <c r="K15" s="30">
        <f>'기성총괄표(수지-수원_시티_건가)'!M17</f>
        <v>23394164</v>
      </c>
      <c r="L15" s="30">
        <f t="shared" si="1"/>
        <v>23394164</v>
      </c>
      <c r="M15" s="8"/>
    </row>
    <row r="16" spans="1:118" ht="30" customHeight="1">
      <c r="A16" s="126"/>
      <c r="B16" s="145" t="s">
        <v>305</v>
      </c>
      <c r="C16" s="36"/>
      <c r="D16" s="7"/>
      <c r="E16" s="6"/>
      <c r="F16" s="219"/>
      <c r="G16" s="220"/>
      <c r="H16" s="220"/>
      <c r="I16" s="220"/>
      <c r="J16" s="218">
        <v>0</v>
      </c>
      <c r="K16" s="30">
        <f>'기성총괄표(수지-수원_시티_건가)'!M18</f>
        <v>0</v>
      </c>
      <c r="L16" s="30">
        <f t="shared" si="1"/>
        <v>0</v>
      </c>
      <c r="M16" s="49"/>
    </row>
    <row r="17" spans="1:13" ht="30" customHeight="1">
      <c r="A17" s="126"/>
      <c r="B17" s="146" t="s">
        <v>65</v>
      </c>
      <c r="C17" s="33">
        <v>3.56E-2</v>
      </c>
      <c r="D17" s="7">
        <v>1</v>
      </c>
      <c r="E17" s="6" t="s">
        <v>5</v>
      </c>
      <c r="F17" s="219" t="s">
        <v>306</v>
      </c>
      <c r="G17" s="220"/>
      <c r="H17" s="220"/>
      <c r="I17" s="220"/>
      <c r="J17" s="218">
        <v>0</v>
      </c>
      <c r="K17" s="30">
        <f>'기성총괄표(수지-수원_시티_건가)'!M19</f>
        <v>2223914</v>
      </c>
      <c r="L17" s="30">
        <f t="shared" si="1"/>
        <v>2223914</v>
      </c>
      <c r="M17" s="8"/>
    </row>
    <row r="18" spans="1:13" ht="30" customHeight="1">
      <c r="A18" s="126"/>
      <c r="B18" s="146" t="s">
        <v>307</v>
      </c>
      <c r="C18" s="33">
        <v>1.01E-2</v>
      </c>
      <c r="D18" s="7">
        <v>1</v>
      </c>
      <c r="E18" s="6" t="s">
        <v>5</v>
      </c>
      <c r="F18" s="219" t="s">
        <v>308</v>
      </c>
      <c r="G18" s="220"/>
      <c r="H18" s="220"/>
      <c r="I18" s="220"/>
      <c r="J18" s="218">
        <v>0</v>
      </c>
      <c r="K18" s="30">
        <f>'기성총괄표(수지-수원_시티_건가)'!M20</f>
        <v>630941</v>
      </c>
      <c r="L18" s="30">
        <f t="shared" si="1"/>
        <v>630941</v>
      </c>
      <c r="M18" s="8"/>
    </row>
    <row r="19" spans="1:13" ht="30" customHeight="1">
      <c r="A19" s="126"/>
      <c r="B19" s="146" t="s">
        <v>68</v>
      </c>
      <c r="C19" s="33">
        <v>4.4999999999999998E-2</v>
      </c>
      <c r="D19" s="7">
        <v>1</v>
      </c>
      <c r="E19" s="6" t="s">
        <v>5</v>
      </c>
      <c r="F19" s="219" t="s">
        <v>2</v>
      </c>
      <c r="G19" s="220"/>
      <c r="H19" s="220"/>
      <c r="I19" s="220"/>
      <c r="J19" s="218">
        <v>0</v>
      </c>
      <c r="K19" s="30">
        <f>'기성총괄표(수지-수원_시티_건가)'!M21</f>
        <v>0</v>
      </c>
      <c r="L19" s="30">
        <f t="shared" si="1"/>
        <v>0</v>
      </c>
      <c r="M19" s="54" t="s">
        <v>309</v>
      </c>
    </row>
    <row r="20" spans="1:13" ht="30" customHeight="1">
      <c r="A20" s="126"/>
      <c r="B20" s="146" t="s">
        <v>70</v>
      </c>
      <c r="C20" s="172">
        <v>3.5450000000000002E-2</v>
      </c>
      <c r="D20" s="7">
        <v>1</v>
      </c>
      <c r="E20" s="6" t="s">
        <v>5</v>
      </c>
      <c r="F20" s="219" t="s">
        <v>310</v>
      </c>
      <c r="G20" s="220"/>
      <c r="H20" s="220"/>
      <c r="I20" s="220"/>
      <c r="J20" s="218">
        <v>0</v>
      </c>
      <c r="K20" s="30">
        <f>'기성총괄표(수지-수원_시티_건가)'!M22</f>
        <v>0</v>
      </c>
      <c r="L20" s="30">
        <f t="shared" si="1"/>
        <v>0</v>
      </c>
      <c r="M20" s="54" t="s">
        <v>309</v>
      </c>
    </row>
    <row r="21" spans="1:13" ht="30" customHeight="1">
      <c r="A21" s="126"/>
      <c r="B21" s="146" t="s">
        <v>71</v>
      </c>
      <c r="C21" s="33">
        <v>0.1295</v>
      </c>
      <c r="D21" s="7">
        <v>1</v>
      </c>
      <c r="E21" s="6" t="s">
        <v>5</v>
      </c>
      <c r="F21" s="219" t="s">
        <v>72</v>
      </c>
      <c r="G21" s="220"/>
      <c r="H21" s="220"/>
      <c r="I21" s="220"/>
      <c r="J21" s="218">
        <v>0</v>
      </c>
      <c r="K21" s="30">
        <f>'기성총괄표(수지-수원_시티_건가)'!M23</f>
        <v>0</v>
      </c>
      <c r="L21" s="30">
        <f t="shared" si="1"/>
        <v>0</v>
      </c>
      <c r="M21" s="54" t="s">
        <v>64</v>
      </c>
    </row>
    <row r="22" spans="1:13" ht="30" customHeight="1">
      <c r="A22" s="126"/>
      <c r="B22" s="145" t="s">
        <v>203</v>
      </c>
      <c r="C22" s="35">
        <v>2.3E-2</v>
      </c>
      <c r="D22" s="7">
        <v>1</v>
      </c>
      <c r="E22" s="6" t="s">
        <v>5</v>
      </c>
      <c r="F22" s="219" t="s">
        <v>311</v>
      </c>
      <c r="G22" s="220"/>
      <c r="H22" s="220"/>
      <c r="I22" s="220"/>
      <c r="J22" s="218">
        <v>0</v>
      </c>
      <c r="K22" s="30">
        <f>'기성총괄표(수지-수원_시티_건가)'!M24</f>
        <v>0</v>
      </c>
      <c r="L22" s="30">
        <f t="shared" si="1"/>
        <v>0</v>
      </c>
      <c r="M22" s="54" t="s">
        <v>309</v>
      </c>
    </row>
    <row r="23" spans="1:13" s="52" customFormat="1" ht="30" customHeight="1">
      <c r="A23" s="126"/>
      <c r="B23" s="145" t="s">
        <v>312</v>
      </c>
      <c r="C23" s="33">
        <v>1.9900000000000001E-2</v>
      </c>
      <c r="D23" s="7">
        <v>1</v>
      </c>
      <c r="E23" s="6" t="s">
        <v>5</v>
      </c>
      <c r="F23" s="153" t="s">
        <v>313</v>
      </c>
      <c r="G23" s="222"/>
      <c r="H23" s="222"/>
      <c r="I23" s="222"/>
      <c r="J23" s="218">
        <v>0</v>
      </c>
      <c r="K23" s="30">
        <f>'기성총괄표(수지-수원_시티_건가)'!M25</f>
        <v>0</v>
      </c>
      <c r="L23" s="30">
        <f t="shared" si="1"/>
        <v>0</v>
      </c>
      <c r="M23" s="54" t="s">
        <v>64</v>
      </c>
    </row>
    <row r="24" spans="1:13" ht="30" customHeight="1">
      <c r="A24" s="126"/>
      <c r="B24" s="145" t="s">
        <v>314</v>
      </c>
      <c r="C24" s="35">
        <v>4.8000000000000001E-2</v>
      </c>
      <c r="D24" s="7">
        <v>1</v>
      </c>
      <c r="E24" s="6" t="s">
        <v>5</v>
      </c>
      <c r="F24" s="219" t="s">
        <v>73</v>
      </c>
      <c r="G24" s="220"/>
      <c r="H24" s="220"/>
      <c r="I24" s="220"/>
      <c r="J24" s="218">
        <v>0</v>
      </c>
      <c r="K24" s="30">
        <f>'기성총괄표(수지-수원_시티_건가)'!M26</f>
        <v>17735368</v>
      </c>
      <c r="L24" s="30">
        <f t="shared" si="1"/>
        <v>17735368</v>
      </c>
      <c r="M24" s="8"/>
    </row>
    <row r="25" spans="1:13" ht="30" customHeight="1">
      <c r="A25" s="126"/>
      <c r="B25" s="145" t="s">
        <v>315</v>
      </c>
      <c r="C25" s="35">
        <v>5.0000000000000001E-3</v>
      </c>
      <c r="D25" s="7">
        <v>1</v>
      </c>
      <c r="E25" s="6" t="s">
        <v>5</v>
      </c>
      <c r="F25" s="219" t="s">
        <v>74</v>
      </c>
      <c r="G25" s="220"/>
      <c r="H25" s="220"/>
      <c r="I25" s="220"/>
      <c r="J25" s="218">
        <v>0</v>
      </c>
      <c r="K25" s="30">
        <f>'기성총괄표(수지-수원_시티_건가)'!M27</f>
        <v>0</v>
      </c>
      <c r="L25" s="30">
        <f t="shared" si="1"/>
        <v>0</v>
      </c>
      <c r="M25" s="49" t="s">
        <v>309</v>
      </c>
    </row>
    <row r="26" spans="1:13" ht="30" customHeight="1">
      <c r="A26" s="148"/>
      <c r="B26" s="149" t="s">
        <v>316</v>
      </c>
      <c r="C26" s="150"/>
      <c r="D26" s="64"/>
      <c r="E26" s="61"/>
      <c r="F26" s="219"/>
      <c r="G26" s="220"/>
      <c r="H26" s="220"/>
      <c r="I26" s="220"/>
      <c r="J26" s="218">
        <v>0</v>
      </c>
      <c r="K26" s="30">
        <f>'기성총괄표(수지-수원_시티_건가)'!M28</f>
        <v>0</v>
      </c>
      <c r="L26" s="30">
        <f t="shared" si="1"/>
        <v>0</v>
      </c>
      <c r="M26" s="151"/>
    </row>
    <row r="27" spans="1:13" ht="30" customHeight="1">
      <c r="A27" s="148"/>
      <c r="B27" s="146" t="s">
        <v>317</v>
      </c>
      <c r="C27" s="152">
        <v>8.0999999999999996E-4</v>
      </c>
      <c r="D27" s="64">
        <v>1</v>
      </c>
      <c r="E27" s="61" t="s">
        <v>5</v>
      </c>
      <c r="F27" s="219" t="s">
        <v>318</v>
      </c>
      <c r="G27" s="220"/>
      <c r="H27" s="220"/>
      <c r="I27" s="220"/>
      <c r="J27" s="218">
        <v>0</v>
      </c>
      <c r="K27" s="30">
        <f>'기성총괄표(수지-수원_시티_건가)'!M29</f>
        <v>0</v>
      </c>
      <c r="L27" s="30">
        <f t="shared" si="1"/>
        <v>0</v>
      </c>
      <c r="M27" s="151" t="s">
        <v>309</v>
      </c>
    </row>
    <row r="28" spans="1:13" ht="30" customHeight="1">
      <c r="A28" s="126"/>
      <c r="B28" s="146" t="s">
        <v>76</v>
      </c>
      <c r="C28" s="33">
        <v>3.2000000000000002E-3</v>
      </c>
      <c r="D28" s="7">
        <v>1</v>
      </c>
      <c r="E28" s="6" t="s">
        <v>5</v>
      </c>
      <c r="F28" s="219" t="s">
        <v>318</v>
      </c>
      <c r="G28" s="220"/>
      <c r="H28" s="220"/>
      <c r="I28" s="220"/>
      <c r="J28" s="218">
        <v>0</v>
      </c>
      <c r="K28" s="30">
        <f>'기성총괄표(수지-수원_시티_건가)'!M30</f>
        <v>0</v>
      </c>
      <c r="L28" s="30">
        <f t="shared" si="1"/>
        <v>0</v>
      </c>
      <c r="M28" s="49" t="s">
        <v>64</v>
      </c>
    </row>
    <row r="29" spans="1:13" s="57" customFormat="1" ht="30" customHeight="1">
      <c r="A29" s="154"/>
      <c r="B29" s="155" t="s">
        <v>319</v>
      </c>
      <c r="C29" s="75"/>
      <c r="D29" s="76"/>
      <c r="E29" s="75"/>
      <c r="F29" s="224"/>
      <c r="G29" s="225"/>
      <c r="H29" s="225"/>
      <c r="I29" s="225"/>
      <c r="J29" s="227">
        <v>0</v>
      </c>
      <c r="K29" s="228">
        <f>'기성총괄표(수지-수원_시티_건가)'!M31</f>
        <v>466255066</v>
      </c>
      <c r="L29" s="228">
        <f t="shared" si="1"/>
        <v>466255066</v>
      </c>
      <c r="M29" s="81"/>
    </row>
    <row r="30" spans="1:13" ht="30" customHeight="1">
      <c r="A30" s="144" t="s">
        <v>320</v>
      </c>
      <c r="B30" s="146" t="s">
        <v>321</v>
      </c>
      <c r="C30" s="35">
        <v>0.04</v>
      </c>
      <c r="D30" s="7">
        <v>1</v>
      </c>
      <c r="E30" s="6" t="s">
        <v>5</v>
      </c>
      <c r="F30" s="219" t="s">
        <v>322</v>
      </c>
      <c r="G30" s="220"/>
      <c r="H30" s="220"/>
      <c r="I30" s="220"/>
      <c r="J30" s="218">
        <v>0</v>
      </c>
      <c r="K30" s="30">
        <f>'기성총괄표(수지-수원_시티_건가)'!M32</f>
        <v>16318927</v>
      </c>
      <c r="L30" s="30">
        <f t="shared" si="1"/>
        <v>16318927</v>
      </c>
      <c r="M30" s="8"/>
    </row>
    <row r="31" spans="1:13" ht="30" customHeight="1">
      <c r="A31" s="144" t="s">
        <v>323</v>
      </c>
      <c r="B31" s="146" t="s">
        <v>324</v>
      </c>
      <c r="C31" s="35">
        <v>0.05</v>
      </c>
      <c r="D31" s="7">
        <v>1</v>
      </c>
      <c r="E31" s="6" t="s">
        <v>5</v>
      </c>
      <c r="F31" s="219" t="s">
        <v>325</v>
      </c>
      <c r="G31" s="220"/>
      <c r="H31" s="220"/>
      <c r="I31" s="220"/>
      <c r="J31" s="218">
        <v>0</v>
      </c>
      <c r="K31" s="30">
        <f>'기성총괄표(수지-수원_시티_건가)'!M33</f>
        <v>5276007</v>
      </c>
      <c r="L31" s="30">
        <f t="shared" si="1"/>
        <v>5276007</v>
      </c>
      <c r="M31" s="49"/>
    </row>
    <row r="32" spans="1:13" s="57" customFormat="1" ht="30" customHeight="1">
      <c r="A32" s="154"/>
      <c r="B32" s="155" t="s">
        <v>326</v>
      </c>
      <c r="C32" s="75"/>
      <c r="D32" s="76"/>
      <c r="E32" s="75"/>
      <c r="F32" s="224"/>
      <c r="G32" s="225"/>
      <c r="H32" s="225"/>
      <c r="I32" s="225"/>
      <c r="J32" s="227">
        <v>0</v>
      </c>
      <c r="K32" s="228">
        <f>'기성총괄표(수지-수원_시티_건가)'!M34</f>
        <v>487850000</v>
      </c>
      <c r="L32" s="228">
        <f t="shared" si="1"/>
        <v>487850000</v>
      </c>
      <c r="M32" s="81"/>
    </row>
    <row r="33" spans="1:118" s="57" customFormat="1" ht="30" customHeight="1">
      <c r="A33" s="229"/>
      <c r="B33" s="230" t="s">
        <v>327</v>
      </c>
      <c r="C33" s="231"/>
      <c r="D33" s="232"/>
      <c r="E33" s="231"/>
      <c r="F33" s="224"/>
      <c r="G33" s="225"/>
      <c r="H33" s="225"/>
      <c r="I33" s="225"/>
      <c r="J33" s="227">
        <v>0</v>
      </c>
      <c r="K33" s="228">
        <f>'기성총괄표(수지-수원_시티_건가)'!M35</f>
        <v>487850000</v>
      </c>
      <c r="L33" s="228">
        <f t="shared" si="1"/>
        <v>487850000</v>
      </c>
      <c r="M33" s="233"/>
    </row>
    <row r="34" spans="1:118" s="57" customFormat="1" ht="30" customHeight="1">
      <c r="A34" s="154"/>
      <c r="B34" s="155" t="s">
        <v>328</v>
      </c>
      <c r="C34" s="75"/>
      <c r="D34" s="76"/>
      <c r="E34" s="75"/>
      <c r="F34" s="224"/>
      <c r="G34" s="225"/>
      <c r="H34" s="225"/>
      <c r="I34" s="225"/>
      <c r="J34" s="227">
        <v>0</v>
      </c>
      <c r="K34" s="228">
        <f>'기성총괄표(수지-수원_시티_건가)'!M36</f>
        <v>48785000</v>
      </c>
      <c r="L34" s="228">
        <f t="shared" si="1"/>
        <v>48785000</v>
      </c>
      <c r="M34" s="81"/>
    </row>
    <row r="35" spans="1:118" s="57" customFormat="1" ht="30" customHeight="1" thickBot="1">
      <c r="A35" s="156"/>
      <c r="B35" s="157" t="s">
        <v>329</v>
      </c>
      <c r="C35" s="158"/>
      <c r="D35" s="159"/>
      <c r="E35" s="158"/>
      <c r="F35" s="234"/>
      <c r="G35" s="235"/>
      <c r="H35" s="235"/>
      <c r="I35" s="235"/>
      <c r="J35" s="237">
        <v>0</v>
      </c>
      <c r="K35" s="228">
        <f>'기성총괄표(수지-수원_시티_건가)'!M37</f>
        <v>536635000</v>
      </c>
      <c r="L35" s="238">
        <f t="shared" si="1"/>
        <v>536635000</v>
      </c>
      <c r="M35" s="164"/>
    </row>
    <row r="36" spans="1:118" s="2" customFormat="1" ht="33" customHeight="1">
      <c r="A36" s="1"/>
      <c r="B36" s="1"/>
      <c r="D36" s="38"/>
      <c r="E36" s="5"/>
      <c r="F36" s="39"/>
      <c r="G36" s="38"/>
      <c r="H36" s="40"/>
      <c r="I36" s="38"/>
      <c r="J36" s="38"/>
      <c r="K36" s="40"/>
      <c r="L36" s="40"/>
      <c r="M36" s="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</row>
    <row r="37" spans="1:118" s="2" customFormat="1" ht="30" customHeight="1">
      <c r="A37" s="1"/>
      <c r="B37" s="1"/>
      <c r="D37" s="38"/>
      <c r="E37" s="5"/>
      <c r="F37" s="39"/>
      <c r="G37" s="38"/>
      <c r="H37" s="40"/>
      <c r="I37" s="38"/>
      <c r="J37" s="38"/>
      <c r="K37" s="40"/>
      <c r="L37" s="40"/>
      <c r="M37" s="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</row>
    <row r="41" spans="1:118" s="2" customFormat="1" ht="34.700000000000003" customHeight="1">
      <c r="A41" s="1"/>
      <c r="B41" s="1"/>
      <c r="D41" s="38"/>
      <c r="E41" s="5"/>
      <c r="F41" s="39"/>
      <c r="G41" s="38"/>
      <c r="H41" s="40"/>
      <c r="I41" s="38"/>
      <c r="J41" s="38"/>
      <c r="K41" s="40"/>
      <c r="L41" s="40"/>
      <c r="M41" s="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</row>
  </sheetData>
  <mergeCells count="9">
    <mergeCell ref="F6:I6"/>
    <mergeCell ref="F7:I7"/>
    <mergeCell ref="F8:I8"/>
    <mergeCell ref="A1:M1"/>
    <mergeCell ref="A2:E2"/>
    <mergeCell ref="F2:I2"/>
    <mergeCell ref="F3:I3"/>
    <mergeCell ref="F4:I4"/>
    <mergeCell ref="F5:I5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r:id="rId1"/>
  <headerFooter alignWithMargins="0">
    <oddFooter>&amp;C&amp;"굴림체,보통"한 국 지 역 난 방 공 사&amp;R- &amp;P -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CFF"/>
  </sheetPr>
  <dimension ref="A1:DS45"/>
  <sheetViews>
    <sheetView view="pageBreakPreview" topLeftCell="A22" zoomScale="85" zoomScaleNormal="85" zoomScaleSheetLayoutView="85" workbookViewId="0">
      <selection activeCell="P34" sqref="P34"/>
    </sheetView>
  </sheetViews>
  <sheetFormatPr defaultRowHeight="34.700000000000003" customHeight="1"/>
  <cols>
    <col min="1" max="1" width="4.625" style="1" customWidth="1"/>
    <col min="2" max="2" width="34.62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6.5" style="38" bestFit="1" customWidth="1"/>
    <col min="8" max="8" width="10.625" style="40" customWidth="1"/>
    <col min="9" max="9" width="14.625" style="38" customWidth="1"/>
    <col min="10" max="10" width="10.625" style="40" customWidth="1"/>
    <col min="11" max="11" width="14.625" style="38" customWidth="1"/>
    <col min="12" max="12" width="10.625" style="40" customWidth="1"/>
    <col min="13" max="13" width="18.625" style="40" customWidth="1"/>
    <col min="14" max="14" width="13" style="5" bestFit="1" customWidth="1"/>
    <col min="15" max="15" width="10.5" style="5" customWidth="1"/>
    <col min="16" max="16" width="20" style="1" customWidth="1"/>
    <col min="17" max="238" width="9" style="1"/>
    <col min="239" max="239" width="4.625" style="1" customWidth="1"/>
    <col min="240" max="240" width="34.625" style="1" customWidth="1"/>
    <col min="241" max="241" width="11.625" style="1" customWidth="1"/>
    <col min="242" max="243" width="6.625" style="1" customWidth="1"/>
    <col min="244" max="244" width="10.625" style="1" customWidth="1"/>
    <col min="245" max="245" width="14.625" style="1" customWidth="1"/>
    <col min="246" max="246" width="10.625" style="1" customWidth="1"/>
    <col min="247" max="247" width="14.625" style="1" customWidth="1"/>
    <col min="248" max="248" width="10.625" style="1" customWidth="1"/>
    <col min="249" max="249" width="14.625" style="1" customWidth="1"/>
    <col min="250" max="250" width="10.625" style="1" customWidth="1"/>
    <col min="251" max="251" width="18.625" style="1" customWidth="1"/>
    <col min="252" max="252" width="9.625" style="1" customWidth="1"/>
    <col min="253" max="253" width="10.5" style="1" customWidth="1"/>
    <col min="254" max="254" width="20.375" style="1" bestFit="1" customWidth="1"/>
    <col min="255" max="255" width="12.5" style="1" customWidth="1"/>
    <col min="256" max="256" width="13.125" style="1" customWidth="1"/>
    <col min="257" max="261" width="9" style="1"/>
    <col min="262" max="262" width="11.25" style="1" bestFit="1" customWidth="1"/>
    <col min="263" max="263" width="11.625" style="1" bestFit="1" customWidth="1"/>
    <col min="264" max="494" width="9" style="1"/>
    <col min="495" max="495" width="4.625" style="1" customWidth="1"/>
    <col min="496" max="496" width="34.625" style="1" customWidth="1"/>
    <col min="497" max="497" width="11.625" style="1" customWidth="1"/>
    <col min="498" max="499" width="6.625" style="1" customWidth="1"/>
    <col min="500" max="500" width="10.625" style="1" customWidth="1"/>
    <col min="501" max="501" width="14.625" style="1" customWidth="1"/>
    <col min="502" max="502" width="10.625" style="1" customWidth="1"/>
    <col min="503" max="503" width="14.625" style="1" customWidth="1"/>
    <col min="504" max="504" width="10.625" style="1" customWidth="1"/>
    <col min="505" max="505" width="14.625" style="1" customWidth="1"/>
    <col min="506" max="506" width="10.625" style="1" customWidth="1"/>
    <col min="507" max="507" width="18.625" style="1" customWidth="1"/>
    <col min="508" max="508" width="9.625" style="1" customWidth="1"/>
    <col min="509" max="509" width="10.5" style="1" customWidth="1"/>
    <col min="510" max="510" width="20.375" style="1" bestFit="1" customWidth="1"/>
    <col min="511" max="511" width="12.5" style="1" customWidth="1"/>
    <col min="512" max="512" width="13.125" style="1" customWidth="1"/>
    <col min="513" max="517" width="9" style="1"/>
    <col min="518" max="518" width="11.25" style="1" bestFit="1" customWidth="1"/>
    <col min="519" max="519" width="11.625" style="1" bestFit="1" customWidth="1"/>
    <col min="520" max="750" width="9" style="1"/>
    <col min="751" max="751" width="4.625" style="1" customWidth="1"/>
    <col min="752" max="752" width="34.625" style="1" customWidth="1"/>
    <col min="753" max="753" width="11.625" style="1" customWidth="1"/>
    <col min="754" max="755" width="6.625" style="1" customWidth="1"/>
    <col min="756" max="756" width="10.625" style="1" customWidth="1"/>
    <col min="757" max="757" width="14.625" style="1" customWidth="1"/>
    <col min="758" max="758" width="10.625" style="1" customWidth="1"/>
    <col min="759" max="759" width="14.625" style="1" customWidth="1"/>
    <col min="760" max="760" width="10.625" style="1" customWidth="1"/>
    <col min="761" max="761" width="14.625" style="1" customWidth="1"/>
    <col min="762" max="762" width="10.625" style="1" customWidth="1"/>
    <col min="763" max="763" width="18.625" style="1" customWidth="1"/>
    <col min="764" max="764" width="9.625" style="1" customWidth="1"/>
    <col min="765" max="765" width="10.5" style="1" customWidth="1"/>
    <col min="766" max="766" width="20.375" style="1" bestFit="1" customWidth="1"/>
    <col min="767" max="767" width="12.5" style="1" customWidth="1"/>
    <col min="768" max="768" width="13.125" style="1" customWidth="1"/>
    <col min="769" max="773" width="9" style="1"/>
    <col min="774" max="774" width="11.25" style="1" bestFit="1" customWidth="1"/>
    <col min="775" max="775" width="11.625" style="1" bestFit="1" customWidth="1"/>
    <col min="776" max="1006" width="9" style="1"/>
    <col min="1007" max="1007" width="4.625" style="1" customWidth="1"/>
    <col min="1008" max="1008" width="34.625" style="1" customWidth="1"/>
    <col min="1009" max="1009" width="11.625" style="1" customWidth="1"/>
    <col min="1010" max="1011" width="6.625" style="1" customWidth="1"/>
    <col min="1012" max="1012" width="10.625" style="1" customWidth="1"/>
    <col min="1013" max="1013" width="14.625" style="1" customWidth="1"/>
    <col min="1014" max="1014" width="10.625" style="1" customWidth="1"/>
    <col min="1015" max="1015" width="14.625" style="1" customWidth="1"/>
    <col min="1016" max="1016" width="10.625" style="1" customWidth="1"/>
    <col min="1017" max="1017" width="14.625" style="1" customWidth="1"/>
    <col min="1018" max="1018" width="10.625" style="1" customWidth="1"/>
    <col min="1019" max="1019" width="18.625" style="1" customWidth="1"/>
    <col min="1020" max="1020" width="9.625" style="1" customWidth="1"/>
    <col min="1021" max="1021" width="10.5" style="1" customWidth="1"/>
    <col min="1022" max="1022" width="20.375" style="1" bestFit="1" customWidth="1"/>
    <col min="1023" max="1023" width="12.5" style="1" customWidth="1"/>
    <col min="1024" max="1024" width="13.125" style="1" customWidth="1"/>
    <col min="1025" max="1029" width="9" style="1"/>
    <col min="1030" max="1030" width="11.25" style="1" bestFit="1" customWidth="1"/>
    <col min="1031" max="1031" width="11.625" style="1" bestFit="1" customWidth="1"/>
    <col min="1032" max="1262" width="9" style="1"/>
    <col min="1263" max="1263" width="4.625" style="1" customWidth="1"/>
    <col min="1264" max="1264" width="34.625" style="1" customWidth="1"/>
    <col min="1265" max="1265" width="11.625" style="1" customWidth="1"/>
    <col min="1266" max="1267" width="6.625" style="1" customWidth="1"/>
    <col min="1268" max="1268" width="10.625" style="1" customWidth="1"/>
    <col min="1269" max="1269" width="14.625" style="1" customWidth="1"/>
    <col min="1270" max="1270" width="10.625" style="1" customWidth="1"/>
    <col min="1271" max="1271" width="14.625" style="1" customWidth="1"/>
    <col min="1272" max="1272" width="10.625" style="1" customWidth="1"/>
    <col min="1273" max="1273" width="14.625" style="1" customWidth="1"/>
    <col min="1274" max="1274" width="10.625" style="1" customWidth="1"/>
    <col min="1275" max="1275" width="18.625" style="1" customWidth="1"/>
    <col min="1276" max="1276" width="9.625" style="1" customWidth="1"/>
    <col min="1277" max="1277" width="10.5" style="1" customWidth="1"/>
    <col min="1278" max="1278" width="20.375" style="1" bestFit="1" customWidth="1"/>
    <col min="1279" max="1279" width="12.5" style="1" customWidth="1"/>
    <col min="1280" max="1280" width="13.125" style="1" customWidth="1"/>
    <col min="1281" max="1285" width="9" style="1"/>
    <col min="1286" max="1286" width="11.25" style="1" bestFit="1" customWidth="1"/>
    <col min="1287" max="1287" width="11.625" style="1" bestFit="1" customWidth="1"/>
    <col min="1288" max="1518" width="9" style="1"/>
    <col min="1519" max="1519" width="4.625" style="1" customWidth="1"/>
    <col min="1520" max="1520" width="34.625" style="1" customWidth="1"/>
    <col min="1521" max="1521" width="11.625" style="1" customWidth="1"/>
    <col min="1522" max="1523" width="6.625" style="1" customWidth="1"/>
    <col min="1524" max="1524" width="10.625" style="1" customWidth="1"/>
    <col min="1525" max="1525" width="14.625" style="1" customWidth="1"/>
    <col min="1526" max="1526" width="10.625" style="1" customWidth="1"/>
    <col min="1527" max="1527" width="14.625" style="1" customWidth="1"/>
    <col min="1528" max="1528" width="10.625" style="1" customWidth="1"/>
    <col min="1529" max="1529" width="14.625" style="1" customWidth="1"/>
    <col min="1530" max="1530" width="10.625" style="1" customWidth="1"/>
    <col min="1531" max="1531" width="18.625" style="1" customWidth="1"/>
    <col min="1532" max="1532" width="9.625" style="1" customWidth="1"/>
    <col min="1533" max="1533" width="10.5" style="1" customWidth="1"/>
    <col min="1534" max="1534" width="20.375" style="1" bestFit="1" customWidth="1"/>
    <col min="1535" max="1535" width="12.5" style="1" customWidth="1"/>
    <col min="1536" max="1536" width="13.125" style="1" customWidth="1"/>
    <col min="1537" max="1541" width="9" style="1"/>
    <col min="1542" max="1542" width="11.25" style="1" bestFit="1" customWidth="1"/>
    <col min="1543" max="1543" width="11.625" style="1" bestFit="1" customWidth="1"/>
    <col min="1544" max="1774" width="9" style="1"/>
    <col min="1775" max="1775" width="4.625" style="1" customWidth="1"/>
    <col min="1776" max="1776" width="34.625" style="1" customWidth="1"/>
    <col min="1777" max="1777" width="11.625" style="1" customWidth="1"/>
    <col min="1778" max="1779" width="6.625" style="1" customWidth="1"/>
    <col min="1780" max="1780" width="10.625" style="1" customWidth="1"/>
    <col min="1781" max="1781" width="14.625" style="1" customWidth="1"/>
    <col min="1782" max="1782" width="10.625" style="1" customWidth="1"/>
    <col min="1783" max="1783" width="14.625" style="1" customWidth="1"/>
    <col min="1784" max="1784" width="10.625" style="1" customWidth="1"/>
    <col min="1785" max="1785" width="14.625" style="1" customWidth="1"/>
    <col min="1786" max="1786" width="10.625" style="1" customWidth="1"/>
    <col min="1787" max="1787" width="18.625" style="1" customWidth="1"/>
    <col min="1788" max="1788" width="9.625" style="1" customWidth="1"/>
    <col min="1789" max="1789" width="10.5" style="1" customWidth="1"/>
    <col min="1790" max="1790" width="20.375" style="1" bestFit="1" customWidth="1"/>
    <col min="1791" max="1791" width="12.5" style="1" customWidth="1"/>
    <col min="1792" max="1792" width="13.125" style="1" customWidth="1"/>
    <col min="1793" max="1797" width="9" style="1"/>
    <col min="1798" max="1798" width="11.25" style="1" bestFit="1" customWidth="1"/>
    <col min="1799" max="1799" width="11.625" style="1" bestFit="1" customWidth="1"/>
    <col min="1800" max="2030" width="9" style="1"/>
    <col min="2031" max="2031" width="4.625" style="1" customWidth="1"/>
    <col min="2032" max="2032" width="34.625" style="1" customWidth="1"/>
    <col min="2033" max="2033" width="11.625" style="1" customWidth="1"/>
    <col min="2034" max="2035" width="6.625" style="1" customWidth="1"/>
    <col min="2036" max="2036" width="10.625" style="1" customWidth="1"/>
    <col min="2037" max="2037" width="14.625" style="1" customWidth="1"/>
    <col min="2038" max="2038" width="10.625" style="1" customWidth="1"/>
    <col min="2039" max="2039" width="14.625" style="1" customWidth="1"/>
    <col min="2040" max="2040" width="10.625" style="1" customWidth="1"/>
    <col min="2041" max="2041" width="14.625" style="1" customWidth="1"/>
    <col min="2042" max="2042" width="10.625" style="1" customWidth="1"/>
    <col min="2043" max="2043" width="18.625" style="1" customWidth="1"/>
    <col min="2044" max="2044" width="9.625" style="1" customWidth="1"/>
    <col min="2045" max="2045" width="10.5" style="1" customWidth="1"/>
    <col min="2046" max="2046" width="20.375" style="1" bestFit="1" customWidth="1"/>
    <col min="2047" max="2047" width="12.5" style="1" customWidth="1"/>
    <col min="2048" max="2048" width="13.125" style="1" customWidth="1"/>
    <col min="2049" max="2053" width="9" style="1"/>
    <col min="2054" max="2054" width="11.25" style="1" bestFit="1" customWidth="1"/>
    <col min="2055" max="2055" width="11.625" style="1" bestFit="1" customWidth="1"/>
    <col min="2056" max="2286" width="9" style="1"/>
    <col min="2287" max="2287" width="4.625" style="1" customWidth="1"/>
    <col min="2288" max="2288" width="34.625" style="1" customWidth="1"/>
    <col min="2289" max="2289" width="11.625" style="1" customWidth="1"/>
    <col min="2290" max="2291" width="6.625" style="1" customWidth="1"/>
    <col min="2292" max="2292" width="10.625" style="1" customWidth="1"/>
    <col min="2293" max="2293" width="14.625" style="1" customWidth="1"/>
    <col min="2294" max="2294" width="10.625" style="1" customWidth="1"/>
    <col min="2295" max="2295" width="14.625" style="1" customWidth="1"/>
    <col min="2296" max="2296" width="10.625" style="1" customWidth="1"/>
    <col min="2297" max="2297" width="14.625" style="1" customWidth="1"/>
    <col min="2298" max="2298" width="10.625" style="1" customWidth="1"/>
    <col min="2299" max="2299" width="18.625" style="1" customWidth="1"/>
    <col min="2300" max="2300" width="9.625" style="1" customWidth="1"/>
    <col min="2301" max="2301" width="10.5" style="1" customWidth="1"/>
    <col min="2302" max="2302" width="20.375" style="1" bestFit="1" customWidth="1"/>
    <col min="2303" max="2303" width="12.5" style="1" customWidth="1"/>
    <col min="2304" max="2304" width="13.125" style="1" customWidth="1"/>
    <col min="2305" max="2309" width="9" style="1"/>
    <col min="2310" max="2310" width="11.25" style="1" bestFit="1" customWidth="1"/>
    <col min="2311" max="2311" width="11.625" style="1" bestFit="1" customWidth="1"/>
    <col min="2312" max="2542" width="9" style="1"/>
    <col min="2543" max="2543" width="4.625" style="1" customWidth="1"/>
    <col min="2544" max="2544" width="34.625" style="1" customWidth="1"/>
    <col min="2545" max="2545" width="11.625" style="1" customWidth="1"/>
    <col min="2546" max="2547" width="6.625" style="1" customWidth="1"/>
    <col min="2548" max="2548" width="10.625" style="1" customWidth="1"/>
    <col min="2549" max="2549" width="14.625" style="1" customWidth="1"/>
    <col min="2550" max="2550" width="10.625" style="1" customWidth="1"/>
    <col min="2551" max="2551" width="14.625" style="1" customWidth="1"/>
    <col min="2552" max="2552" width="10.625" style="1" customWidth="1"/>
    <col min="2553" max="2553" width="14.625" style="1" customWidth="1"/>
    <col min="2554" max="2554" width="10.625" style="1" customWidth="1"/>
    <col min="2555" max="2555" width="18.625" style="1" customWidth="1"/>
    <col min="2556" max="2556" width="9.625" style="1" customWidth="1"/>
    <col min="2557" max="2557" width="10.5" style="1" customWidth="1"/>
    <col min="2558" max="2558" width="20.375" style="1" bestFit="1" customWidth="1"/>
    <col min="2559" max="2559" width="12.5" style="1" customWidth="1"/>
    <col min="2560" max="2560" width="13.125" style="1" customWidth="1"/>
    <col min="2561" max="2565" width="9" style="1"/>
    <col min="2566" max="2566" width="11.25" style="1" bestFit="1" customWidth="1"/>
    <col min="2567" max="2567" width="11.625" style="1" bestFit="1" customWidth="1"/>
    <col min="2568" max="2798" width="9" style="1"/>
    <col min="2799" max="2799" width="4.625" style="1" customWidth="1"/>
    <col min="2800" max="2800" width="34.625" style="1" customWidth="1"/>
    <col min="2801" max="2801" width="11.625" style="1" customWidth="1"/>
    <col min="2802" max="2803" width="6.625" style="1" customWidth="1"/>
    <col min="2804" max="2804" width="10.625" style="1" customWidth="1"/>
    <col min="2805" max="2805" width="14.625" style="1" customWidth="1"/>
    <col min="2806" max="2806" width="10.625" style="1" customWidth="1"/>
    <col min="2807" max="2807" width="14.625" style="1" customWidth="1"/>
    <col min="2808" max="2808" width="10.625" style="1" customWidth="1"/>
    <col min="2809" max="2809" width="14.625" style="1" customWidth="1"/>
    <col min="2810" max="2810" width="10.625" style="1" customWidth="1"/>
    <col min="2811" max="2811" width="18.625" style="1" customWidth="1"/>
    <col min="2812" max="2812" width="9.625" style="1" customWidth="1"/>
    <col min="2813" max="2813" width="10.5" style="1" customWidth="1"/>
    <col min="2814" max="2814" width="20.375" style="1" bestFit="1" customWidth="1"/>
    <col min="2815" max="2815" width="12.5" style="1" customWidth="1"/>
    <col min="2816" max="2816" width="13.125" style="1" customWidth="1"/>
    <col min="2817" max="2821" width="9" style="1"/>
    <col min="2822" max="2822" width="11.25" style="1" bestFit="1" customWidth="1"/>
    <col min="2823" max="2823" width="11.625" style="1" bestFit="1" customWidth="1"/>
    <col min="2824" max="3054" width="9" style="1"/>
    <col min="3055" max="3055" width="4.625" style="1" customWidth="1"/>
    <col min="3056" max="3056" width="34.625" style="1" customWidth="1"/>
    <col min="3057" max="3057" width="11.625" style="1" customWidth="1"/>
    <col min="3058" max="3059" width="6.625" style="1" customWidth="1"/>
    <col min="3060" max="3060" width="10.625" style="1" customWidth="1"/>
    <col min="3061" max="3061" width="14.625" style="1" customWidth="1"/>
    <col min="3062" max="3062" width="10.625" style="1" customWidth="1"/>
    <col min="3063" max="3063" width="14.625" style="1" customWidth="1"/>
    <col min="3064" max="3064" width="10.625" style="1" customWidth="1"/>
    <col min="3065" max="3065" width="14.625" style="1" customWidth="1"/>
    <col min="3066" max="3066" width="10.625" style="1" customWidth="1"/>
    <col min="3067" max="3067" width="18.625" style="1" customWidth="1"/>
    <col min="3068" max="3068" width="9.625" style="1" customWidth="1"/>
    <col min="3069" max="3069" width="10.5" style="1" customWidth="1"/>
    <col min="3070" max="3070" width="20.375" style="1" bestFit="1" customWidth="1"/>
    <col min="3071" max="3071" width="12.5" style="1" customWidth="1"/>
    <col min="3072" max="3072" width="13.125" style="1" customWidth="1"/>
    <col min="3073" max="3077" width="9" style="1"/>
    <col min="3078" max="3078" width="11.25" style="1" bestFit="1" customWidth="1"/>
    <col min="3079" max="3079" width="11.625" style="1" bestFit="1" customWidth="1"/>
    <col min="3080" max="3310" width="9" style="1"/>
    <col min="3311" max="3311" width="4.625" style="1" customWidth="1"/>
    <col min="3312" max="3312" width="34.625" style="1" customWidth="1"/>
    <col min="3313" max="3313" width="11.625" style="1" customWidth="1"/>
    <col min="3314" max="3315" width="6.625" style="1" customWidth="1"/>
    <col min="3316" max="3316" width="10.625" style="1" customWidth="1"/>
    <col min="3317" max="3317" width="14.625" style="1" customWidth="1"/>
    <col min="3318" max="3318" width="10.625" style="1" customWidth="1"/>
    <col min="3319" max="3319" width="14.625" style="1" customWidth="1"/>
    <col min="3320" max="3320" width="10.625" style="1" customWidth="1"/>
    <col min="3321" max="3321" width="14.625" style="1" customWidth="1"/>
    <col min="3322" max="3322" width="10.625" style="1" customWidth="1"/>
    <col min="3323" max="3323" width="18.625" style="1" customWidth="1"/>
    <col min="3324" max="3324" width="9.625" style="1" customWidth="1"/>
    <col min="3325" max="3325" width="10.5" style="1" customWidth="1"/>
    <col min="3326" max="3326" width="20.375" style="1" bestFit="1" customWidth="1"/>
    <col min="3327" max="3327" width="12.5" style="1" customWidth="1"/>
    <col min="3328" max="3328" width="13.125" style="1" customWidth="1"/>
    <col min="3329" max="3333" width="9" style="1"/>
    <col min="3334" max="3334" width="11.25" style="1" bestFit="1" customWidth="1"/>
    <col min="3335" max="3335" width="11.625" style="1" bestFit="1" customWidth="1"/>
    <col min="3336" max="3566" width="9" style="1"/>
    <col min="3567" max="3567" width="4.625" style="1" customWidth="1"/>
    <col min="3568" max="3568" width="34.625" style="1" customWidth="1"/>
    <col min="3569" max="3569" width="11.625" style="1" customWidth="1"/>
    <col min="3570" max="3571" width="6.625" style="1" customWidth="1"/>
    <col min="3572" max="3572" width="10.625" style="1" customWidth="1"/>
    <col min="3573" max="3573" width="14.625" style="1" customWidth="1"/>
    <col min="3574" max="3574" width="10.625" style="1" customWidth="1"/>
    <col min="3575" max="3575" width="14.625" style="1" customWidth="1"/>
    <col min="3576" max="3576" width="10.625" style="1" customWidth="1"/>
    <col min="3577" max="3577" width="14.625" style="1" customWidth="1"/>
    <col min="3578" max="3578" width="10.625" style="1" customWidth="1"/>
    <col min="3579" max="3579" width="18.625" style="1" customWidth="1"/>
    <col min="3580" max="3580" width="9.625" style="1" customWidth="1"/>
    <col min="3581" max="3581" width="10.5" style="1" customWidth="1"/>
    <col min="3582" max="3582" width="20.375" style="1" bestFit="1" customWidth="1"/>
    <col min="3583" max="3583" width="12.5" style="1" customWidth="1"/>
    <col min="3584" max="3584" width="13.125" style="1" customWidth="1"/>
    <col min="3585" max="3589" width="9" style="1"/>
    <col min="3590" max="3590" width="11.25" style="1" bestFit="1" customWidth="1"/>
    <col min="3591" max="3591" width="11.625" style="1" bestFit="1" customWidth="1"/>
    <col min="3592" max="3822" width="9" style="1"/>
    <col min="3823" max="3823" width="4.625" style="1" customWidth="1"/>
    <col min="3824" max="3824" width="34.625" style="1" customWidth="1"/>
    <col min="3825" max="3825" width="11.625" style="1" customWidth="1"/>
    <col min="3826" max="3827" width="6.625" style="1" customWidth="1"/>
    <col min="3828" max="3828" width="10.625" style="1" customWidth="1"/>
    <col min="3829" max="3829" width="14.625" style="1" customWidth="1"/>
    <col min="3830" max="3830" width="10.625" style="1" customWidth="1"/>
    <col min="3831" max="3831" width="14.625" style="1" customWidth="1"/>
    <col min="3832" max="3832" width="10.625" style="1" customWidth="1"/>
    <col min="3833" max="3833" width="14.625" style="1" customWidth="1"/>
    <col min="3834" max="3834" width="10.625" style="1" customWidth="1"/>
    <col min="3835" max="3835" width="18.625" style="1" customWidth="1"/>
    <col min="3836" max="3836" width="9.625" style="1" customWidth="1"/>
    <col min="3837" max="3837" width="10.5" style="1" customWidth="1"/>
    <col min="3838" max="3838" width="20.375" style="1" bestFit="1" customWidth="1"/>
    <col min="3839" max="3839" width="12.5" style="1" customWidth="1"/>
    <col min="3840" max="3840" width="13.125" style="1" customWidth="1"/>
    <col min="3841" max="3845" width="9" style="1"/>
    <col min="3846" max="3846" width="11.25" style="1" bestFit="1" customWidth="1"/>
    <col min="3847" max="3847" width="11.625" style="1" bestFit="1" customWidth="1"/>
    <col min="3848" max="4078" width="9" style="1"/>
    <col min="4079" max="4079" width="4.625" style="1" customWidth="1"/>
    <col min="4080" max="4080" width="34.625" style="1" customWidth="1"/>
    <col min="4081" max="4081" width="11.625" style="1" customWidth="1"/>
    <col min="4082" max="4083" width="6.625" style="1" customWidth="1"/>
    <col min="4084" max="4084" width="10.625" style="1" customWidth="1"/>
    <col min="4085" max="4085" width="14.625" style="1" customWidth="1"/>
    <col min="4086" max="4086" width="10.625" style="1" customWidth="1"/>
    <col min="4087" max="4087" width="14.625" style="1" customWidth="1"/>
    <col min="4088" max="4088" width="10.625" style="1" customWidth="1"/>
    <col min="4089" max="4089" width="14.625" style="1" customWidth="1"/>
    <col min="4090" max="4090" width="10.625" style="1" customWidth="1"/>
    <col min="4091" max="4091" width="18.625" style="1" customWidth="1"/>
    <col min="4092" max="4092" width="9.625" style="1" customWidth="1"/>
    <col min="4093" max="4093" width="10.5" style="1" customWidth="1"/>
    <col min="4094" max="4094" width="20.375" style="1" bestFit="1" customWidth="1"/>
    <col min="4095" max="4095" width="12.5" style="1" customWidth="1"/>
    <col min="4096" max="4096" width="13.125" style="1" customWidth="1"/>
    <col min="4097" max="4101" width="9" style="1"/>
    <col min="4102" max="4102" width="11.25" style="1" bestFit="1" customWidth="1"/>
    <col min="4103" max="4103" width="11.625" style="1" bestFit="1" customWidth="1"/>
    <col min="4104" max="4334" width="9" style="1"/>
    <col min="4335" max="4335" width="4.625" style="1" customWidth="1"/>
    <col min="4336" max="4336" width="34.625" style="1" customWidth="1"/>
    <col min="4337" max="4337" width="11.625" style="1" customWidth="1"/>
    <col min="4338" max="4339" width="6.625" style="1" customWidth="1"/>
    <col min="4340" max="4340" width="10.625" style="1" customWidth="1"/>
    <col min="4341" max="4341" width="14.625" style="1" customWidth="1"/>
    <col min="4342" max="4342" width="10.625" style="1" customWidth="1"/>
    <col min="4343" max="4343" width="14.625" style="1" customWidth="1"/>
    <col min="4344" max="4344" width="10.625" style="1" customWidth="1"/>
    <col min="4345" max="4345" width="14.625" style="1" customWidth="1"/>
    <col min="4346" max="4346" width="10.625" style="1" customWidth="1"/>
    <col min="4347" max="4347" width="18.625" style="1" customWidth="1"/>
    <col min="4348" max="4348" width="9.625" style="1" customWidth="1"/>
    <col min="4349" max="4349" width="10.5" style="1" customWidth="1"/>
    <col min="4350" max="4350" width="20.375" style="1" bestFit="1" customWidth="1"/>
    <col min="4351" max="4351" width="12.5" style="1" customWidth="1"/>
    <col min="4352" max="4352" width="13.125" style="1" customWidth="1"/>
    <col min="4353" max="4357" width="9" style="1"/>
    <col min="4358" max="4358" width="11.25" style="1" bestFit="1" customWidth="1"/>
    <col min="4359" max="4359" width="11.625" style="1" bestFit="1" customWidth="1"/>
    <col min="4360" max="4590" width="9" style="1"/>
    <col min="4591" max="4591" width="4.625" style="1" customWidth="1"/>
    <col min="4592" max="4592" width="34.625" style="1" customWidth="1"/>
    <col min="4593" max="4593" width="11.625" style="1" customWidth="1"/>
    <col min="4594" max="4595" width="6.625" style="1" customWidth="1"/>
    <col min="4596" max="4596" width="10.625" style="1" customWidth="1"/>
    <col min="4597" max="4597" width="14.625" style="1" customWidth="1"/>
    <col min="4598" max="4598" width="10.625" style="1" customWidth="1"/>
    <col min="4599" max="4599" width="14.625" style="1" customWidth="1"/>
    <col min="4600" max="4600" width="10.625" style="1" customWidth="1"/>
    <col min="4601" max="4601" width="14.625" style="1" customWidth="1"/>
    <col min="4602" max="4602" width="10.625" style="1" customWidth="1"/>
    <col min="4603" max="4603" width="18.625" style="1" customWidth="1"/>
    <col min="4604" max="4604" width="9.625" style="1" customWidth="1"/>
    <col min="4605" max="4605" width="10.5" style="1" customWidth="1"/>
    <col min="4606" max="4606" width="20.375" style="1" bestFit="1" customWidth="1"/>
    <col min="4607" max="4607" width="12.5" style="1" customWidth="1"/>
    <col min="4608" max="4608" width="13.125" style="1" customWidth="1"/>
    <col min="4609" max="4613" width="9" style="1"/>
    <col min="4614" max="4614" width="11.25" style="1" bestFit="1" customWidth="1"/>
    <col min="4615" max="4615" width="11.625" style="1" bestFit="1" customWidth="1"/>
    <col min="4616" max="4846" width="9" style="1"/>
    <col min="4847" max="4847" width="4.625" style="1" customWidth="1"/>
    <col min="4848" max="4848" width="34.625" style="1" customWidth="1"/>
    <col min="4849" max="4849" width="11.625" style="1" customWidth="1"/>
    <col min="4850" max="4851" width="6.625" style="1" customWidth="1"/>
    <col min="4852" max="4852" width="10.625" style="1" customWidth="1"/>
    <col min="4853" max="4853" width="14.625" style="1" customWidth="1"/>
    <col min="4854" max="4854" width="10.625" style="1" customWidth="1"/>
    <col min="4855" max="4855" width="14.625" style="1" customWidth="1"/>
    <col min="4856" max="4856" width="10.625" style="1" customWidth="1"/>
    <col min="4857" max="4857" width="14.625" style="1" customWidth="1"/>
    <col min="4858" max="4858" width="10.625" style="1" customWidth="1"/>
    <col min="4859" max="4859" width="18.625" style="1" customWidth="1"/>
    <col min="4860" max="4860" width="9.625" style="1" customWidth="1"/>
    <col min="4861" max="4861" width="10.5" style="1" customWidth="1"/>
    <col min="4862" max="4862" width="20.375" style="1" bestFit="1" customWidth="1"/>
    <col min="4863" max="4863" width="12.5" style="1" customWidth="1"/>
    <col min="4864" max="4864" width="13.125" style="1" customWidth="1"/>
    <col min="4865" max="4869" width="9" style="1"/>
    <col min="4870" max="4870" width="11.25" style="1" bestFit="1" customWidth="1"/>
    <col min="4871" max="4871" width="11.625" style="1" bestFit="1" customWidth="1"/>
    <col min="4872" max="5102" width="9" style="1"/>
    <col min="5103" max="5103" width="4.625" style="1" customWidth="1"/>
    <col min="5104" max="5104" width="34.625" style="1" customWidth="1"/>
    <col min="5105" max="5105" width="11.625" style="1" customWidth="1"/>
    <col min="5106" max="5107" width="6.625" style="1" customWidth="1"/>
    <col min="5108" max="5108" width="10.625" style="1" customWidth="1"/>
    <col min="5109" max="5109" width="14.625" style="1" customWidth="1"/>
    <col min="5110" max="5110" width="10.625" style="1" customWidth="1"/>
    <col min="5111" max="5111" width="14.625" style="1" customWidth="1"/>
    <col min="5112" max="5112" width="10.625" style="1" customWidth="1"/>
    <col min="5113" max="5113" width="14.625" style="1" customWidth="1"/>
    <col min="5114" max="5114" width="10.625" style="1" customWidth="1"/>
    <col min="5115" max="5115" width="18.625" style="1" customWidth="1"/>
    <col min="5116" max="5116" width="9.625" style="1" customWidth="1"/>
    <col min="5117" max="5117" width="10.5" style="1" customWidth="1"/>
    <col min="5118" max="5118" width="20.375" style="1" bestFit="1" customWidth="1"/>
    <col min="5119" max="5119" width="12.5" style="1" customWidth="1"/>
    <col min="5120" max="5120" width="13.125" style="1" customWidth="1"/>
    <col min="5121" max="5125" width="9" style="1"/>
    <col min="5126" max="5126" width="11.25" style="1" bestFit="1" customWidth="1"/>
    <col min="5127" max="5127" width="11.625" style="1" bestFit="1" customWidth="1"/>
    <col min="5128" max="5358" width="9" style="1"/>
    <col min="5359" max="5359" width="4.625" style="1" customWidth="1"/>
    <col min="5360" max="5360" width="34.625" style="1" customWidth="1"/>
    <col min="5361" max="5361" width="11.625" style="1" customWidth="1"/>
    <col min="5362" max="5363" width="6.625" style="1" customWidth="1"/>
    <col min="5364" max="5364" width="10.625" style="1" customWidth="1"/>
    <col min="5365" max="5365" width="14.625" style="1" customWidth="1"/>
    <col min="5366" max="5366" width="10.625" style="1" customWidth="1"/>
    <col min="5367" max="5367" width="14.625" style="1" customWidth="1"/>
    <col min="5368" max="5368" width="10.625" style="1" customWidth="1"/>
    <col min="5369" max="5369" width="14.625" style="1" customWidth="1"/>
    <col min="5370" max="5370" width="10.625" style="1" customWidth="1"/>
    <col min="5371" max="5371" width="18.625" style="1" customWidth="1"/>
    <col min="5372" max="5372" width="9.625" style="1" customWidth="1"/>
    <col min="5373" max="5373" width="10.5" style="1" customWidth="1"/>
    <col min="5374" max="5374" width="20.375" style="1" bestFit="1" customWidth="1"/>
    <col min="5375" max="5375" width="12.5" style="1" customWidth="1"/>
    <col min="5376" max="5376" width="13.125" style="1" customWidth="1"/>
    <col min="5377" max="5381" width="9" style="1"/>
    <col min="5382" max="5382" width="11.25" style="1" bestFit="1" customWidth="1"/>
    <col min="5383" max="5383" width="11.625" style="1" bestFit="1" customWidth="1"/>
    <col min="5384" max="5614" width="9" style="1"/>
    <col min="5615" max="5615" width="4.625" style="1" customWidth="1"/>
    <col min="5616" max="5616" width="34.625" style="1" customWidth="1"/>
    <col min="5617" max="5617" width="11.625" style="1" customWidth="1"/>
    <col min="5618" max="5619" width="6.625" style="1" customWidth="1"/>
    <col min="5620" max="5620" width="10.625" style="1" customWidth="1"/>
    <col min="5621" max="5621" width="14.625" style="1" customWidth="1"/>
    <col min="5622" max="5622" width="10.625" style="1" customWidth="1"/>
    <col min="5623" max="5623" width="14.625" style="1" customWidth="1"/>
    <col min="5624" max="5624" width="10.625" style="1" customWidth="1"/>
    <col min="5625" max="5625" width="14.625" style="1" customWidth="1"/>
    <col min="5626" max="5626" width="10.625" style="1" customWidth="1"/>
    <col min="5627" max="5627" width="18.625" style="1" customWidth="1"/>
    <col min="5628" max="5628" width="9.625" style="1" customWidth="1"/>
    <col min="5629" max="5629" width="10.5" style="1" customWidth="1"/>
    <col min="5630" max="5630" width="20.375" style="1" bestFit="1" customWidth="1"/>
    <col min="5631" max="5631" width="12.5" style="1" customWidth="1"/>
    <col min="5632" max="5632" width="13.125" style="1" customWidth="1"/>
    <col min="5633" max="5637" width="9" style="1"/>
    <col min="5638" max="5638" width="11.25" style="1" bestFit="1" customWidth="1"/>
    <col min="5639" max="5639" width="11.625" style="1" bestFit="1" customWidth="1"/>
    <col min="5640" max="5870" width="9" style="1"/>
    <col min="5871" max="5871" width="4.625" style="1" customWidth="1"/>
    <col min="5872" max="5872" width="34.625" style="1" customWidth="1"/>
    <col min="5873" max="5873" width="11.625" style="1" customWidth="1"/>
    <col min="5874" max="5875" width="6.625" style="1" customWidth="1"/>
    <col min="5876" max="5876" width="10.625" style="1" customWidth="1"/>
    <col min="5877" max="5877" width="14.625" style="1" customWidth="1"/>
    <col min="5878" max="5878" width="10.625" style="1" customWidth="1"/>
    <col min="5879" max="5879" width="14.625" style="1" customWidth="1"/>
    <col min="5880" max="5880" width="10.625" style="1" customWidth="1"/>
    <col min="5881" max="5881" width="14.625" style="1" customWidth="1"/>
    <col min="5882" max="5882" width="10.625" style="1" customWidth="1"/>
    <col min="5883" max="5883" width="18.625" style="1" customWidth="1"/>
    <col min="5884" max="5884" width="9.625" style="1" customWidth="1"/>
    <col min="5885" max="5885" width="10.5" style="1" customWidth="1"/>
    <col min="5886" max="5886" width="20.375" style="1" bestFit="1" customWidth="1"/>
    <col min="5887" max="5887" width="12.5" style="1" customWidth="1"/>
    <col min="5888" max="5888" width="13.125" style="1" customWidth="1"/>
    <col min="5889" max="5893" width="9" style="1"/>
    <col min="5894" max="5894" width="11.25" style="1" bestFit="1" customWidth="1"/>
    <col min="5895" max="5895" width="11.625" style="1" bestFit="1" customWidth="1"/>
    <col min="5896" max="6126" width="9" style="1"/>
    <col min="6127" max="6127" width="4.625" style="1" customWidth="1"/>
    <col min="6128" max="6128" width="34.625" style="1" customWidth="1"/>
    <col min="6129" max="6129" width="11.625" style="1" customWidth="1"/>
    <col min="6130" max="6131" width="6.625" style="1" customWidth="1"/>
    <col min="6132" max="6132" width="10.625" style="1" customWidth="1"/>
    <col min="6133" max="6133" width="14.625" style="1" customWidth="1"/>
    <col min="6134" max="6134" width="10.625" style="1" customWidth="1"/>
    <col min="6135" max="6135" width="14.625" style="1" customWidth="1"/>
    <col min="6136" max="6136" width="10.625" style="1" customWidth="1"/>
    <col min="6137" max="6137" width="14.625" style="1" customWidth="1"/>
    <col min="6138" max="6138" width="10.625" style="1" customWidth="1"/>
    <col min="6139" max="6139" width="18.625" style="1" customWidth="1"/>
    <col min="6140" max="6140" width="9.625" style="1" customWidth="1"/>
    <col min="6141" max="6141" width="10.5" style="1" customWidth="1"/>
    <col min="6142" max="6142" width="20.375" style="1" bestFit="1" customWidth="1"/>
    <col min="6143" max="6143" width="12.5" style="1" customWidth="1"/>
    <col min="6144" max="6144" width="13.125" style="1" customWidth="1"/>
    <col min="6145" max="6149" width="9" style="1"/>
    <col min="6150" max="6150" width="11.25" style="1" bestFit="1" customWidth="1"/>
    <col min="6151" max="6151" width="11.625" style="1" bestFit="1" customWidth="1"/>
    <col min="6152" max="6382" width="9" style="1"/>
    <col min="6383" max="6383" width="4.625" style="1" customWidth="1"/>
    <col min="6384" max="6384" width="34.625" style="1" customWidth="1"/>
    <col min="6385" max="6385" width="11.625" style="1" customWidth="1"/>
    <col min="6386" max="6387" width="6.625" style="1" customWidth="1"/>
    <col min="6388" max="6388" width="10.625" style="1" customWidth="1"/>
    <col min="6389" max="6389" width="14.625" style="1" customWidth="1"/>
    <col min="6390" max="6390" width="10.625" style="1" customWidth="1"/>
    <col min="6391" max="6391" width="14.625" style="1" customWidth="1"/>
    <col min="6392" max="6392" width="10.625" style="1" customWidth="1"/>
    <col min="6393" max="6393" width="14.625" style="1" customWidth="1"/>
    <col min="6394" max="6394" width="10.625" style="1" customWidth="1"/>
    <col min="6395" max="6395" width="18.625" style="1" customWidth="1"/>
    <col min="6396" max="6396" width="9.625" style="1" customWidth="1"/>
    <col min="6397" max="6397" width="10.5" style="1" customWidth="1"/>
    <col min="6398" max="6398" width="20.375" style="1" bestFit="1" customWidth="1"/>
    <col min="6399" max="6399" width="12.5" style="1" customWidth="1"/>
    <col min="6400" max="6400" width="13.125" style="1" customWidth="1"/>
    <col min="6401" max="6405" width="9" style="1"/>
    <col min="6406" max="6406" width="11.25" style="1" bestFit="1" customWidth="1"/>
    <col min="6407" max="6407" width="11.625" style="1" bestFit="1" customWidth="1"/>
    <col min="6408" max="6638" width="9" style="1"/>
    <col min="6639" max="6639" width="4.625" style="1" customWidth="1"/>
    <col min="6640" max="6640" width="34.625" style="1" customWidth="1"/>
    <col min="6641" max="6641" width="11.625" style="1" customWidth="1"/>
    <col min="6642" max="6643" width="6.625" style="1" customWidth="1"/>
    <col min="6644" max="6644" width="10.625" style="1" customWidth="1"/>
    <col min="6645" max="6645" width="14.625" style="1" customWidth="1"/>
    <col min="6646" max="6646" width="10.625" style="1" customWidth="1"/>
    <col min="6647" max="6647" width="14.625" style="1" customWidth="1"/>
    <col min="6648" max="6648" width="10.625" style="1" customWidth="1"/>
    <col min="6649" max="6649" width="14.625" style="1" customWidth="1"/>
    <col min="6650" max="6650" width="10.625" style="1" customWidth="1"/>
    <col min="6651" max="6651" width="18.625" style="1" customWidth="1"/>
    <col min="6652" max="6652" width="9.625" style="1" customWidth="1"/>
    <col min="6653" max="6653" width="10.5" style="1" customWidth="1"/>
    <col min="6654" max="6654" width="20.375" style="1" bestFit="1" customWidth="1"/>
    <col min="6655" max="6655" width="12.5" style="1" customWidth="1"/>
    <col min="6656" max="6656" width="13.125" style="1" customWidth="1"/>
    <col min="6657" max="6661" width="9" style="1"/>
    <col min="6662" max="6662" width="11.25" style="1" bestFit="1" customWidth="1"/>
    <col min="6663" max="6663" width="11.625" style="1" bestFit="1" customWidth="1"/>
    <col min="6664" max="6894" width="9" style="1"/>
    <col min="6895" max="6895" width="4.625" style="1" customWidth="1"/>
    <col min="6896" max="6896" width="34.625" style="1" customWidth="1"/>
    <col min="6897" max="6897" width="11.625" style="1" customWidth="1"/>
    <col min="6898" max="6899" width="6.625" style="1" customWidth="1"/>
    <col min="6900" max="6900" width="10.625" style="1" customWidth="1"/>
    <col min="6901" max="6901" width="14.625" style="1" customWidth="1"/>
    <col min="6902" max="6902" width="10.625" style="1" customWidth="1"/>
    <col min="6903" max="6903" width="14.625" style="1" customWidth="1"/>
    <col min="6904" max="6904" width="10.625" style="1" customWidth="1"/>
    <col min="6905" max="6905" width="14.625" style="1" customWidth="1"/>
    <col min="6906" max="6906" width="10.625" style="1" customWidth="1"/>
    <col min="6907" max="6907" width="18.625" style="1" customWidth="1"/>
    <col min="6908" max="6908" width="9.625" style="1" customWidth="1"/>
    <col min="6909" max="6909" width="10.5" style="1" customWidth="1"/>
    <col min="6910" max="6910" width="20.375" style="1" bestFit="1" customWidth="1"/>
    <col min="6911" max="6911" width="12.5" style="1" customWidth="1"/>
    <col min="6912" max="6912" width="13.125" style="1" customWidth="1"/>
    <col min="6913" max="6917" width="9" style="1"/>
    <col min="6918" max="6918" width="11.25" style="1" bestFit="1" customWidth="1"/>
    <col min="6919" max="6919" width="11.625" style="1" bestFit="1" customWidth="1"/>
    <col min="6920" max="7150" width="9" style="1"/>
    <col min="7151" max="7151" width="4.625" style="1" customWidth="1"/>
    <col min="7152" max="7152" width="34.625" style="1" customWidth="1"/>
    <col min="7153" max="7153" width="11.625" style="1" customWidth="1"/>
    <col min="7154" max="7155" width="6.625" style="1" customWidth="1"/>
    <col min="7156" max="7156" width="10.625" style="1" customWidth="1"/>
    <col min="7157" max="7157" width="14.625" style="1" customWidth="1"/>
    <col min="7158" max="7158" width="10.625" style="1" customWidth="1"/>
    <col min="7159" max="7159" width="14.625" style="1" customWidth="1"/>
    <col min="7160" max="7160" width="10.625" style="1" customWidth="1"/>
    <col min="7161" max="7161" width="14.625" style="1" customWidth="1"/>
    <col min="7162" max="7162" width="10.625" style="1" customWidth="1"/>
    <col min="7163" max="7163" width="18.625" style="1" customWidth="1"/>
    <col min="7164" max="7164" width="9.625" style="1" customWidth="1"/>
    <col min="7165" max="7165" width="10.5" style="1" customWidth="1"/>
    <col min="7166" max="7166" width="20.375" style="1" bestFit="1" customWidth="1"/>
    <col min="7167" max="7167" width="12.5" style="1" customWidth="1"/>
    <col min="7168" max="7168" width="13.125" style="1" customWidth="1"/>
    <col min="7169" max="7173" width="9" style="1"/>
    <col min="7174" max="7174" width="11.25" style="1" bestFit="1" customWidth="1"/>
    <col min="7175" max="7175" width="11.625" style="1" bestFit="1" customWidth="1"/>
    <col min="7176" max="7406" width="9" style="1"/>
    <col min="7407" max="7407" width="4.625" style="1" customWidth="1"/>
    <col min="7408" max="7408" width="34.625" style="1" customWidth="1"/>
    <col min="7409" max="7409" width="11.625" style="1" customWidth="1"/>
    <col min="7410" max="7411" width="6.625" style="1" customWidth="1"/>
    <col min="7412" max="7412" width="10.625" style="1" customWidth="1"/>
    <col min="7413" max="7413" width="14.625" style="1" customWidth="1"/>
    <col min="7414" max="7414" width="10.625" style="1" customWidth="1"/>
    <col min="7415" max="7415" width="14.625" style="1" customWidth="1"/>
    <col min="7416" max="7416" width="10.625" style="1" customWidth="1"/>
    <col min="7417" max="7417" width="14.625" style="1" customWidth="1"/>
    <col min="7418" max="7418" width="10.625" style="1" customWidth="1"/>
    <col min="7419" max="7419" width="18.625" style="1" customWidth="1"/>
    <col min="7420" max="7420" width="9.625" style="1" customWidth="1"/>
    <col min="7421" max="7421" width="10.5" style="1" customWidth="1"/>
    <col min="7422" max="7422" width="20.375" style="1" bestFit="1" customWidth="1"/>
    <col min="7423" max="7423" width="12.5" style="1" customWidth="1"/>
    <col min="7424" max="7424" width="13.125" style="1" customWidth="1"/>
    <col min="7425" max="7429" width="9" style="1"/>
    <col min="7430" max="7430" width="11.25" style="1" bestFit="1" customWidth="1"/>
    <col min="7431" max="7431" width="11.625" style="1" bestFit="1" customWidth="1"/>
    <col min="7432" max="7662" width="9" style="1"/>
    <col min="7663" max="7663" width="4.625" style="1" customWidth="1"/>
    <col min="7664" max="7664" width="34.625" style="1" customWidth="1"/>
    <col min="7665" max="7665" width="11.625" style="1" customWidth="1"/>
    <col min="7666" max="7667" width="6.625" style="1" customWidth="1"/>
    <col min="7668" max="7668" width="10.625" style="1" customWidth="1"/>
    <col min="7669" max="7669" width="14.625" style="1" customWidth="1"/>
    <col min="7670" max="7670" width="10.625" style="1" customWidth="1"/>
    <col min="7671" max="7671" width="14.625" style="1" customWidth="1"/>
    <col min="7672" max="7672" width="10.625" style="1" customWidth="1"/>
    <col min="7673" max="7673" width="14.625" style="1" customWidth="1"/>
    <col min="7674" max="7674" width="10.625" style="1" customWidth="1"/>
    <col min="7675" max="7675" width="18.625" style="1" customWidth="1"/>
    <col min="7676" max="7676" width="9.625" style="1" customWidth="1"/>
    <col min="7677" max="7677" width="10.5" style="1" customWidth="1"/>
    <col min="7678" max="7678" width="20.375" style="1" bestFit="1" customWidth="1"/>
    <col min="7679" max="7679" width="12.5" style="1" customWidth="1"/>
    <col min="7680" max="7680" width="13.125" style="1" customWidth="1"/>
    <col min="7681" max="7685" width="9" style="1"/>
    <col min="7686" max="7686" width="11.25" style="1" bestFit="1" customWidth="1"/>
    <col min="7687" max="7687" width="11.625" style="1" bestFit="1" customWidth="1"/>
    <col min="7688" max="7918" width="9" style="1"/>
    <col min="7919" max="7919" width="4.625" style="1" customWidth="1"/>
    <col min="7920" max="7920" width="34.625" style="1" customWidth="1"/>
    <col min="7921" max="7921" width="11.625" style="1" customWidth="1"/>
    <col min="7922" max="7923" width="6.625" style="1" customWidth="1"/>
    <col min="7924" max="7924" width="10.625" style="1" customWidth="1"/>
    <col min="7925" max="7925" width="14.625" style="1" customWidth="1"/>
    <col min="7926" max="7926" width="10.625" style="1" customWidth="1"/>
    <col min="7927" max="7927" width="14.625" style="1" customWidth="1"/>
    <col min="7928" max="7928" width="10.625" style="1" customWidth="1"/>
    <col min="7929" max="7929" width="14.625" style="1" customWidth="1"/>
    <col min="7930" max="7930" width="10.625" style="1" customWidth="1"/>
    <col min="7931" max="7931" width="18.625" style="1" customWidth="1"/>
    <col min="7932" max="7932" width="9.625" style="1" customWidth="1"/>
    <col min="7933" max="7933" width="10.5" style="1" customWidth="1"/>
    <col min="7934" max="7934" width="20.375" style="1" bestFit="1" customWidth="1"/>
    <col min="7935" max="7935" width="12.5" style="1" customWidth="1"/>
    <col min="7936" max="7936" width="13.125" style="1" customWidth="1"/>
    <col min="7937" max="7941" width="9" style="1"/>
    <col min="7942" max="7942" width="11.25" style="1" bestFit="1" customWidth="1"/>
    <col min="7943" max="7943" width="11.625" style="1" bestFit="1" customWidth="1"/>
    <col min="7944" max="8174" width="9" style="1"/>
    <col min="8175" max="8175" width="4.625" style="1" customWidth="1"/>
    <col min="8176" max="8176" width="34.625" style="1" customWidth="1"/>
    <col min="8177" max="8177" width="11.625" style="1" customWidth="1"/>
    <col min="8178" max="8179" width="6.625" style="1" customWidth="1"/>
    <col min="8180" max="8180" width="10.625" style="1" customWidth="1"/>
    <col min="8181" max="8181" width="14.625" style="1" customWidth="1"/>
    <col min="8182" max="8182" width="10.625" style="1" customWidth="1"/>
    <col min="8183" max="8183" width="14.625" style="1" customWidth="1"/>
    <col min="8184" max="8184" width="10.625" style="1" customWidth="1"/>
    <col min="8185" max="8185" width="14.625" style="1" customWidth="1"/>
    <col min="8186" max="8186" width="10.625" style="1" customWidth="1"/>
    <col min="8187" max="8187" width="18.625" style="1" customWidth="1"/>
    <col min="8188" max="8188" width="9.625" style="1" customWidth="1"/>
    <col min="8189" max="8189" width="10.5" style="1" customWidth="1"/>
    <col min="8190" max="8190" width="20.375" style="1" bestFit="1" customWidth="1"/>
    <col min="8191" max="8191" width="12.5" style="1" customWidth="1"/>
    <col min="8192" max="8192" width="13.125" style="1" customWidth="1"/>
    <col min="8193" max="8197" width="9" style="1"/>
    <col min="8198" max="8198" width="11.25" style="1" bestFit="1" customWidth="1"/>
    <col min="8199" max="8199" width="11.625" style="1" bestFit="1" customWidth="1"/>
    <col min="8200" max="8430" width="9" style="1"/>
    <col min="8431" max="8431" width="4.625" style="1" customWidth="1"/>
    <col min="8432" max="8432" width="34.625" style="1" customWidth="1"/>
    <col min="8433" max="8433" width="11.625" style="1" customWidth="1"/>
    <col min="8434" max="8435" width="6.625" style="1" customWidth="1"/>
    <col min="8436" max="8436" width="10.625" style="1" customWidth="1"/>
    <col min="8437" max="8437" width="14.625" style="1" customWidth="1"/>
    <col min="8438" max="8438" width="10.625" style="1" customWidth="1"/>
    <col min="8439" max="8439" width="14.625" style="1" customWidth="1"/>
    <col min="8440" max="8440" width="10.625" style="1" customWidth="1"/>
    <col min="8441" max="8441" width="14.625" style="1" customWidth="1"/>
    <col min="8442" max="8442" width="10.625" style="1" customWidth="1"/>
    <col min="8443" max="8443" width="18.625" style="1" customWidth="1"/>
    <col min="8444" max="8444" width="9.625" style="1" customWidth="1"/>
    <col min="8445" max="8445" width="10.5" style="1" customWidth="1"/>
    <col min="8446" max="8446" width="20.375" style="1" bestFit="1" customWidth="1"/>
    <col min="8447" max="8447" width="12.5" style="1" customWidth="1"/>
    <col min="8448" max="8448" width="13.125" style="1" customWidth="1"/>
    <col min="8449" max="8453" width="9" style="1"/>
    <col min="8454" max="8454" width="11.25" style="1" bestFit="1" customWidth="1"/>
    <col min="8455" max="8455" width="11.625" style="1" bestFit="1" customWidth="1"/>
    <col min="8456" max="8686" width="9" style="1"/>
    <col min="8687" max="8687" width="4.625" style="1" customWidth="1"/>
    <col min="8688" max="8688" width="34.625" style="1" customWidth="1"/>
    <col min="8689" max="8689" width="11.625" style="1" customWidth="1"/>
    <col min="8690" max="8691" width="6.625" style="1" customWidth="1"/>
    <col min="8692" max="8692" width="10.625" style="1" customWidth="1"/>
    <col min="8693" max="8693" width="14.625" style="1" customWidth="1"/>
    <col min="8694" max="8694" width="10.625" style="1" customWidth="1"/>
    <col min="8695" max="8695" width="14.625" style="1" customWidth="1"/>
    <col min="8696" max="8696" width="10.625" style="1" customWidth="1"/>
    <col min="8697" max="8697" width="14.625" style="1" customWidth="1"/>
    <col min="8698" max="8698" width="10.625" style="1" customWidth="1"/>
    <col min="8699" max="8699" width="18.625" style="1" customWidth="1"/>
    <col min="8700" max="8700" width="9.625" style="1" customWidth="1"/>
    <col min="8701" max="8701" width="10.5" style="1" customWidth="1"/>
    <col min="8702" max="8702" width="20.375" style="1" bestFit="1" customWidth="1"/>
    <col min="8703" max="8703" width="12.5" style="1" customWidth="1"/>
    <col min="8704" max="8704" width="13.125" style="1" customWidth="1"/>
    <col min="8705" max="8709" width="9" style="1"/>
    <col min="8710" max="8710" width="11.25" style="1" bestFit="1" customWidth="1"/>
    <col min="8711" max="8711" width="11.625" style="1" bestFit="1" customWidth="1"/>
    <col min="8712" max="8942" width="9" style="1"/>
    <col min="8943" max="8943" width="4.625" style="1" customWidth="1"/>
    <col min="8944" max="8944" width="34.625" style="1" customWidth="1"/>
    <col min="8945" max="8945" width="11.625" style="1" customWidth="1"/>
    <col min="8946" max="8947" width="6.625" style="1" customWidth="1"/>
    <col min="8948" max="8948" width="10.625" style="1" customWidth="1"/>
    <col min="8949" max="8949" width="14.625" style="1" customWidth="1"/>
    <col min="8950" max="8950" width="10.625" style="1" customWidth="1"/>
    <col min="8951" max="8951" width="14.625" style="1" customWidth="1"/>
    <col min="8952" max="8952" width="10.625" style="1" customWidth="1"/>
    <col min="8953" max="8953" width="14.625" style="1" customWidth="1"/>
    <col min="8954" max="8954" width="10.625" style="1" customWidth="1"/>
    <col min="8955" max="8955" width="18.625" style="1" customWidth="1"/>
    <col min="8956" max="8956" width="9.625" style="1" customWidth="1"/>
    <col min="8957" max="8957" width="10.5" style="1" customWidth="1"/>
    <col min="8958" max="8958" width="20.375" style="1" bestFit="1" customWidth="1"/>
    <col min="8959" max="8959" width="12.5" style="1" customWidth="1"/>
    <col min="8960" max="8960" width="13.125" style="1" customWidth="1"/>
    <col min="8961" max="8965" width="9" style="1"/>
    <col min="8966" max="8966" width="11.25" style="1" bestFit="1" customWidth="1"/>
    <col min="8967" max="8967" width="11.625" style="1" bestFit="1" customWidth="1"/>
    <col min="8968" max="9198" width="9" style="1"/>
    <col min="9199" max="9199" width="4.625" style="1" customWidth="1"/>
    <col min="9200" max="9200" width="34.625" style="1" customWidth="1"/>
    <col min="9201" max="9201" width="11.625" style="1" customWidth="1"/>
    <col min="9202" max="9203" width="6.625" style="1" customWidth="1"/>
    <col min="9204" max="9204" width="10.625" style="1" customWidth="1"/>
    <col min="9205" max="9205" width="14.625" style="1" customWidth="1"/>
    <col min="9206" max="9206" width="10.625" style="1" customWidth="1"/>
    <col min="9207" max="9207" width="14.625" style="1" customWidth="1"/>
    <col min="9208" max="9208" width="10.625" style="1" customWidth="1"/>
    <col min="9209" max="9209" width="14.625" style="1" customWidth="1"/>
    <col min="9210" max="9210" width="10.625" style="1" customWidth="1"/>
    <col min="9211" max="9211" width="18.625" style="1" customWidth="1"/>
    <col min="9212" max="9212" width="9.625" style="1" customWidth="1"/>
    <col min="9213" max="9213" width="10.5" style="1" customWidth="1"/>
    <col min="9214" max="9214" width="20.375" style="1" bestFit="1" customWidth="1"/>
    <col min="9215" max="9215" width="12.5" style="1" customWidth="1"/>
    <col min="9216" max="9216" width="13.125" style="1" customWidth="1"/>
    <col min="9217" max="9221" width="9" style="1"/>
    <col min="9222" max="9222" width="11.25" style="1" bestFit="1" customWidth="1"/>
    <col min="9223" max="9223" width="11.625" style="1" bestFit="1" customWidth="1"/>
    <col min="9224" max="9454" width="9" style="1"/>
    <col min="9455" max="9455" width="4.625" style="1" customWidth="1"/>
    <col min="9456" max="9456" width="34.625" style="1" customWidth="1"/>
    <col min="9457" max="9457" width="11.625" style="1" customWidth="1"/>
    <col min="9458" max="9459" width="6.625" style="1" customWidth="1"/>
    <col min="9460" max="9460" width="10.625" style="1" customWidth="1"/>
    <col min="9461" max="9461" width="14.625" style="1" customWidth="1"/>
    <col min="9462" max="9462" width="10.625" style="1" customWidth="1"/>
    <col min="9463" max="9463" width="14.625" style="1" customWidth="1"/>
    <col min="9464" max="9464" width="10.625" style="1" customWidth="1"/>
    <col min="9465" max="9465" width="14.625" style="1" customWidth="1"/>
    <col min="9466" max="9466" width="10.625" style="1" customWidth="1"/>
    <col min="9467" max="9467" width="18.625" style="1" customWidth="1"/>
    <col min="9468" max="9468" width="9.625" style="1" customWidth="1"/>
    <col min="9469" max="9469" width="10.5" style="1" customWidth="1"/>
    <col min="9470" max="9470" width="20.375" style="1" bestFit="1" customWidth="1"/>
    <col min="9471" max="9471" width="12.5" style="1" customWidth="1"/>
    <col min="9472" max="9472" width="13.125" style="1" customWidth="1"/>
    <col min="9473" max="9477" width="9" style="1"/>
    <col min="9478" max="9478" width="11.25" style="1" bestFit="1" customWidth="1"/>
    <col min="9479" max="9479" width="11.625" style="1" bestFit="1" customWidth="1"/>
    <col min="9480" max="9710" width="9" style="1"/>
    <col min="9711" max="9711" width="4.625" style="1" customWidth="1"/>
    <col min="9712" max="9712" width="34.625" style="1" customWidth="1"/>
    <col min="9713" max="9713" width="11.625" style="1" customWidth="1"/>
    <col min="9714" max="9715" width="6.625" style="1" customWidth="1"/>
    <col min="9716" max="9716" width="10.625" style="1" customWidth="1"/>
    <col min="9717" max="9717" width="14.625" style="1" customWidth="1"/>
    <col min="9718" max="9718" width="10.625" style="1" customWidth="1"/>
    <col min="9719" max="9719" width="14.625" style="1" customWidth="1"/>
    <col min="9720" max="9720" width="10.625" style="1" customWidth="1"/>
    <col min="9721" max="9721" width="14.625" style="1" customWidth="1"/>
    <col min="9722" max="9722" width="10.625" style="1" customWidth="1"/>
    <col min="9723" max="9723" width="18.625" style="1" customWidth="1"/>
    <col min="9724" max="9724" width="9.625" style="1" customWidth="1"/>
    <col min="9725" max="9725" width="10.5" style="1" customWidth="1"/>
    <col min="9726" max="9726" width="20.375" style="1" bestFit="1" customWidth="1"/>
    <col min="9727" max="9727" width="12.5" style="1" customWidth="1"/>
    <col min="9728" max="9728" width="13.125" style="1" customWidth="1"/>
    <col min="9729" max="9733" width="9" style="1"/>
    <col min="9734" max="9734" width="11.25" style="1" bestFit="1" customWidth="1"/>
    <col min="9735" max="9735" width="11.625" style="1" bestFit="1" customWidth="1"/>
    <col min="9736" max="9966" width="9" style="1"/>
    <col min="9967" max="9967" width="4.625" style="1" customWidth="1"/>
    <col min="9968" max="9968" width="34.625" style="1" customWidth="1"/>
    <col min="9969" max="9969" width="11.625" style="1" customWidth="1"/>
    <col min="9970" max="9971" width="6.625" style="1" customWidth="1"/>
    <col min="9972" max="9972" width="10.625" style="1" customWidth="1"/>
    <col min="9973" max="9973" width="14.625" style="1" customWidth="1"/>
    <col min="9974" max="9974" width="10.625" style="1" customWidth="1"/>
    <col min="9975" max="9975" width="14.625" style="1" customWidth="1"/>
    <col min="9976" max="9976" width="10.625" style="1" customWidth="1"/>
    <col min="9977" max="9977" width="14.625" style="1" customWidth="1"/>
    <col min="9978" max="9978" width="10.625" style="1" customWidth="1"/>
    <col min="9979" max="9979" width="18.625" style="1" customWidth="1"/>
    <col min="9980" max="9980" width="9.625" style="1" customWidth="1"/>
    <col min="9981" max="9981" width="10.5" style="1" customWidth="1"/>
    <col min="9982" max="9982" width="20.375" style="1" bestFit="1" customWidth="1"/>
    <col min="9983" max="9983" width="12.5" style="1" customWidth="1"/>
    <col min="9984" max="9984" width="13.125" style="1" customWidth="1"/>
    <col min="9985" max="9989" width="9" style="1"/>
    <col min="9990" max="9990" width="11.25" style="1" bestFit="1" customWidth="1"/>
    <col min="9991" max="9991" width="11.625" style="1" bestFit="1" customWidth="1"/>
    <col min="9992" max="10222" width="9" style="1"/>
    <col min="10223" max="10223" width="4.625" style="1" customWidth="1"/>
    <col min="10224" max="10224" width="34.625" style="1" customWidth="1"/>
    <col min="10225" max="10225" width="11.625" style="1" customWidth="1"/>
    <col min="10226" max="10227" width="6.625" style="1" customWidth="1"/>
    <col min="10228" max="10228" width="10.625" style="1" customWidth="1"/>
    <col min="10229" max="10229" width="14.625" style="1" customWidth="1"/>
    <col min="10230" max="10230" width="10.625" style="1" customWidth="1"/>
    <col min="10231" max="10231" width="14.625" style="1" customWidth="1"/>
    <col min="10232" max="10232" width="10.625" style="1" customWidth="1"/>
    <col min="10233" max="10233" width="14.625" style="1" customWidth="1"/>
    <col min="10234" max="10234" width="10.625" style="1" customWidth="1"/>
    <col min="10235" max="10235" width="18.625" style="1" customWidth="1"/>
    <col min="10236" max="10236" width="9.625" style="1" customWidth="1"/>
    <col min="10237" max="10237" width="10.5" style="1" customWidth="1"/>
    <col min="10238" max="10238" width="20.375" style="1" bestFit="1" customWidth="1"/>
    <col min="10239" max="10239" width="12.5" style="1" customWidth="1"/>
    <col min="10240" max="10240" width="13.125" style="1" customWidth="1"/>
    <col min="10241" max="10245" width="9" style="1"/>
    <col min="10246" max="10246" width="11.25" style="1" bestFit="1" customWidth="1"/>
    <col min="10247" max="10247" width="11.625" style="1" bestFit="1" customWidth="1"/>
    <col min="10248" max="10478" width="9" style="1"/>
    <col min="10479" max="10479" width="4.625" style="1" customWidth="1"/>
    <col min="10480" max="10480" width="34.625" style="1" customWidth="1"/>
    <col min="10481" max="10481" width="11.625" style="1" customWidth="1"/>
    <col min="10482" max="10483" width="6.625" style="1" customWidth="1"/>
    <col min="10484" max="10484" width="10.625" style="1" customWidth="1"/>
    <col min="10485" max="10485" width="14.625" style="1" customWidth="1"/>
    <col min="10486" max="10486" width="10.625" style="1" customWidth="1"/>
    <col min="10487" max="10487" width="14.625" style="1" customWidth="1"/>
    <col min="10488" max="10488" width="10.625" style="1" customWidth="1"/>
    <col min="10489" max="10489" width="14.625" style="1" customWidth="1"/>
    <col min="10490" max="10490" width="10.625" style="1" customWidth="1"/>
    <col min="10491" max="10491" width="18.625" style="1" customWidth="1"/>
    <col min="10492" max="10492" width="9.625" style="1" customWidth="1"/>
    <col min="10493" max="10493" width="10.5" style="1" customWidth="1"/>
    <col min="10494" max="10494" width="20.375" style="1" bestFit="1" customWidth="1"/>
    <col min="10495" max="10495" width="12.5" style="1" customWidth="1"/>
    <col min="10496" max="10496" width="13.125" style="1" customWidth="1"/>
    <col min="10497" max="10501" width="9" style="1"/>
    <col min="10502" max="10502" width="11.25" style="1" bestFit="1" customWidth="1"/>
    <col min="10503" max="10503" width="11.625" style="1" bestFit="1" customWidth="1"/>
    <col min="10504" max="10734" width="9" style="1"/>
    <col min="10735" max="10735" width="4.625" style="1" customWidth="1"/>
    <col min="10736" max="10736" width="34.625" style="1" customWidth="1"/>
    <col min="10737" max="10737" width="11.625" style="1" customWidth="1"/>
    <col min="10738" max="10739" width="6.625" style="1" customWidth="1"/>
    <col min="10740" max="10740" width="10.625" style="1" customWidth="1"/>
    <col min="10741" max="10741" width="14.625" style="1" customWidth="1"/>
    <col min="10742" max="10742" width="10.625" style="1" customWidth="1"/>
    <col min="10743" max="10743" width="14.625" style="1" customWidth="1"/>
    <col min="10744" max="10744" width="10.625" style="1" customWidth="1"/>
    <col min="10745" max="10745" width="14.625" style="1" customWidth="1"/>
    <col min="10746" max="10746" width="10.625" style="1" customWidth="1"/>
    <col min="10747" max="10747" width="18.625" style="1" customWidth="1"/>
    <col min="10748" max="10748" width="9.625" style="1" customWidth="1"/>
    <col min="10749" max="10749" width="10.5" style="1" customWidth="1"/>
    <col min="10750" max="10750" width="20.375" style="1" bestFit="1" customWidth="1"/>
    <col min="10751" max="10751" width="12.5" style="1" customWidth="1"/>
    <col min="10752" max="10752" width="13.125" style="1" customWidth="1"/>
    <col min="10753" max="10757" width="9" style="1"/>
    <col min="10758" max="10758" width="11.25" style="1" bestFit="1" customWidth="1"/>
    <col min="10759" max="10759" width="11.625" style="1" bestFit="1" customWidth="1"/>
    <col min="10760" max="10990" width="9" style="1"/>
    <col min="10991" max="10991" width="4.625" style="1" customWidth="1"/>
    <col min="10992" max="10992" width="34.625" style="1" customWidth="1"/>
    <col min="10993" max="10993" width="11.625" style="1" customWidth="1"/>
    <col min="10994" max="10995" width="6.625" style="1" customWidth="1"/>
    <col min="10996" max="10996" width="10.625" style="1" customWidth="1"/>
    <col min="10997" max="10997" width="14.625" style="1" customWidth="1"/>
    <col min="10998" max="10998" width="10.625" style="1" customWidth="1"/>
    <col min="10999" max="10999" width="14.625" style="1" customWidth="1"/>
    <col min="11000" max="11000" width="10.625" style="1" customWidth="1"/>
    <col min="11001" max="11001" width="14.625" style="1" customWidth="1"/>
    <col min="11002" max="11002" width="10.625" style="1" customWidth="1"/>
    <col min="11003" max="11003" width="18.625" style="1" customWidth="1"/>
    <col min="11004" max="11004" width="9.625" style="1" customWidth="1"/>
    <col min="11005" max="11005" width="10.5" style="1" customWidth="1"/>
    <col min="11006" max="11006" width="20.375" style="1" bestFit="1" customWidth="1"/>
    <col min="11007" max="11007" width="12.5" style="1" customWidth="1"/>
    <col min="11008" max="11008" width="13.125" style="1" customWidth="1"/>
    <col min="11009" max="11013" width="9" style="1"/>
    <col min="11014" max="11014" width="11.25" style="1" bestFit="1" customWidth="1"/>
    <col min="11015" max="11015" width="11.625" style="1" bestFit="1" customWidth="1"/>
    <col min="11016" max="11246" width="9" style="1"/>
    <col min="11247" max="11247" width="4.625" style="1" customWidth="1"/>
    <col min="11248" max="11248" width="34.625" style="1" customWidth="1"/>
    <col min="11249" max="11249" width="11.625" style="1" customWidth="1"/>
    <col min="11250" max="11251" width="6.625" style="1" customWidth="1"/>
    <col min="11252" max="11252" width="10.625" style="1" customWidth="1"/>
    <col min="11253" max="11253" width="14.625" style="1" customWidth="1"/>
    <col min="11254" max="11254" width="10.625" style="1" customWidth="1"/>
    <col min="11255" max="11255" width="14.625" style="1" customWidth="1"/>
    <col min="11256" max="11256" width="10.625" style="1" customWidth="1"/>
    <col min="11257" max="11257" width="14.625" style="1" customWidth="1"/>
    <col min="11258" max="11258" width="10.625" style="1" customWidth="1"/>
    <col min="11259" max="11259" width="18.625" style="1" customWidth="1"/>
    <col min="11260" max="11260" width="9.625" style="1" customWidth="1"/>
    <col min="11261" max="11261" width="10.5" style="1" customWidth="1"/>
    <col min="11262" max="11262" width="20.375" style="1" bestFit="1" customWidth="1"/>
    <col min="11263" max="11263" width="12.5" style="1" customWidth="1"/>
    <col min="11264" max="11264" width="13.125" style="1" customWidth="1"/>
    <col min="11265" max="11269" width="9" style="1"/>
    <col min="11270" max="11270" width="11.25" style="1" bestFit="1" customWidth="1"/>
    <col min="11271" max="11271" width="11.625" style="1" bestFit="1" customWidth="1"/>
    <col min="11272" max="11502" width="9" style="1"/>
    <col min="11503" max="11503" width="4.625" style="1" customWidth="1"/>
    <col min="11504" max="11504" width="34.625" style="1" customWidth="1"/>
    <col min="11505" max="11505" width="11.625" style="1" customWidth="1"/>
    <col min="11506" max="11507" width="6.625" style="1" customWidth="1"/>
    <col min="11508" max="11508" width="10.625" style="1" customWidth="1"/>
    <col min="11509" max="11509" width="14.625" style="1" customWidth="1"/>
    <col min="11510" max="11510" width="10.625" style="1" customWidth="1"/>
    <col min="11511" max="11511" width="14.625" style="1" customWidth="1"/>
    <col min="11512" max="11512" width="10.625" style="1" customWidth="1"/>
    <col min="11513" max="11513" width="14.625" style="1" customWidth="1"/>
    <col min="11514" max="11514" width="10.625" style="1" customWidth="1"/>
    <col min="11515" max="11515" width="18.625" style="1" customWidth="1"/>
    <col min="11516" max="11516" width="9.625" style="1" customWidth="1"/>
    <col min="11517" max="11517" width="10.5" style="1" customWidth="1"/>
    <col min="11518" max="11518" width="20.375" style="1" bestFit="1" customWidth="1"/>
    <col min="11519" max="11519" width="12.5" style="1" customWidth="1"/>
    <col min="11520" max="11520" width="13.125" style="1" customWidth="1"/>
    <col min="11521" max="11525" width="9" style="1"/>
    <col min="11526" max="11526" width="11.25" style="1" bestFit="1" customWidth="1"/>
    <col min="11527" max="11527" width="11.625" style="1" bestFit="1" customWidth="1"/>
    <col min="11528" max="11758" width="9" style="1"/>
    <col min="11759" max="11759" width="4.625" style="1" customWidth="1"/>
    <col min="11760" max="11760" width="34.625" style="1" customWidth="1"/>
    <col min="11761" max="11761" width="11.625" style="1" customWidth="1"/>
    <col min="11762" max="11763" width="6.625" style="1" customWidth="1"/>
    <col min="11764" max="11764" width="10.625" style="1" customWidth="1"/>
    <col min="11765" max="11765" width="14.625" style="1" customWidth="1"/>
    <col min="11766" max="11766" width="10.625" style="1" customWidth="1"/>
    <col min="11767" max="11767" width="14.625" style="1" customWidth="1"/>
    <col min="11768" max="11768" width="10.625" style="1" customWidth="1"/>
    <col min="11769" max="11769" width="14.625" style="1" customWidth="1"/>
    <col min="11770" max="11770" width="10.625" style="1" customWidth="1"/>
    <col min="11771" max="11771" width="18.625" style="1" customWidth="1"/>
    <col min="11772" max="11772" width="9.625" style="1" customWidth="1"/>
    <col min="11773" max="11773" width="10.5" style="1" customWidth="1"/>
    <col min="11774" max="11774" width="20.375" style="1" bestFit="1" customWidth="1"/>
    <col min="11775" max="11775" width="12.5" style="1" customWidth="1"/>
    <col min="11776" max="11776" width="13.125" style="1" customWidth="1"/>
    <col min="11777" max="11781" width="9" style="1"/>
    <col min="11782" max="11782" width="11.25" style="1" bestFit="1" customWidth="1"/>
    <col min="11783" max="11783" width="11.625" style="1" bestFit="1" customWidth="1"/>
    <col min="11784" max="12014" width="9" style="1"/>
    <col min="12015" max="12015" width="4.625" style="1" customWidth="1"/>
    <col min="12016" max="12016" width="34.625" style="1" customWidth="1"/>
    <col min="12017" max="12017" width="11.625" style="1" customWidth="1"/>
    <col min="12018" max="12019" width="6.625" style="1" customWidth="1"/>
    <col min="12020" max="12020" width="10.625" style="1" customWidth="1"/>
    <col min="12021" max="12021" width="14.625" style="1" customWidth="1"/>
    <col min="12022" max="12022" width="10.625" style="1" customWidth="1"/>
    <col min="12023" max="12023" width="14.625" style="1" customWidth="1"/>
    <col min="12024" max="12024" width="10.625" style="1" customWidth="1"/>
    <col min="12025" max="12025" width="14.625" style="1" customWidth="1"/>
    <col min="12026" max="12026" width="10.625" style="1" customWidth="1"/>
    <col min="12027" max="12027" width="18.625" style="1" customWidth="1"/>
    <col min="12028" max="12028" width="9.625" style="1" customWidth="1"/>
    <col min="12029" max="12029" width="10.5" style="1" customWidth="1"/>
    <col min="12030" max="12030" width="20.375" style="1" bestFit="1" customWidth="1"/>
    <col min="12031" max="12031" width="12.5" style="1" customWidth="1"/>
    <col min="12032" max="12032" width="13.125" style="1" customWidth="1"/>
    <col min="12033" max="12037" width="9" style="1"/>
    <col min="12038" max="12038" width="11.25" style="1" bestFit="1" customWidth="1"/>
    <col min="12039" max="12039" width="11.625" style="1" bestFit="1" customWidth="1"/>
    <col min="12040" max="12270" width="9" style="1"/>
    <col min="12271" max="12271" width="4.625" style="1" customWidth="1"/>
    <col min="12272" max="12272" width="34.625" style="1" customWidth="1"/>
    <col min="12273" max="12273" width="11.625" style="1" customWidth="1"/>
    <col min="12274" max="12275" width="6.625" style="1" customWidth="1"/>
    <col min="12276" max="12276" width="10.625" style="1" customWidth="1"/>
    <col min="12277" max="12277" width="14.625" style="1" customWidth="1"/>
    <col min="12278" max="12278" width="10.625" style="1" customWidth="1"/>
    <col min="12279" max="12279" width="14.625" style="1" customWidth="1"/>
    <col min="12280" max="12280" width="10.625" style="1" customWidth="1"/>
    <col min="12281" max="12281" width="14.625" style="1" customWidth="1"/>
    <col min="12282" max="12282" width="10.625" style="1" customWidth="1"/>
    <col min="12283" max="12283" width="18.625" style="1" customWidth="1"/>
    <col min="12284" max="12284" width="9.625" style="1" customWidth="1"/>
    <col min="12285" max="12285" width="10.5" style="1" customWidth="1"/>
    <col min="12286" max="12286" width="20.375" style="1" bestFit="1" customWidth="1"/>
    <col min="12287" max="12287" width="12.5" style="1" customWidth="1"/>
    <col min="12288" max="12288" width="13.125" style="1" customWidth="1"/>
    <col min="12289" max="12293" width="9" style="1"/>
    <col min="12294" max="12294" width="11.25" style="1" bestFit="1" customWidth="1"/>
    <col min="12295" max="12295" width="11.625" style="1" bestFit="1" customWidth="1"/>
    <col min="12296" max="12526" width="9" style="1"/>
    <col min="12527" max="12527" width="4.625" style="1" customWidth="1"/>
    <col min="12528" max="12528" width="34.625" style="1" customWidth="1"/>
    <col min="12529" max="12529" width="11.625" style="1" customWidth="1"/>
    <col min="12530" max="12531" width="6.625" style="1" customWidth="1"/>
    <col min="12532" max="12532" width="10.625" style="1" customWidth="1"/>
    <col min="12533" max="12533" width="14.625" style="1" customWidth="1"/>
    <col min="12534" max="12534" width="10.625" style="1" customWidth="1"/>
    <col min="12535" max="12535" width="14.625" style="1" customWidth="1"/>
    <col min="12536" max="12536" width="10.625" style="1" customWidth="1"/>
    <col min="12537" max="12537" width="14.625" style="1" customWidth="1"/>
    <col min="12538" max="12538" width="10.625" style="1" customWidth="1"/>
    <col min="12539" max="12539" width="18.625" style="1" customWidth="1"/>
    <col min="12540" max="12540" width="9.625" style="1" customWidth="1"/>
    <col min="12541" max="12541" width="10.5" style="1" customWidth="1"/>
    <col min="12542" max="12542" width="20.375" style="1" bestFit="1" customWidth="1"/>
    <col min="12543" max="12543" width="12.5" style="1" customWidth="1"/>
    <col min="12544" max="12544" width="13.125" style="1" customWidth="1"/>
    <col min="12545" max="12549" width="9" style="1"/>
    <col min="12550" max="12550" width="11.25" style="1" bestFit="1" customWidth="1"/>
    <col min="12551" max="12551" width="11.625" style="1" bestFit="1" customWidth="1"/>
    <col min="12552" max="12782" width="9" style="1"/>
    <col min="12783" max="12783" width="4.625" style="1" customWidth="1"/>
    <col min="12784" max="12784" width="34.625" style="1" customWidth="1"/>
    <col min="12785" max="12785" width="11.625" style="1" customWidth="1"/>
    <col min="12786" max="12787" width="6.625" style="1" customWidth="1"/>
    <col min="12788" max="12788" width="10.625" style="1" customWidth="1"/>
    <col min="12789" max="12789" width="14.625" style="1" customWidth="1"/>
    <col min="12790" max="12790" width="10.625" style="1" customWidth="1"/>
    <col min="12791" max="12791" width="14.625" style="1" customWidth="1"/>
    <col min="12792" max="12792" width="10.625" style="1" customWidth="1"/>
    <col min="12793" max="12793" width="14.625" style="1" customWidth="1"/>
    <col min="12794" max="12794" width="10.625" style="1" customWidth="1"/>
    <col min="12795" max="12795" width="18.625" style="1" customWidth="1"/>
    <col min="12796" max="12796" width="9.625" style="1" customWidth="1"/>
    <col min="12797" max="12797" width="10.5" style="1" customWidth="1"/>
    <col min="12798" max="12798" width="20.375" style="1" bestFit="1" customWidth="1"/>
    <col min="12799" max="12799" width="12.5" style="1" customWidth="1"/>
    <col min="12800" max="12800" width="13.125" style="1" customWidth="1"/>
    <col min="12801" max="12805" width="9" style="1"/>
    <col min="12806" max="12806" width="11.25" style="1" bestFit="1" customWidth="1"/>
    <col min="12807" max="12807" width="11.625" style="1" bestFit="1" customWidth="1"/>
    <col min="12808" max="13038" width="9" style="1"/>
    <col min="13039" max="13039" width="4.625" style="1" customWidth="1"/>
    <col min="13040" max="13040" width="34.625" style="1" customWidth="1"/>
    <col min="13041" max="13041" width="11.625" style="1" customWidth="1"/>
    <col min="13042" max="13043" width="6.625" style="1" customWidth="1"/>
    <col min="13044" max="13044" width="10.625" style="1" customWidth="1"/>
    <col min="13045" max="13045" width="14.625" style="1" customWidth="1"/>
    <col min="13046" max="13046" width="10.625" style="1" customWidth="1"/>
    <col min="13047" max="13047" width="14.625" style="1" customWidth="1"/>
    <col min="13048" max="13048" width="10.625" style="1" customWidth="1"/>
    <col min="13049" max="13049" width="14.625" style="1" customWidth="1"/>
    <col min="13050" max="13050" width="10.625" style="1" customWidth="1"/>
    <col min="13051" max="13051" width="18.625" style="1" customWidth="1"/>
    <col min="13052" max="13052" width="9.625" style="1" customWidth="1"/>
    <col min="13053" max="13053" width="10.5" style="1" customWidth="1"/>
    <col min="13054" max="13054" width="20.375" style="1" bestFit="1" customWidth="1"/>
    <col min="13055" max="13055" width="12.5" style="1" customWidth="1"/>
    <col min="13056" max="13056" width="13.125" style="1" customWidth="1"/>
    <col min="13057" max="13061" width="9" style="1"/>
    <col min="13062" max="13062" width="11.25" style="1" bestFit="1" customWidth="1"/>
    <col min="13063" max="13063" width="11.625" style="1" bestFit="1" customWidth="1"/>
    <col min="13064" max="13294" width="9" style="1"/>
    <col min="13295" max="13295" width="4.625" style="1" customWidth="1"/>
    <col min="13296" max="13296" width="34.625" style="1" customWidth="1"/>
    <col min="13297" max="13297" width="11.625" style="1" customWidth="1"/>
    <col min="13298" max="13299" width="6.625" style="1" customWidth="1"/>
    <col min="13300" max="13300" width="10.625" style="1" customWidth="1"/>
    <col min="13301" max="13301" width="14.625" style="1" customWidth="1"/>
    <col min="13302" max="13302" width="10.625" style="1" customWidth="1"/>
    <col min="13303" max="13303" width="14.625" style="1" customWidth="1"/>
    <col min="13304" max="13304" width="10.625" style="1" customWidth="1"/>
    <col min="13305" max="13305" width="14.625" style="1" customWidth="1"/>
    <col min="13306" max="13306" width="10.625" style="1" customWidth="1"/>
    <col min="13307" max="13307" width="18.625" style="1" customWidth="1"/>
    <col min="13308" max="13308" width="9.625" style="1" customWidth="1"/>
    <col min="13309" max="13309" width="10.5" style="1" customWidth="1"/>
    <col min="13310" max="13310" width="20.375" style="1" bestFit="1" customWidth="1"/>
    <col min="13311" max="13311" width="12.5" style="1" customWidth="1"/>
    <col min="13312" max="13312" width="13.125" style="1" customWidth="1"/>
    <col min="13313" max="13317" width="9" style="1"/>
    <col min="13318" max="13318" width="11.25" style="1" bestFit="1" customWidth="1"/>
    <col min="13319" max="13319" width="11.625" style="1" bestFit="1" customWidth="1"/>
    <col min="13320" max="13550" width="9" style="1"/>
    <col min="13551" max="13551" width="4.625" style="1" customWidth="1"/>
    <col min="13552" max="13552" width="34.625" style="1" customWidth="1"/>
    <col min="13553" max="13553" width="11.625" style="1" customWidth="1"/>
    <col min="13554" max="13555" width="6.625" style="1" customWidth="1"/>
    <col min="13556" max="13556" width="10.625" style="1" customWidth="1"/>
    <col min="13557" max="13557" width="14.625" style="1" customWidth="1"/>
    <col min="13558" max="13558" width="10.625" style="1" customWidth="1"/>
    <col min="13559" max="13559" width="14.625" style="1" customWidth="1"/>
    <col min="13560" max="13560" width="10.625" style="1" customWidth="1"/>
    <col min="13561" max="13561" width="14.625" style="1" customWidth="1"/>
    <col min="13562" max="13562" width="10.625" style="1" customWidth="1"/>
    <col min="13563" max="13563" width="18.625" style="1" customWidth="1"/>
    <col min="13564" max="13564" width="9.625" style="1" customWidth="1"/>
    <col min="13565" max="13565" width="10.5" style="1" customWidth="1"/>
    <col min="13566" max="13566" width="20.375" style="1" bestFit="1" customWidth="1"/>
    <col min="13567" max="13567" width="12.5" style="1" customWidth="1"/>
    <col min="13568" max="13568" width="13.125" style="1" customWidth="1"/>
    <col min="13569" max="13573" width="9" style="1"/>
    <col min="13574" max="13574" width="11.25" style="1" bestFit="1" customWidth="1"/>
    <col min="13575" max="13575" width="11.625" style="1" bestFit="1" customWidth="1"/>
    <col min="13576" max="13806" width="9" style="1"/>
    <col min="13807" max="13807" width="4.625" style="1" customWidth="1"/>
    <col min="13808" max="13808" width="34.625" style="1" customWidth="1"/>
    <col min="13809" max="13809" width="11.625" style="1" customWidth="1"/>
    <col min="13810" max="13811" width="6.625" style="1" customWidth="1"/>
    <col min="13812" max="13812" width="10.625" style="1" customWidth="1"/>
    <col min="13813" max="13813" width="14.625" style="1" customWidth="1"/>
    <col min="13814" max="13814" width="10.625" style="1" customWidth="1"/>
    <col min="13815" max="13815" width="14.625" style="1" customWidth="1"/>
    <col min="13816" max="13816" width="10.625" style="1" customWidth="1"/>
    <col min="13817" max="13817" width="14.625" style="1" customWidth="1"/>
    <col min="13818" max="13818" width="10.625" style="1" customWidth="1"/>
    <col min="13819" max="13819" width="18.625" style="1" customWidth="1"/>
    <col min="13820" max="13820" width="9.625" style="1" customWidth="1"/>
    <col min="13821" max="13821" width="10.5" style="1" customWidth="1"/>
    <col min="13822" max="13822" width="20.375" style="1" bestFit="1" customWidth="1"/>
    <col min="13823" max="13823" width="12.5" style="1" customWidth="1"/>
    <col min="13824" max="13824" width="13.125" style="1" customWidth="1"/>
    <col min="13825" max="13829" width="9" style="1"/>
    <col min="13830" max="13830" width="11.25" style="1" bestFit="1" customWidth="1"/>
    <col min="13831" max="13831" width="11.625" style="1" bestFit="1" customWidth="1"/>
    <col min="13832" max="14062" width="9" style="1"/>
    <col min="14063" max="14063" width="4.625" style="1" customWidth="1"/>
    <col min="14064" max="14064" width="34.625" style="1" customWidth="1"/>
    <col min="14065" max="14065" width="11.625" style="1" customWidth="1"/>
    <col min="14066" max="14067" width="6.625" style="1" customWidth="1"/>
    <col min="14068" max="14068" width="10.625" style="1" customWidth="1"/>
    <col min="14069" max="14069" width="14.625" style="1" customWidth="1"/>
    <col min="14070" max="14070" width="10.625" style="1" customWidth="1"/>
    <col min="14071" max="14071" width="14.625" style="1" customWidth="1"/>
    <col min="14072" max="14072" width="10.625" style="1" customWidth="1"/>
    <col min="14073" max="14073" width="14.625" style="1" customWidth="1"/>
    <col min="14074" max="14074" width="10.625" style="1" customWidth="1"/>
    <col min="14075" max="14075" width="18.625" style="1" customWidth="1"/>
    <col min="14076" max="14076" width="9.625" style="1" customWidth="1"/>
    <col min="14077" max="14077" width="10.5" style="1" customWidth="1"/>
    <col min="14078" max="14078" width="20.375" style="1" bestFit="1" customWidth="1"/>
    <col min="14079" max="14079" width="12.5" style="1" customWidth="1"/>
    <col min="14080" max="14080" width="13.125" style="1" customWidth="1"/>
    <col min="14081" max="14085" width="9" style="1"/>
    <col min="14086" max="14086" width="11.25" style="1" bestFit="1" customWidth="1"/>
    <col min="14087" max="14087" width="11.625" style="1" bestFit="1" customWidth="1"/>
    <col min="14088" max="14318" width="9" style="1"/>
    <col min="14319" max="14319" width="4.625" style="1" customWidth="1"/>
    <col min="14320" max="14320" width="34.625" style="1" customWidth="1"/>
    <col min="14321" max="14321" width="11.625" style="1" customWidth="1"/>
    <col min="14322" max="14323" width="6.625" style="1" customWidth="1"/>
    <col min="14324" max="14324" width="10.625" style="1" customWidth="1"/>
    <col min="14325" max="14325" width="14.625" style="1" customWidth="1"/>
    <col min="14326" max="14326" width="10.625" style="1" customWidth="1"/>
    <col min="14327" max="14327" width="14.625" style="1" customWidth="1"/>
    <col min="14328" max="14328" width="10.625" style="1" customWidth="1"/>
    <col min="14329" max="14329" width="14.625" style="1" customWidth="1"/>
    <col min="14330" max="14330" width="10.625" style="1" customWidth="1"/>
    <col min="14331" max="14331" width="18.625" style="1" customWidth="1"/>
    <col min="14332" max="14332" width="9.625" style="1" customWidth="1"/>
    <col min="14333" max="14333" width="10.5" style="1" customWidth="1"/>
    <col min="14334" max="14334" width="20.375" style="1" bestFit="1" customWidth="1"/>
    <col min="14335" max="14335" width="12.5" style="1" customWidth="1"/>
    <col min="14336" max="14336" width="13.125" style="1" customWidth="1"/>
    <col min="14337" max="14341" width="9" style="1"/>
    <col min="14342" max="14342" width="11.25" style="1" bestFit="1" customWidth="1"/>
    <col min="14343" max="14343" width="11.625" style="1" bestFit="1" customWidth="1"/>
    <col min="14344" max="14574" width="9" style="1"/>
    <col min="14575" max="14575" width="4.625" style="1" customWidth="1"/>
    <col min="14576" max="14576" width="34.625" style="1" customWidth="1"/>
    <col min="14577" max="14577" width="11.625" style="1" customWidth="1"/>
    <col min="14578" max="14579" width="6.625" style="1" customWidth="1"/>
    <col min="14580" max="14580" width="10.625" style="1" customWidth="1"/>
    <col min="14581" max="14581" width="14.625" style="1" customWidth="1"/>
    <col min="14582" max="14582" width="10.625" style="1" customWidth="1"/>
    <col min="14583" max="14583" width="14.625" style="1" customWidth="1"/>
    <col min="14584" max="14584" width="10.625" style="1" customWidth="1"/>
    <col min="14585" max="14585" width="14.625" style="1" customWidth="1"/>
    <col min="14586" max="14586" width="10.625" style="1" customWidth="1"/>
    <col min="14587" max="14587" width="18.625" style="1" customWidth="1"/>
    <col min="14588" max="14588" width="9.625" style="1" customWidth="1"/>
    <col min="14589" max="14589" width="10.5" style="1" customWidth="1"/>
    <col min="14590" max="14590" width="20.375" style="1" bestFit="1" customWidth="1"/>
    <col min="14591" max="14591" width="12.5" style="1" customWidth="1"/>
    <col min="14592" max="14592" width="13.125" style="1" customWidth="1"/>
    <col min="14593" max="14597" width="9" style="1"/>
    <col min="14598" max="14598" width="11.25" style="1" bestFit="1" customWidth="1"/>
    <col min="14599" max="14599" width="11.625" style="1" bestFit="1" customWidth="1"/>
    <col min="14600" max="14830" width="9" style="1"/>
    <col min="14831" max="14831" width="4.625" style="1" customWidth="1"/>
    <col min="14832" max="14832" width="34.625" style="1" customWidth="1"/>
    <col min="14833" max="14833" width="11.625" style="1" customWidth="1"/>
    <col min="14834" max="14835" width="6.625" style="1" customWidth="1"/>
    <col min="14836" max="14836" width="10.625" style="1" customWidth="1"/>
    <col min="14837" max="14837" width="14.625" style="1" customWidth="1"/>
    <col min="14838" max="14838" width="10.625" style="1" customWidth="1"/>
    <col min="14839" max="14839" width="14.625" style="1" customWidth="1"/>
    <col min="14840" max="14840" width="10.625" style="1" customWidth="1"/>
    <col min="14841" max="14841" width="14.625" style="1" customWidth="1"/>
    <col min="14842" max="14842" width="10.625" style="1" customWidth="1"/>
    <col min="14843" max="14843" width="18.625" style="1" customWidth="1"/>
    <col min="14844" max="14844" width="9.625" style="1" customWidth="1"/>
    <col min="14845" max="14845" width="10.5" style="1" customWidth="1"/>
    <col min="14846" max="14846" width="20.375" style="1" bestFit="1" customWidth="1"/>
    <col min="14847" max="14847" width="12.5" style="1" customWidth="1"/>
    <col min="14848" max="14848" width="13.125" style="1" customWidth="1"/>
    <col min="14849" max="14853" width="9" style="1"/>
    <col min="14854" max="14854" width="11.25" style="1" bestFit="1" customWidth="1"/>
    <col min="14855" max="14855" width="11.625" style="1" bestFit="1" customWidth="1"/>
    <col min="14856" max="15086" width="9" style="1"/>
    <col min="15087" max="15087" width="4.625" style="1" customWidth="1"/>
    <col min="15088" max="15088" width="34.625" style="1" customWidth="1"/>
    <col min="15089" max="15089" width="11.625" style="1" customWidth="1"/>
    <col min="15090" max="15091" width="6.625" style="1" customWidth="1"/>
    <col min="15092" max="15092" width="10.625" style="1" customWidth="1"/>
    <col min="15093" max="15093" width="14.625" style="1" customWidth="1"/>
    <col min="15094" max="15094" width="10.625" style="1" customWidth="1"/>
    <col min="15095" max="15095" width="14.625" style="1" customWidth="1"/>
    <col min="15096" max="15096" width="10.625" style="1" customWidth="1"/>
    <col min="15097" max="15097" width="14.625" style="1" customWidth="1"/>
    <col min="15098" max="15098" width="10.625" style="1" customWidth="1"/>
    <col min="15099" max="15099" width="18.625" style="1" customWidth="1"/>
    <col min="15100" max="15100" width="9.625" style="1" customWidth="1"/>
    <col min="15101" max="15101" width="10.5" style="1" customWidth="1"/>
    <col min="15102" max="15102" width="20.375" style="1" bestFit="1" customWidth="1"/>
    <col min="15103" max="15103" width="12.5" style="1" customWidth="1"/>
    <col min="15104" max="15104" width="13.125" style="1" customWidth="1"/>
    <col min="15105" max="15109" width="9" style="1"/>
    <col min="15110" max="15110" width="11.25" style="1" bestFit="1" customWidth="1"/>
    <col min="15111" max="15111" width="11.625" style="1" bestFit="1" customWidth="1"/>
    <col min="15112" max="15342" width="9" style="1"/>
    <col min="15343" max="15343" width="4.625" style="1" customWidth="1"/>
    <col min="15344" max="15344" width="34.625" style="1" customWidth="1"/>
    <col min="15345" max="15345" width="11.625" style="1" customWidth="1"/>
    <col min="15346" max="15347" width="6.625" style="1" customWidth="1"/>
    <col min="15348" max="15348" width="10.625" style="1" customWidth="1"/>
    <col min="15349" max="15349" width="14.625" style="1" customWidth="1"/>
    <col min="15350" max="15350" width="10.625" style="1" customWidth="1"/>
    <col min="15351" max="15351" width="14.625" style="1" customWidth="1"/>
    <col min="15352" max="15352" width="10.625" style="1" customWidth="1"/>
    <col min="15353" max="15353" width="14.625" style="1" customWidth="1"/>
    <col min="15354" max="15354" width="10.625" style="1" customWidth="1"/>
    <col min="15355" max="15355" width="18.625" style="1" customWidth="1"/>
    <col min="15356" max="15356" width="9.625" style="1" customWidth="1"/>
    <col min="15357" max="15357" width="10.5" style="1" customWidth="1"/>
    <col min="15358" max="15358" width="20.375" style="1" bestFit="1" customWidth="1"/>
    <col min="15359" max="15359" width="12.5" style="1" customWidth="1"/>
    <col min="15360" max="15360" width="13.125" style="1" customWidth="1"/>
    <col min="15361" max="15365" width="9" style="1"/>
    <col min="15366" max="15366" width="11.25" style="1" bestFit="1" customWidth="1"/>
    <col min="15367" max="15367" width="11.625" style="1" bestFit="1" customWidth="1"/>
    <col min="15368" max="15598" width="9" style="1"/>
    <col min="15599" max="15599" width="4.625" style="1" customWidth="1"/>
    <col min="15600" max="15600" width="34.625" style="1" customWidth="1"/>
    <col min="15601" max="15601" width="11.625" style="1" customWidth="1"/>
    <col min="15602" max="15603" width="6.625" style="1" customWidth="1"/>
    <col min="15604" max="15604" width="10.625" style="1" customWidth="1"/>
    <col min="15605" max="15605" width="14.625" style="1" customWidth="1"/>
    <col min="15606" max="15606" width="10.625" style="1" customWidth="1"/>
    <col min="15607" max="15607" width="14.625" style="1" customWidth="1"/>
    <col min="15608" max="15608" width="10.625" style="1" customWidth="1"/>
    <col min="15609" max="15609" width="14.625" style="1" customWidth="1"/>
    <col min="15610" max="15610" width="10.625" style="1" customWidth="1"/>
    <col min="15611" max="15611" width="18.625" style="1" customWidth="1"/>
    <col min="15612" max="15612" width="9.625" style="1" customWidth="1"/>
    <col min="15613" max="15613" width="10.5" style="1" customWidth="1"/>
    <col min="15614" max="15614" width="20.375" style="1" bestFit="1" customWidth="1"/>
    <col min="15615" max="15615" width="12.5" style="1" customWidth="1"/>
    <col min="15616" max="15616" width="13.125" style="1" customWidth="1"/>
    <col min="15617" max="15621" width="9" style="1"/>
    <col min="15622" max="15622" width="11.25" style="1" bestFit="1" customWidth="1"/>
    <col min="15623" max="15623" width="11.625" style="1" bestFit="1" customWidth="1"/>
    <col min="15624" max="15854" width="9" style="1"/>
    <col min="15855" max="15855" width="4.625" style="1" customWidth="1"/>
    <col min="15856" max="15856" width="34.625" style="1" customWidth="1"/>
    <col min="15857" max="15857" width="11.625" style="1" customWidth="1"/>
    <col min="15858" max="15859" width="6.625" style="1" customWidth="1"/>
    <col min="15860" max="15860" width="10.625" style="1" customWidth="1"/>
    <col min="15861" max="15861" width="14.625" style="1" customWidth="1"/>
    <col min="15862" max="15862" width="10.625" style="1" customWidth="1"/>
    <col min="15863" max="15863" width="14.625" style="1" customWidth="1"/>
    <col min="15864" max="15864" width="10.625" style="1" customWidth="1"/>
    <col min="15865" max="15865" width="14.625" style="1" customWidth="1"/>
    <col min="15866" max="15866" width="10.625" style="1" customWidth="1"/>
    <col min="15867" max="15867" width="18.625" style="1" customWidth="1"/>
    <col min="15868" max="15868" width="9.625" style="1" customWidth="1"/>
    <col min="15869" max="15869" width="10.5" style="1" customWidth="1"/>
    <col min="15870" max="15870" width="20.375" style="1" bestFit="1" customWidth="1"/>
    <col min="15871" max="15871" width="12.5" style="1" customWidth="1"/>
    <col min="15872" max="15872" width="13.125" style="1" customWidth="1"/>
    <col min="15873" max="15877" width="9" style="1"/>
    <col min="15878" max="15878" width="11.25" style="1" bestFit="1" customWidth="1"/>
    <col min="15879" max="15879" width="11.625" style="1" bestFit="1" customWidth="1"/>
    <col min="15880" max="16110" width="9" style="1"/>
    <col min="16111" max="16111" width="4.625" style="1" customWidth="1"/>
    <col min="16112" max="16112" width="34.625" style="1" customWidth="1"/>
    <col min="16113" max="16113" width="11.625" style="1" customWidth="1"/>
    <col min="16114" max="16115" width="6.625" style="1" customWidth="1"/>
    <col min="16116" max="16116" width="10.625" style="1" customWidth="1"/>
    <col min="16117" max="16117" width="14.625" style="1" customWidth="1"/>
    <col min="16118" max="16118" width="10.625" style="1" customWidth="1"/>
    <col min="16119" max="16119" width="14.625" style="1" customWidth="1"/>
    <col min="16120" max="16120" width="10.625" style="1" customWidth="1"/>
    <col min="16121" max="16121" width="14.625" style="1" customWidth="1"/>
    <col min="16122" max="16122" width="10.625" style="1" customWidth="1"/>
    <col min="16123" max="16123" width="18.625" style="1" customWidth="1"/>
    <col min="16124" max="16124" width="9.625" style="1" customWidth="1"/>
    <col min="16125" max="16125" width="10.5" style="1" customWidth="1"/>
    <col min="16126" max="16126" width="20.375" style="1" bestFit="1" customWidth="1"/>
    <col min="16127" max="16127" width="12.5" style="1" customWidth="1"/>
    <col min="16128" max="16128" width="13.125" style="1" customWidth="1"/>
    <col min="16129" max="16133" width="9" style="1"/>
    <col min="16134" max="16134" width="11.25" style="1" bestFit="1" customWidth="1"/>
    <col min="16135" max="16135" width="11.625" style="1" bestFit="1" customWidth="1"/>
    <col min="16136" max="16384" width="9" style="1"/>
  </cols>
  <sheetData>
    <row r="1" spans="1:123" ht="34.700000000000003" customHeight="1">
      <c r="A1" s="330" t="s">
        <v>404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2"/>
    </row>
    <row r="2" spans="1:123" customFormat="1" ht="19.5" customHeight="1" thickBot="1">
      <c r="A2" s="356" t="s">
        <v>289</v>
      </c>
      <c r="B2" s="356"/>
      <c r="C2" s="356"/>
      <c r="D2" s="356"/>
      <c r="E2" s="356"/>
      <c r="F2" s="60"/>
      <c r="G2" s="60"/>
      <c r="H2" s="60"/>
      <c r="I2" s="60"/>
      <c r="J2" s="60"/>
      <c r="K2" s="60"/>
      <c r="L2" s="60"/>
      <c r="M2" s="364" t="s">
        <v>442</v>
      </c>
      <c r="N2" s="364"/>
    </row>
    <row r="3" spans="1:123" ht="30" customHeight="1">
      <c r="A3" s="121"/>
      <c r="B3" s="346" t="s">
        <v>56</v>
      </c>
      <c r="C3" s="348" t="s">
        <v>39</v>
      </c>
      <c r="D3" s="348" t="s">
        <v>38</v>
      </c>
      <c r="E3" s="348" t="s">
        <v>37</v>
      </c>
      <c r="F3" s="350" t="s">
        <v>40</v>
      </c>
      <c r="G3" s="351"/>
      <c r="H3" s="350" t="s">
        <v>57</v>
      </c>
      <c r="I3" s="351"/>
      <c r="J3" s="350" t="s">
        <v>41</v>
      </c>
      <c r="K3" s="351"/>
      <c r="L3" s="350" t="s">
        <v>4</v>
      </c>
      <c r="M3" s="351"/>
      <c r="N3" s="352" t="s">
        <v>0</v>
      </c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</row>
    <row r="4" spans="1:123" s="5" customFormat="1" ht="30" customHeight="1" thickBot="1">
      <c r="A4" s="122"/>
      <c r="B4" s="347"/>
      <c r="C4" s="349"/>
      <c r="D4" s="349"/>
      <c r="E4" s="349"/>
      <c r="F4" s="74" t="s">
        <v>58</v>
      </c>
      <c r="G4" s="74" t="s">
        <v>59</v>
      </c>
      <c r="H4" s="74" t="s">
        <v>58</v>
      </c>
      <c r="I4" s="74" t="s">
        <v>59</v>
      </c>
      <c r="J4" s="74" t="s">
        <v>58</v>
      </c>
      <c r="K4" s="74" t="s">
        <v>59</v>
      </c>
      <c r="L4" s="74" t="s">
        <v>58</v>
      </c>
      <c r="M4" s="74" t="s">
        <v>59</v>
      </c>
      <c r="N4" s="353"/>
      <c r="O4" s="2"/>
    </row>
    <row r="5" spans="1:123" s="2" customFormat="1" ht="30" hidden="1" customHeight="1">
      <c r="A5" s="123"/>
      <c r="B5" s="342" t="s">
        <v>60</v>
      </c>
      <c r="C5" s="342"/>
      <c r="D5" s="342"/>
      <c r="E5" s="343"/>
      <c r="F5" s="124"/>
      <c r="G5" s="124"/>
      <c r="H5" s="124"/>
      <c r="I5" s="124"/>
      <c r="J5" s="124"/>
      <c r="K5" s="124"/>
      <c r="L5" s="124"/>
      <c r="M5" s="124"/>
      <c r="N5" s="125"/>
    </row>
    <row r="6" spans="1:123" ht="30" customHeight="1">
      <c r="A6" s="165" t="s">
        <v>54</v>
      </c>
      <c r="B6" s="44"/>
      <c r="C6" s="44"/>
      <c r="D6" s="44"/>
      <c r="E6" s="47"/>
      <c r="F6" s="48"/>
      <c r="G6" s="48">
        <f>'기성내역서(수지-수원_시티_건가)'!G61</f>
        <v>359801184</v>
      </c>
      <c r="H6" s="48"/>
      <c r="I6" s="48">
        <f>'기성내역서(수지-수원_시티_건가)'!I61</f>
        <v>55136360</v>
      </c>
      <c r="J6" s="48"/>
      <c r="K6" s="48">
        <f>'기성내역서(수지-수원_시티_건가)'!K61</f>
        <v>23394164</v>
      </c>
      <c r="L6" s="46"/>
      <c r="M6" s="45">
        <f>G6+I6+K6</f>
        <v>438331708</v>
      </c>
      <c r="N6" s="166"/>
      <c r="O6" s="2"/>
    </row>
    <row r="7" spans="1:123" s="3" customFormat="1" ht="30" customHeight="1">
      <c r="A7" s="127"/>
      <c r="B7" s="132"/>
      <c r="C7" s="129"/>
      <c r="D7" s="130"/>
      <c r="E7" s="128"/>
      <c r="F7" s="131"/>
      <c r="G7" s="80"/>
      <c r="H7" s="80"/>
      <c r="I7" s="80"/>
      <c r="J7" s="80"/>
      <c r="K7" s="80"/>
      <c r="L7" s="80"/>
      <c r="M7" s="80"/>
      <c r="N7" s="8"/>
      <c r="O7" s="2"/>
    </row>
    <row r="8" spans="1:123" s="3" customFormat="1" ht="30" customHeight="1">
      <c r="A8" s="127"/>
      <c r="B8" s="132"/>
      <c r="C8" s="129"/>
      <c r="D8" s="130"/>
      <c r="E8" s="128"/>
      <c r="F8" s="131"/>
      <c r="G8" s="80"/>
      <c r="H8" s="80"/>
      <c r="I8" s="80"/>
      <c r="J8" s="80"/>
      <c r="K8" s="80"/>
      <c r="L8" s="80"/>
      <c r="M8" s="80"/>
      <c r="N8" s="8"/>
      <c r="O8" s="2"/>
    </row>
    <row r="9" spans="1:123" s="3" customFormat="1" ht="30" customHeight="1" thickBot="1">
      <c r="A9" s="133"/>
      <c r="B9" s="134"/>
      <c r="C9" s="135"/>
      <c r="D9" s="62"/>
      <c r="E9" s="62"/>
      <c r="F9" s="22"/>
      <c r="G9" s="23"/>
      <c r="H9" s="23"/>
      <c r="I9" s="23"/>
      <c r="J9" s="23"/>
      <c r="K9" s="23"/>
      <c r="L9" s="23"/>
      <c r="M9" s="23"/>
      <c r="N9" s="63"/>
      <c r="O9" s="2"/>
    </row>
    <row r="10" spans="1:123" s="52" customFormat="1" ht="30" customHeight="1" thickBot="1">
      <c r="A10" s="136"/>
      <c r="B10" s="137" t="s">
        <v>46</v>
      </c>
      <c r="C10" s="138"/>
      <c r="D10" s="139"/>
      <c r="E10" s="138"/>
      <c r="F10" s="140"/>
      <c r="G10" s="140">
        <f>SUM(G6:G9)</f>
        <v>359801184</v>
      </c>
      <c r="H10" s="140"/>
      <c r="I10" s="140">
        <f>SUM(I6:I9)</f>
        <v>55136360</v>
      </c>
      <c r="J10" s="140"/>
      <c r="K10" s="140">
        <f>SUM(K6:K9)</f>
        <v>23394164</v>
      </c>
      <c r="L10" s="140"/>
      <c r="M10" s="140">
        <f>SUM(M6:M9)</f>
        <v>438331708</v>
      </c>
      <c r="N10" s="141"/>
      <c r="O10" s="51"/>
    </row>
    <row r="11" spans="1:123" s="92" customFormat="1" ht="30" customHeight="1">
      <c r="A11" s="142"/>
      <c r="B11" s="143" t="s">
        <v>1</v>
      </c>
      <c r="C11" s="82"/>
      <c r="D11" s="83"/>
      <c r="E11" s="84"/>
      <c r="F11" s="85"/>
      <c r="G11" s="86"/>
      <c r="H11" s="87"/>
      <c r="I11" s="86"/>
      <c r="J11" s="87"/>
      <c r="K11" s="86"/>
      <c r="L11" s="88"/>
      <c r="M11" s="89"/>
      <c r="N11" s="90"/>
      <c r="O11" s="91"/>
    </row>
    <row r="12" spans="1:123" s="3" customFormat="1" ht="30" customHeight="1">
      <c r="A12" s="144" t="s">
        <v>36</v>
      </c>
      <c r="B12" s="145" t="s">
        <v>61</v>
      </c>
      <c r="C12" s="6"/>
      <c r="D12" s="7">
        <v>1</v>
      </c>
      <c r="E12" s="6" t="s">
        <v>5</v>
      </c>
      <c r="F12" s="27"/>
      <c r="G12" s="28"/>
      <c r="H12" s="29"/>
      <c r="I12" s="28"/>
      <c r="J12" s="29"/>
      <c r="K12" s="28"/>
      <c r="L12" s="29"/>
      <c r="M12" s="30">
        <f>G10</f>
        <v>359801184</v>
      </c>
      <c r="N12" s="8"/>
      <c r="O12" s="2"/>
    </row>
    <row r="13" spans="1:123" s="3" customFormat="1" ht="30" customHeight="1">
      <c r="A13" s="144" t="s">
        <v>34</v>
      </c>
      <c r="B13" s="146" t="s">
        <v>47</v>
      </c>
      <c r="C13" s="6"/>
      <c r="D13" s="31"/>
      <c r="E13" s="32"/>
      <c r="F13" s="27"/>
      <c r="G13" s="28"/>
      <c r="H13" s="29"/>
      <c r="I13" s="28"/>
      <c r="J13" s="29"/>
      <c r="K13" s="28"/>
      <c r="L13" s="29"/>
      <c r="M13" s="30">
        <f>SUM(M14:M15)</f>
        <v>62469495</v>
      </c>
      <c r="N13" s="8"/>
      <c r="O13" s="2"/>
    </row>
    <row r="14" spans="1:123" ht="30" customHeight="1">
      <c r="A14" s="126"/>
      <c r="B14" s="145" t="s">
        <v>42</v>
      </c>
      <c r="C14" s="33"/>
      <c r="D14" s="7">
        <v>1</v>
      </c>
      <c r="E14" s="6" t="s">
        <v>5</v>
      </c>
      <c r="F14" s="34"/>
      <c r="G14" s="25"/>
      <c r="H14" s="25"/>
      <c r="I14" s="25"/>
      <c r="J14" s="25"/>
      <c r="K14" s="25"/>
      <c r="L14" s="26"/>
      <c r="M14" s="24">
        <f>I10</f>
        <v>55136360</v>
      </c>
      <c r="N14" s="8"/>
    </row>
    <row r="15" spans="1:123" ht="30" customHeight="1">
      <c r="A15" s="126"/>
      <c r="B15" s="145" t="s">
        <v>43</v>
      </c>
      <c r="C15" s="35">
        <v>0.13300000000000001</v>
      </c>
      <c r="D15" s="7">
        <v>1</v>
      </c>
      <c r="E15" s="6" t="s">
        <v>5</v>
      </c>
      <c r="F15" s="34" t="s">
        <v>2</v>
      </c>
      <c r="G15" s="25"/>
      <c r="H15" s="25"/>
      <c r="I15" s="25"/>
      <c r="J15" s="25"/>
      <c r="K15" s="25"/>
      <c r="L15" s="26"/>
      <c r="M15" s="24">
        <f>INT(I10*C15)</f>
        <v>7333135</v>
      </c>
      <c r="N15" s="8"/>
      <c r="O15" s="41"/>
    </row>
    <row r="16" spans="1:123" ht="30" customHeight="1">
      <c r="A16" s="144" t="s">
        <v>35</v>
      </c>
      <c r="B16" s="146" t="s">
        <v>62</v>
      </c>
      <c r="C16" s="33"/>
      <c r="D16" s="7"/>
      <c r="E16" s="6"/>
      <c r="F16" s="34"/>
      <c r="G16" s="25"/>
      <c r="H16" s="25"/>
      <c r="I16" s="25"/>
      <c r="J16" s="25"/>
      <c r="K16" s="25"/>
      <c r="L16" s="26"/>
      <c r="M16" s="24">
        <f>SUM(M17:M30)</f>
        <v>43984387</v>
      </c>
      <c r="N16" s="8"/>
    </row>
    <row r="17" spans="1:16" ht="30" customHeight="1">
      <c r="A17" s="126"/>
      <c r="B17" s="145" t="s">
        <v>63</v>
      </c>
      <c r="C17" s="33"/>
      <c r="D17" s="7">
        <v>1</v>
      </c>
      <c r="E17" s="6" t="s">
        <v>5</v>
      </c>
      <c r="F17" s="34"/>
      <c r="G17" s="25"/>
      <c r="H17" s="25"/>
      <c r="I17" s="25"/>
      <c r="J17" s="25"/>
      <c r="K17" s="25"/>
      <c r="L17" s="26"/>
      <c r="M17" s="24">
        <f>K10</f>
        <v>23394164</v>
      </c>
      <c r="N17" s="8"/>
    </row>
    <row r="18" spans="1:16" ht="30" customHeight="1">
      <c r="A18" s="126"/>
      <c r="B18" s="145" t="s">
        <v>87</v>
      </c>
      <c r="C18" s="36"/>
      <c r="D18" s="7"/>
      <c r="E18" s="6"/>
      <c r="F18" s="34"/>
      <c r="G18" s="25"/>
      <c r="H18" s="25"/>
      <c r="I18" s="25"/>
      <c r="J18" s="25"/>
      <c r="K18" s="25"/>
      <c r="L18" s="26"/>
      <c r="M18" s="24"/>
      <c r="N18" s="49"/>
      <c r="P18" s="5"/>
    </row>
    <row r="19" spans="1:16" ht="30" customHeight="1">
      <c r="A19" s="126"/>
      <c r="B19" s="146" t="s">
        <v>65</v>
      </c>
      <c r="C19" s="33">
        <v>3.56E-2</v>
      </c>
      <c r="D19" s="7">
        <v>1</v>
      </c>
      <c r="E19" s="6" t="s">
        <v>5</v>
      </c>
      <c r="F19" s="34" t="s">
        <v>66</v>
      </c>
      <c r="G19" s="25"/>
      <c r="H19" s="25"/>
      <c r="I19" s="25"/>
      <c r="J19" s="25"/>
      <c r="K19" s="25"/>
      <c r="L19" s="26"/>
      <c r="M19" s="24">
        <f>INT((I10+M15)*C19)</f>
        <v>2223914</v>
      </c>
      <c r="N19" s="8"/>
      <c r="O19" s="42"/>
      <c r="P19" s="52"/>
    </row>
    <row r="20" spans="1:16" ht="30" customHeight="1">
      <c r="A20" s="126"/>
      <c r="B20" s="146" t="s">
        <v>67</v>
      </c>
      <c r="C20" s="33">
        <v>1.01E-2</v>
      </c>
      <c r="D20" s="7">
        <v>1</v>
      </c>
      <c r="E20" s="6" t="s">
        <v>5</v>
      </c>
      <c r="F20" s="34" t="s">
        <v>66</v>
      </c>
      <c r="G20" s="25"/>
      <c r="H20" s="25"/>
      <c r="I20" s="25"/>
      <c r="J20" s="25"/>
      <c r="K20" s="25"/>
      <c r="L20" s="26"/>
      <c r="M20" s="24">
        <f>INT((M15+I10)*C20)</f>
        <v>630941</v>
      </c>
      <c r="N20" s="8"/>
      <c r="O20" s="42"/>
      <c r="P20" s="52"/>
    </row>
    <row r="21" spans="1:16" ht="30" customHeight="1">
      <c r="A21" s="126"/>
      <c r="B21" s="146" t="s">
        <v>68</v>
      </c>
      <c r="C21" s="33">
        <v>4.4999999999999998E-2</v>
      </c>
      <c r="D21" s="7">
        <v>1</v>
      </c>
      <c r="E21" s="6" t="s">
        <v>5</v>
      </c>
      <c r="F21" s="34" t="s">
        <v>69</v>
      </c>
      <c r="G21" s="25"/>
      <c r="H21" s="25"/>
      <c r="I21" s="25"/>
      <c r="J21" s="25"/>
      <c r="K21" s="25"/>
      <c r="L21" s="26"/>
      <c r="M21" s="50">
        <v>0</v>
      </c>
      <c r="N21" s="54" t="s">
        <v>64</v>
      </c>
      <c r="O21" s="42"/>
    </row>
    <row r="22" spans="1:16" ht="30" customHeight="1">
      <c r="A22" s="126"/>
      <c r="B22" s="146" t="s">
        <v>70</v>
      </c>
      <c r="C22" s="172">
        <v>3.5450000000000002E-2</v>
      </c>
      <c r="D22" s="7">
        <v>1</v>
      </c>
      <c r="E22" s="6" t="s">
        <v>5</v>
      </c>
      <c r="F22" s="34" t="s">
        <v>69</v>
      </c>
      <c r="G22" s="25"/>
      <c r="H22" s="25"/>
      <c r="I22" s="25"/>
      <c r="J22" s="25"/>
      <c r="K22" s="25"/>
      <c r="L22" s="26"/>
      <c r="M22" s="50">
        <v>0</v>
      </c>
      <c r="N22" s="54" t="s">
        <v>64</v>
      </c>
      <c r="O22" s="42"/>
    </row>
    <row r="23" spans="1:16" ht="30" customHeight="1">
      <c r="A23" s="126"/>
      <c r="B23" s="146" t="s">
        <v>71</v>
      </c>
      <c r="C23" s="33">
        <v>0.1295</v>
      </c>
      <c r="D23" s="7">
        <v>1</v>
      </c>
      <c r="E23" s="6" t="s">
        <v>5</v>
      </c>
      <c r="F23" s="34" t="s">
        <v>72</v>
      </c>
      <c r="G23" s="25"/>
      <c r="H23" s="25"/>
      <c r="I23" s="25"/>
      <c r="J23" s="25"/>
      <c r="K23" s="25"/>
      <c r="L23" s="26"/>
      <c r="M23" s="50">
        <v>0</v>
      </c>
      <c r="N23" s="54" t="s">
        <v>64</v>
      </c>
      <c r="O23" s="42"/>
    </row>
    <row r="24" spans="1:16" ht="30" customHeight="1">
      <c r="A24" s="126"/>
      <c r="B24" s="145" t="s">
        <v>88</v>
      </c>
      <c r="C24" s="35">
        <v>2.3E-2</v>
      </c>
      <c r="D24" s="7">
        <v>1</v>
      </c>
      <c r="E24" s="6" t="s">
        <v>5</v>
      </c>
      <c r="F24" s="34" t="s">
        <v>69</v>
      </c>
      <c r="G24" s="25"/>
      <c r="H24" s="25"/>
      <c r="I24" s="25"/>
      <c r="J24" s="25"/>
      <c r="K24" s="25"/>
      <c r="L24" s="26"/>
      <c r="M24" s="50">
        <v>0</v>
      </c>
      <c r="N24" s="54" t="s">
        <v>64</v>
      </c>
      <c r="O24" s="41"/>
    </row>
    <row r="25" spans="1:16" s="52" customFormat="1" ht="30" customHeight="1">
      <c r="A25" s="126"/>
      <c r="B25" s="145" t="s">
        <v>89</v>
      </c>
      <c r="C25" s="33">
        <v>2.5999999999999999E-2</v>
      </c>
      <c r="D25" s="7">
        <v>1</v>
      </c>
      <c r="E25" s="6" t="s">
        <v>5</v>
      </c>
      <c r="F25" s="153" t="s">
        <v>145</v>
      </c>
      <c r="G25" s="167"/>
      <c r="H25" s="167"/>
      <c r="I25" s="167"/>
      <c r="J25" s="167"/>
      <c r="K25" s="25"/>
      <c r="L25" s="26"/>
      <c r="M25" s="50">
        <v>0</v>
      </c>
      <c r="N25" s="54" t="s">
        <v>64</v>
      </c>
      <c r="O25" s="53"/>
    </row>
    <row r="26" spans="1:16" ht="30" customHeight="1">
      <c r="A26" s="126"/>
      <c r="B26" s="145" t="s">
        <v>90</v>
      </c>
      <c r="C26" s="33">
        <v>4.2000000000000003E-2</v>
      </c>
      <c r="D26" s="7">
        <v>1</v>
      </c>
      <c r="E26" s="6" t="s">
        <v>5</v>
      </c>
      <c r="F26" s="34" t="s">
        <v>73</v>
      </c>
      <c r="G26" s="25"/>
      <c r="H26" s="25"/>
      <c r="I26" s="25"/>
      <c r="J26" s="25"/>
      <c r="K26" s="25"/>
      <c r="L26" s="147"/>
      <c r="M26" s="24">
        <f>INT(($G$10+$I$10+$M$15)*C26)</f>
        <v>17735368</v>
      </c>
      <c r="N26" s="8"/>
      <c r="O26" s="41"/>
    </row>
    <row r="27" spans="1:16" ht="30" customHeight="1">
      <c r="A27" s="126"/>
      <c r="B27" s="145" t="s">
        <v>91</v>
      </c>
      <c r="C27" s="35">
        <v>5.0000000000000001E-3</v>
      </c>
      <c r="D27" s="7">
        <v>1</v>
      </c>
      <c r="E27" s="6" t="s">
        <v>5</v>
      </c>
      <c r="F27" s="34" t="s">
        <v>74</v>
      </c>
      <c r="G27" s="25"/>
      <c r="H27" s="25"/>
      <c r="I27" s="25"/>
      <c r="J27" s="25"/>
      <c r="K27" s="25"/>
      <c r="L27" s="26"/>
      <c r="M27" s="50">
        <v>0</v>
      </c>
      <c r="N27" s="54" t="s">
        <v>64</v>
      </c>
      <c r="O27" s="41"/>
    </row>
    <row r="28" spans="1:16" ht="30" customHeight="1">
      <c r="A28" s="148"/>
      <c r="B28" s="149" t="s">
        <v>92</v>
      </c>
      <c r="C28" s="150"/>
      <c r="D28" s="64"/>
      <c r="E28" s="61"/>
      <c r="F28" s="65"/>
      <c r="G28" s="66"/>
      <c r="H28" s="66"/>
      <c r="I28" s="66"/>
      <c r="J28" s="66"/>
      <c r="K28" s="66"/>
      <c r="L28" s="67"/>
      <c r="M28" s="68"/>
      <c r="N28" s="151"/>
    </row>
    <row r="29" spans="1:16" ht="30" customHeight="1">
      <c r="A29" s="148"/>
      <c r="B29" s="146" t="s">
        <v>75</v>
      </c>
      <c r="C29" s="152">
        <v>8.0000000000000004E-4</v>
      </c>
      <c r="D29" s="64">
        <v>1</v>
      </c>
      <c r="E29" s="61" t="s">
        <v>5</v>
      </c>
      <c r="F29" s="65" t="s">
        <v>74</v>
      </c>
      <c r="G29" s="66"/>
      <c r="H29" s="66"/>
      <c r="I29" s="66"/>
      <c r="J29" s="66"/>
      <c r="K29" s="66"/>
      <c r="L29" s="67"/>
      <c r="M29" s="205">
        <v>0</v>
      </c>
      <c r="N29" s="206" t="s">
        <v>64</v>
      </c>
      <c r="O29" s="43"/>
    </row>
    <row r="30" spans="1:16" ht="30" customHeight="1">
      <c r="A30" s="126"/>
      <c r="B30" s="146" t="s">
        <v>76</v>
      </c>
      <c r="C30" s="33">
        <v>3.2000000000000002E-3</v>
      </c>
      <c r="D30" s="7">
        <v>1</v>
      </c>
      <c r="E30" s="6" t="s">
        <v>5</v>
      </c>
      <c r="F30" s="34" t="s">
        <v>74</v>
      </c>
      <c r="G30" s="25"/>
      <c r="H30" s="25"/>
      <c r="I30" s="25"/>
      <c r="J30" s="25"/>
      <c r="K30" s="25"/>
      <c r="L30" s="26"/>
      <c r="M30" s="50">
        <v>0</v>
      </c>
      <c r="N30" s="54" t="s">
        <v>64</v>
      </c>
      <c r="O30" s="42"/>
    </row>
    <row r="31" spans="1:16" s="57" customFormat="1" ht="30" customHeight="1">
      <c r="A31" s="154"/>
      <c r="B31" s="155" t="s">
        <v>77</v>
      </c>
      <c r="C31" s="75"/>
      <c r="D31" s="76"/>
      <c r="E31" s="75"/>
      <c r="F31" s="77"/>
      <c r="G31" s="78"/>
      <c r="H31" s="78"/>
      <c r="I31" s="78"/>
      <c r="J31" s="78"/>
      <c r="K31" s="78"/>
      <c r="L31" s="79"/>
      <c r="M31" s="80">
        <f>M12+M13+M16</f>
        <v>466255066</v>
      </c>
      <c r="N31" s="81"/>
      <c r="O31" s="120"/>
    </row>
    <row r="32" spans="1:16" ht="30" customHeight="1">
      <c r="A32" s="144" t="s">
        <v>78</v>
      </c>
      <c r="B32" s="146" t="s">
        <v>79</v>
      </c>
      <c r="C32" s="33">
        <v>3.5000000000000003E-2</v>
      </c>
      <c r="D32" s="7">
        <v>1</v>
      </c>
      <c r="E32" s="6" t="s">
        <v>5</v>
      </c>
      <c r="F32" s="34" t="s">
        <v>80</v>
      </c>
      <c r="G32" s="25"/>
      <c r="H32" s="25"/>
      <c r="I32" s="25"/>
      <c r="J32" s="25"/>
      <c r="K32" s="25"/>
      <c r="L32" s="26"/>
      <c r="M32" s="24">
        <f>INT((M12+M13+M16)*C32)</f>
        <v>16318927</v>
      </c>
      <c r="N32" s="8"/>
      <c r="O32" s="41"/>
    </row>
    <row r="33" spans="1:123" ht="30" customHeight="1">
      <c r="A33" s="144" t="s">
        <v>81</v>
      </c>
      <c r="B33" s="146" t="s">
        <v>82</v>
      </c>
      <c r="C33" s="33">
        <v>4.2999999999999997E-2</v>
      </c>
      <c r="D33" s="7">
        <v>1</v>
      </c>
      <c r="E33" s="6" t="s">
        <v>5</v>
      </c>
      <c r="F33" s="34" t="s">
        <v>83</v>
      </c>
      <c r="G33" s="25"/>
      <c r="H33" s="25"/>
      <c r="I33" s="25"/>
      <c r="J33" s="37" t="s">
        <v>84</v>
      </c>
      <c r="K33" s="344">
        <f>INT((M13+M16+M32)*C33)</f>
        <v>5279230</v>
      </c>
      <c r="L33" s="345"/>
      <c r="M33" s="24">
        <f>INT((M13+M16+M32)*C33)-N33</f>
        <v>5276007</v>
      </c>
      <c r="N33" s="170">
        <v>3223</v>
      </c>
      <c r="O33" s="41"/>
    </row>
    <row r="34" spans="1:123" s="57" customFormat="1" ht="30" customHeight="1">
      <c r="A34" s="154"/>
      <c r="B34" s="155" t="s">
        <v>85</v>
      </c>
      <c r="C34" s="75"/>
      <c r="D34" s="76"/>
      <c r="E34" s="75"/>
      <c r="F34" s="77"/>
      <c r="G34" s="78"/>
      <c r="H34" s="78"/>
      <c r="I34" s="78"/>
      <c r="J34" s="78"/>
      <c r="K34" s="78"/>
      <c r="L34" s="79"/>
      <c r="M34" s="80">
        <f>SUM(M31:M33)</f>
        <v>487850000</v>
      </c>
      <c r="N34" s="81"/>
      <c r="O34" s="120"/>
    </row>
    <row r="35" spans="1:123" s="55" customFormat="1" ht="30" customHeight="1">
      <c r="A35" s="154"/>
      <c r="B35" s="155" t="s">
        <v>86</v>
      </c>
      <c r="C35" s="75"/>
      <c r="D35" s="76"/>
      <c r="E35" s="75"/>
      <c r="F35" s="77"/>
      <c r="G35" s="78"/>
      <c r="H35" s="78"/>
      <c r="I35" s="78"/>
      <c r="J35" s="78"/>
      <c r="K35" s="78"/>
      <c r="L35" s="79"/>
      <c r="M35" s="80">
        <f>M34</f>
        <v>487850000</v>
      </c>
      <c r="N35" s="81"/>
      <c r="O35" s="59"/>
    </row>
    <row r="36" spans="1:123" s="55" customFormat="1" ht="30" customHeight="1">
      <c r="A36" s="154"/>
      <c r="B36" s="155" t="s">
        <v>151</v>
      </c>
      <c r="C36" s="75"/>
      <c r="D36" s="76"/>
      <c r="E36" s="75"/>
      <c r="F36" s="77"/>
      <c r="G36" s="78"/>
      <c r="H36" s="78"/>
      <c r="I36" s="78"/>
      <c r="J36" s="78"/>
      <c r="K36" s="78"/>
      <c r="L36" s="79"/>
      <c r="M36" s="80">
        <f>M35*0.1</f>
        <v>48785000</v>
      </c>
      <c r="N36" s="81"/>
      <c r="O36" s="59"/>
    </row>
    <row r="37" spans="1:123" s="57" customFormat="1" ht="30" customHeight="1" thickBot="1">
      <c r="A37" s="156"/>
      <c r="B37" s="157" t="s">
        <v>152</v>
      </c>
      <c r="C37" s="158"/>
      <c r="D37" s="159"/>
      <c r="E37" s="158"/>
      <c r="F37" s="160"/>
      <c r="G37" s="161"/>
      <c r="H37" s="161"/>
      <c r="I37" s="161"/>
      <c r="J37" s="161"/>
      <c r="K37" s="161"/>
      <c r="L37" s="162"/>
      <c r="M37" s="163">
        <f>M35+M36</f>
        <v>536635000</v>
      </c>
      <c r="N37" s="164"/>
      <c r="O37" s="120"/>
    </row>
    <row r="38" spans="1:123" s="2" customFormat="1" ht="30" customHeight="1">
      <c r="A38" s="1"/>
      <c r="B38" s="1"/>
      <c r="D38" s="38"/>
      <c r="E38" s="5"/>
      <c r="F38" s="39"/>
      <c r="G38" s="38"/>
      <c r="H38" s="40"/>
      <c r="I38" s="38"/>
      <c r="J38" s="40"/>
      <c r="K38" s="38"/>
      <c r="L38" s="40"/>
      <c r="M38" s="40"/>
      <c r="N38" s="5"/>
      <c r="O38" s="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</row>
    <row r="39" spans="1:123" s="2" customFormat="1" ht="33" customHeight="1">
      <c r="A39" s="1"/>
      <c r="B39" s="1"/>
      <c r="D39" s="38"/>
      <c r="E39" s="5"/>
      <c r="F39" s="39"/>
      <c r="G39" s="38"/>
      <c r="H39" s="40"/>
      <c r="I39" s="38"/>
      <c r="J39" s="40"/>
      <c r="K39" s="38"/>
      <c r="L39" s="40"/>
      <c r="M39" s="168">
        <f>ROUND(M37/M10,5)</f>
        <v>1.22427</v>
      </c>
      <c r="N39" s="5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</row>
    <row r="40" spans="1:123" s="2" customFormat="1" ht="33" customHeight="1">
      <c r="A40" s="1"/>
      <c r="B40" s="1"/>
      <c r="D40" s="38"/>
      <c r="E40" s="5"/>
      <c r="F40" s="39"/>
      <c r="G40" s="38"/>
      <c r="H40" s="40"/>
      <c r="I40" s="38"/>
      <c r="J40" s="40"/>
      <c r="K40" s="38"/>
      <c r="L40" s="40"/>
      <c r="M40" s="40"/>
      <c r="N40" s="5"/>
      <c r="O40" s="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</row>
    <row r="41" spans="1:123" s="2" customFormat="1" ht="30" customHeight="1">
      <c r="A41" s="1"/>
      <c r="B41" s="1"/>
      <c r="D41" s="38"/>
      <c r="E41" s="5"/>
      <c r="F41" s="39"/>
      <c r="G41" s="38"/>
      <c r="H41" s="40"/>
      <c r="I41" s="38"/>
      <c r="J41" s="40"/>
      <c r="K41" s="38"/>
      <c r="L41" s="40"/>
      <c r="M41" s="40"/>
      <c r="N41" s="5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</row>
    <row r="45" spans="1:123" s="2" customFormat="1" ht="34.700000000000003" customHeight="1">
      <c r="A45" s="1"/>
      <c r="B45" s="1"/>
      <c r="D45" s="38"/>
      <c r="E45" s="5"/>
      <c r="F45" s="39"/>
      <c r="G45" s="38"/>
      <c r="H45" s="40"/>
      <c r="I45" s="38"/>
      <c r="J45" s="40"/>
      <c r="K45" s="38"/>
      <c r="L45" s="40"/>
      <c r="M45" s="40"/>
      <c r="N45" s="5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</row>
  </sheetData>
  <mergeCells count="14">
    <mergeCell ref="A1:N1"/>
    <mergeCell ref="A2:E2"/>
    <mergeCell ref="B5:E5"/>
    <mergeCell ref="K33:L33"/>
    <mergeCell ref="B3:B4"/>
    <mergeCell ref="C3:C4"/>
    <mergeCell ref="D3:D4"/>
    <mergeCell ref="E3:E4"/>
    <mergeCell ref="F3:G3"/>
    <mergeCell ref="H3:I3"/>
    <mergeCell ref="J3:K3"/>
    <mergeCell ref="L3:M3"/>
    <mergeCell ref="N3:N4"/>
    <mergeCell ref="M2:N2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horizontalDpi="1200" verticalDpi="1200" r:id="rId1"/>
  <headerFooter alignWithMargins="0">
    <oddHeader xml:space="preserve">&amp;C&amp;"돋움,보통"&amp;16&amp;U
</oddHead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FF"/>
    <pageSetUpPr fitToPage="1"/>
  </sheetPr>
  <dimension ref="A1:T62"/>
  <sheetViews>
    <sheetView view="pageBreakPreview" topLeftCell="A42" zoomScaleNormal="85" zoomScaleSheetLayoutView="100" workbookViewId="0">
      <selection activeCell="P48" sqref="P48"/>
    </sheetView>
  </sheetViews>
  <sheetFormatPr defaultColWidth="8" defaultRowHeight="14.25"/>
  <cols>
    <col min="1" max="1" width="10.5" customWidth="1"/>
    <col min="2" max="2" width="29.875" customWidth="1"/>
    <col min="3" max="3" width="18.75" customWidth="1"/>
    <col min="4" max="4" width="10.5" customWidth="1"/>
    <col min="5" max="5" width="5.25" customWidth="1"/>
    <col min="6" max="6" width="12.5" customWidth="1"/>
    <col min="7" max="7" width="15" customWidth="1"/>
    <col min="8" max="8" width="12.5" customWidth="1"/>
    <col min="9" max="9" width="16.875" customWidth="1"/>
    <col min="10" max="10" width="12.5" customWidth="1"/>
    <col min="11" max="11" width="16.875" customWidth="1"/>
    <col min="12" max="12" width="12.5" customWidth="1"/>
    <col min="13" max="13" width="16.875" customWidth="1"/>
    <col min="14" max="14" width="10.5" customWidth="1"/>
    <col min="16" max="16" width="19.25" bestFit="1" customWidth="1"/>
    <col min="18" max="18" width="10.625" bestFit="1" customWidth="1"/>
  </cols>
  <sheetData>
    <row r="1" spans="1:14" ht="35.1" customHeight="1">
      <c r="A1" s="338" t="s">
        <v>406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</row>
    <row r="2" spans="1:14" ht="15.4" customHeight="1">
      <c r="A2" s="60" t="s">
        <v>144</v>
      </c>
      <c r="B2" s="93"/>
      <c r="C2" s="116"/>
      <c r="D2" s="117"/>
      <c r="E2" s="93"/>
      <c r="F2" s="93"/>
      <c r="G2" s="93"/>
      <c r="H2" s="93"/>
      <c r="I2" s="93"/>
      <c r="J2" s="93"/>
      <c r="K2" s="93"/>
      <c r="L2" s="93"/>
      <c r="M2" s="357" t="s">
        <v>442</v>
      </c>
      <c r="N2" s="358"/>
    </row>
    <row r="3" spans="1:14" ht="19.5" customHeight="1">
      <c r="A3" s="94" t="s">
        <v>11</v>
      </c>
      <c r="B3" s="94" t="s">
        <v>12</v>
      </c>
      <c r="C3" s="115" t="s">
        <v>13</v>
      </c>
      <c r="D3" s="115" t="s">
        <v>14</v>
      </c>
      <c r="E3" s="94" t="s">
        <v>6</v>
      </c>
      <c r="F3" s="95" t="s">
        <v>8</v>
      </c>
      <c r="G3" s="96"/>
      <c r="H3" s="95" t="s">
        <v>9</v>
      </c>
      <c r="I3" s="96"/>
      <c r="J3" s="95" t="s">
        <v>15</v>
      </c>
      <c r="K3" s="96"/>
      <c r="L3" s="95" t="s">
        <v>16</v>
      </c>
      <c r="M3" s="96"/>
      <c r="N3" s="94" t="s">
        <v>44</v>
      </c>
    </row>
    <row r="4" spans="1:14" ht="19.5" customHeight="1">
      <c r="A4" s="97"/>
      <c r="B4" s="97"/>
      <c r="C4" s="97"/>
      <c r="D4" s="97"/>
      <c r="E4" s="97"/>
      <c r="F4" s="98" t="s">
        <v>17</v>
      </c>
      <c r="G4" s="98" t="s">
        <v>18</v>
      </c>
      <c r="H4" s="98" t="s">
        <v>17</v>
      </c>
      <c r="I4" s="98" t="s">
        <v>18</v>
      </c>
      <c r="J4" s="98" t="s">
        <v>17</v>
      </c>
      <c r="K4" s="98" t="s">
        <v>18</v>
      </c>
      <c r="L4" s="98" t="s">
        <v>17</v>
      </c>
      <c r="M4" s="98" t="s">
        <v>18</v>
      </c>
      <c r="N4" s="97"/>
    </row>
    <row r="5" spans="1:14" ht="22.5" customHeight="1">
      <c r="A5" s="99" t="s">
        <v>10</v>
      </c>
      <c r="B5" s="99" t="s">
        <v>19</v>
      </c>
      <c r="C5" s="99" t="s">
        <v>10</v>
      </c>
      <c r="D5" s="100">
        <v>0</v>
      </c>
      <c r="E5" s="98" t="s">
        <v>10</v>
      </c>
      <c r="F5" s="107" t="s">
        <v>10</v>
      </c>
      <c r="G5" s="107" t="s">
        <v>10</v>
      </c>
      <c r="H5" s="107" t="s">
        <v>10</v>
      </c>
      <c r="I5" s="107" t="s">
        <v>10</v>
      </c>
      <c r="J5" s="107" t="s">
        <v>10</v>
      </c>
      <c r="K5" s="107" t="s">
        <v>10</v>
      </c>
      <c r="L5" s="107" t="s">
        <v>10</v>
      </c>
      <c r="M5" s="107" t="s">
        <v>10</v>
      </c>
      <c r="N5" s="110" t="s">
        <v>10</v>
      </c>
    </row>
    <row r="6" spans="1:14" ht="22.5" customHeight="1">
      <c r="A6" s="103" t="s">
        <v>20</v>
      </c>
      <c r="B6" s="102" t="s">
        <v>93</v>
      </c>
      <c r="C6" s="103" t="s">
        <v>10</v>
      </c>
      <c r="D6" s="104">
        <v>0</v>
      </c>
      <c r="E6" s="105" t="s">
        <v>10</v>
      </c>
      <c r="F6" s="111" t="s">
        <v>10</v>
      </c>
      <c r="G6" s="111" t="s">
        <v>10</v>
      </c>
      <c r="H6" s="111" t="s">
        <v>10</v>
      </c>
      <c r="I6" s="111" t="s">
        <v>10</v>
      </c>
      <c r="J6" s="111" t="s">
        <v>10</v>
      </c>
      <c r="K6" s="111" t="s">
        <v>10</v>
      </c>
      <c r="L6" s="111" t="s">
        <v>10</v>
      </c>
      <c r="M6" s="111" t="s">
        <v>10</v>
      </c>
      <c r="N6" s="112" t="s">
        <v>10</v>
      </c>
    </row>
    <row r="7" spans="1:14" ht="22.5" customHeight="1">
      <c r="A7" s="101" t="s">
        <v>115</v>
      </c>
      <c r="B7" s="56" t="s">
        <v>49</v>
      </c>
      <c r="C7" s="101" t="s">
        <v>114</v>
      </c>
      <c r="D7" s="169"/>
      <c r="E7" s="101" t="s">
        <v>53</v>
      </c>
      <c r="F7" s="107">
        <v>473488</v>
      </c>
      <c r="G7" s="107">
        <f>D7*F7</f>
        <v>0</v>
      </c>
      <c r="H7" s="107">
        <v>364249</v>
      </c>
      <c r="I7" s="107">
        <f>D7*H7</f>
        <v>0</v>
      </c>
      <c r="J7" s="107">
        <v>13214</v>
      </c>
      <c r="K7" s="107">
        <f>D7*J7</f>
        <v>0</v>
      </c>
      <c r="L7" s="107">
        <f>F7+H7+J7</f>
        <v>850951</v>
      </c>
      <c r="M7" s="107">
        <f>D7*L7</f>
        <v>0</v>
      </c>
      <c r="N7" s="110"/>
    </row>
    <row r="8" spans="1:14" ht="22.5" customHeight="1">
      <c r="A8" s="101" t="s">
        <v>94</v>
      </c>
      <c r="B8" s="56" t="s">
        <v>49</v>
      </c>
      <c r="C8" s="101" t="s">
        <v>113</v>
      </c>
      <c r="D8" s="169"/>
      <c r="E8" s="101" t="s">
        <v>53</v>
      </c>
      <c r="F8" s="107">
        <v>2096059</v>
      </c>
      <c r="G8" s="107">
        <f>D8*F8</f>
        <v>0</v>
      </c>
      <c r="H8" s="107">
        <v>651150</v>
      </c>
      <c r="I8" s="107">
        <f>D8*H8</f>
        <v>0</v>
      </c>
      <c r="J8" s="107">
        <v>61358</v>
      </c>
      <c r="K8" s="107">
        <f>D8*J8</f>
        <v>0</v>
      </c>
      <c r="L8" s="107">
        <f t="shared" ref="L8:L27" si="0">F8+H8+J8</f>
        <v>2808567</v>
      </c>
      <c r="M8" s="107">
        <f t="shared" ref="M8:M27" si="1">D8*L8</f>
        <v>0</v>
      </c>
      <c r="N8" s="110"/>
    </row>
    <row r="9" spans="1:14" ht="22.5" customHeight="1">
      <c r="A9" s="101" t="s">
        <v>95</v>
      </c>
      <c r="B9" s="56" t="s">
        <v>49</v>
      </c>
      <c r="C9" s="101" t="s">
        <v>55</v>
      </c>
      <c r="D9" s="169"/>
      <c r="E9" s="101" t="s">
        <v>53</v>
      </c>
      <c r="F9" s="119">
        <v>2525128</v>
      </c>
      <c r="G9" s="107">
        <f>D9*F9</f>
        <v>0</v>
      </c>
      <c r="H9" s="107">
        <v>732040</v>
      </c>
      <c r="I9" s="107">
        <f>D9*H9</f>
        <v>0</v>
      </c>
      <c r="J9" s="107">
        <v>65243</v>
      </c>
      <c r="K9" s="107">
        <f>D9*J9</f>
        <v>0</v>
      </c>
      <c r="L9" s="107">
        <f t="shared" si="0"/>
        <v>3322411</v>
      </c>
      <c r="M9" s="107">
        <f t="shared" si="1"/>
        <v>0</v>
      </c>
      <c r="N9" s="110" t="s">
        <v>10</v>
      </c>
    </row>
    <row r="10" spans="1:14" ht="22.5" customHeight="1">
      <c r="A10" s="101" t="s">
        <v>96</v>
      </c>
      <c r="B10" s="56" t="s">
        <v>49</v>
      </c>
      <c r="C10" s="101" t="s">
        <v>48</v>
      </c>
      <c r="D10" s="169"/>
      <c r="E10" s="101" t="s">
        <v>53</v>
      </c>
      <c r="F10" s="119">
        <v>3251378</v>
      </c>
      <c r="G10" s="107">
        <f>D10*F10</f>
        <v>0</v>
      </c>
      <c r="H10" s="107">
        <v>774354</v>
      </c>
      <c r="I10" s="107">
        <f t="shared" ref="I10:I27" si="2">D10*H10</f>
        <v>0</v>
      </c>
      <c r="J10" s="107">
        <v>77677</v>
      </c>
      <c r="K10" s="107">
        <f t="shared" ref="K10:K27" si="3">D10*J10</f>
        <v>0</v>
      </c>
      <c r="L10" s="107">
        <f t="shared" si="0"/>
        <v>4103409</v>
      </c>
      <c r="M10" s="107">
        <f t="shared" si="1"/>
        <v>0</v>
      </c>
      <c r="N10" s="110" t="s">
        <v>10</v>
      </c>
    </row>
    <row r="11" spans="1:14" ht="22.5" customHeight="1">
      <c r="A11" s="101" t="s">
        <v>97</v>
      </c>
      <c r="B11" s="56" t="s">
        <v>49</v>
      </c>
      <c r="C11" s="101" t="s">
        <v>50</v>
      </c>
      <c r="D11" s="169"/>
      <c r="E11" s="101" t="s">
        <v>53</v>
      </c>
      <c r="F11" s="119">
        <v>3767327</v>
      </c>
      <c r="G11" s="107">
        <f t="shared" ref="G11:G27" si="4">D11*F11</f>
        <v>0</v>
      </c>
      <c r="H11" s="107">
        <v>835058</v>
      </c>
      <c r="I11" s="107">
        <f t="shared" si="2"/>
        <v>0</v>
      </c>
      <c r="J11" s="107">
        <v>126235</v>
      </c>
      <c r="K11" s="107">
        <f t="shared" si="3"/>
        <v>0</v>
      </c>
      <c r="L11" s="107">
        <f t="shared" si="0"/>
        <v>4728620</v>
      </c>
      <c r="M11" s="107">
        <f t="shared" si="1"/>
        <v>0</v>
      </c>
      <c r="N11" s="110"/>
    </row>
    <row r="12" spans="1:14" ht="22.5" customHeight="1">
      <c r="A12" s="101" t="s">
        <v>98</v>
      </c>
      <c r="B12" s="56" t="s">
        <v>49</v>
      </c>
      <c r="C12" s="101" t="s">
        <v>51</v>
      </c>
      <c r="D12" s="169"/>
      <c r="E12" s="101" t="s">
        <v>53</v>
      </c>
      <c r="F12" s="119">
        <v>4688285</v>
      </c>
      <c r="G12" s="107">
        <f t="shared" si="4"/>
        <v>0</v>
      </c>
      <c r="H12" s="107">
        <v>938836</v>
      </c>
      <c r="I12" s="107">
        <f t="shared" si="2"/>
        <v>0</v>
      </c>
      <c r="J12" s="107">
        <v>133031</v>
      </c>
      <c r="K12" s="107">
        <f t="shared" si="3"/>
        <v>0</v>
      </c>
      <c r="L12" s="107">
        <f t="shared" si="0"/>
        <v>5760152</v>
      </c>
      <c r="M12" s="107">
        <f t="shared" si="1"/>
        <v>0</v>
      </c>
      <c r="N12" s="110"/>
    </row>
    <row r="13" spans="1:14" ht="22.5" customHeight="1">
      <c r="A13" s="101" t="s">
        <v>99</v>
      </c>
      <c r="B13" s="56" t="s">
        <v>49</v>
      </c>
      <c r="C13" s="101" t="s">
        <v>52</v>
      </c>
      <c r="D13" s="169"/>
      <c r="E13" s="101" t="s">
        <v>53</v>
      </c>
      <c r="F13" s="119">
        <v>7175084</v>
      </c>
      <c r="G13" s="107">
        <f t="shared" si="4"/>
        <v>0</v>
      </c>
      <c r="H13" s="107">
        <v>1344035</v>
      </c>
      <c r="I13" s="107">
        <f t="shared" si="2"/>
        <v>0</v>
      </c>
      <c r="J13" s="107">
        <v>256626</v>
      </c>
      <c r="K13" s="107">
        <f t="shared" si="3"/>
        <v>0</v>
      </c>
      <c r="L13" s="107">
        <f t="shared" si="0"/>
        <v>8775745</v>
      </c>
      <c r="M13" s="107">
        <f t="shared" si="1"/>
        <v>0</v>
      </c>
      <c r="N13" s="110" t="s">
        <v>10</v>
      </c>
    </row>
    <row r="14" spans="1:14" ht="22.5" customHeight="1">
      <c r="A14" s="101" t="s">
        <v>100</v>
      </c>
      <c r="B14" s="56" t="s">
        <v>49</v>
      </c>
      <c r="C14" s="101" t="s">
        <v>23</v>
      </c>
      <c r="D14" s="169"/>
      <c r="E14" s="101" t="s">
        <v>53</v>
      </c>
      <c r="F14" s="119">
        <v>9658162</v>
      </c>
      <c r="G14" s="107">
        <f t="shared" si="4"/>
        <v>0</v>
      </c>
      <c r="H14" s="107">
        <v>1485827</v>
      </c>
      <c r="I14" s="107">
        <f t="shared" si="2"/>
        <v>0</v>
      </c>
      <c r="J14" s="107">
        <v>308857</v>
      </c>
      <c r="K14" s="107">
        <f t="shared" si="3"/>
        <v>0</v>
      </c>
      <c r="L14" s="107">
        <f t="shared" si="0"/>
        <v>11452846</v>
      </c>
      <c r="M14" s="107">
        <f t="shared" si="1"/>
        <v>0</v>
      </c>
      <c r="N14" s="110" t="s">
        <v>10</v>
      </c>
    </row>
    <row r="15" spans="1:14" ht="22.5" customHeight="1">
      <c r="A15" s="101" t="s">
        <v>101</v>
      </c>
      <c r="B15" s="56" t="s">
        <v>49</v>
      </c>
      <c r="C15" s="101" t="s">
        <v>22</v>
      </c>
      <c r="D15" s="169"/>
      <c r="E15" s="101" t="s">
        <v>53</v>
      </c>
      <c r="F15" s="119">
        <v>12169198</v>
      </c>
      <c r="G15" s="107">
        <f t="shared" si="4"/>
        <v>0</v>
      </c>
      <c r="H15" s="107">
        <v>1649432</v>
      </c>
      <c r="I15" s="107">
        <f t="shared" si="2"/>
        <v>0</v>
      </c>
      <c r="J15" s="107">
        <v>341364</v>
      </c>
      <c r="K15" s="107">
        <f t="shared" si="3"/>
        <v>0</v>
      </c>
      <c r="L15" s="107">
        <f t="shared" si="0"/>
        <v>14159994</v>
      </c>
      <c r="M15" s="107">
        <f t="shared" si="1"/>
        <v>0</v>
      </c>
      <c r="N15" s="110" t="s">
        <v>10</v>
      </c>
    </row>
    <row r="16" spans="1:14" ht="22.5" customHeight="1">
      <c r="A16" s="101" t="s">
        <v>102</v>
      </c>
      <c r="B16" s="56" t="s">
        <v>49</v>
      </c>
      <c r="C16" s="101" t="s">
        <v>26</v>
      </c>
      <c r="D16" s="169"/>
      <c r="E16" s="101" t="s">
        <v>53</v>
      </c>
      <c r="F16" s="119">
        <v>17976469</v>
      </c>
      <c r="G16" s="107">
        <f t="shared" si="4"/>
        <v>0</v>
      </c>
      <c r="H16" s="107">
        <v>2270083</v>
      </c>
      <c r="I16" s="107">
        <f t="shared" si="2"/>
        <v>0</v>
      </c>
      <c r="J16" s="107">
        <v>594821</v>
      </c>
      <c r="K16" s="107">
        <f t="shared" si="3"/>
        <v>0</v>
      </c>
      <c r="L16" s="107">
        <f t="shared" si="0"/>
        <v>20841373</v>
      </c>
      <c r="M16" s="107">
        <f t="shared" si="1"/>
        <v>0</v>
      </c>
      <c r="N16" s="110"/>
    </row>
    <row r="17" spans="1:14" ht="22.5" customHeight="1">
      <c r="A17" s="101" t="s">
        <v>103</v>
      </c>
      <c r="B17" s="56" t="s">
        <v>49</v>
      </c>
      <c r="C17" s="101" t="s">
        <v>33</v>
      </c>
      <c r="D17" s="169"/>
      <c r="E17" s="101" t="s">
        <v>53</v>
      </c>
      <c r="F17" s="119">
        <v>18408234</v>
      </c>
      <c r="G17" s="107">
        <f t="shared" si="4"/>
        <v>0</v>
      </c>
      <c r="H17" s="107">
        <v>2676868</v>
      </c>
      <c r="I17" s="107">
        <f t="shared" si="2"/>
        <v>0</v>
      </c>
      <c r="J17" s="107">
        <v>664149</v>
      </c>
      <c r="K17" s="107">
        <f t="shared" si="3"/>
        <v>0</v>
      </c>
      <c r="L17" s="107">
        <f t="shared" si="0"/>
        <v>21749251</v>
      </c>
      <c r="M17" s="107">
        <f t="shared" si="1"/>
        <v>0</v>
      </c>
      <c r="N17" s="110" t="s">
        <v>10</v>
      </c>
    </row>
    <row r="18" spans="1:14" ht="22.5" customHeight="1">
      <c r="A18" s="101" t="s">
        <v>104</v>
      </c>
      <c r="B18" s="56" t="s">
        <v>49</v>
      </c>
      <c r="C18" s="101" t="s">
        <v>32</v>
      </c>
      <c r="D18" s="169"/>
      <c r="E18" s="101" t="s">
        <v>53</v>
      </c>
      <c r="F18" s="119">
        <v>21589104</v>
      </c>
      <c r="G18" s="107">
        <f t="shared" si="4"/>
        <v>0</v>
      </c>
      <c r="H18" s="107">
        <v>3082851</v>
      </c>
      <c r="I18" s="107">
        <f t="shared" si="2"/>
        <v>0</v>
      </c>
      <c r="J18" s="107">
        <v>906276</v>
      </c>
      <c r="K18" s="107">
        <f t="shared" si="3"/>
        <v>0</v>
      </c>
      <c r="L18" s="107">
        <f t="shared" si="0"/>
        <v>25578231</v>
      </c>
      <c r="M18" s="107">
        <f t="shared" si="1"/>
        <v>0</v>
      </c>
      <c r="N18" s="110"/>
    </row>
    <row r="19" spans="1:14" ht="22.5" customHeight="1">
      <c r="A19" s="101" t="s">
        <v>105</v>
      </c>
      <c r="B19" s="56" t="s">
        <v>49</v>
      </c>
      <c r="C19" s="101" t="s">
        <v>31</v>
      </c>
      <c r="D19" s="169">
        <v>2</v>
      </c>
      <c r="E19" s="101" t="s">
        <v>53</v>
      </c>
      <c r="F19" s="119">
        <v>24638400</v>
      </c>
      <c r="G19" s="107">
        <f t="shared" si="4"/>
        <v>49276800</v>
      </c>
      <c r="H19" s="107">
        <v>3861028</v>
      </c>
      <c r="I19" s="107">
        <f t="shared" si="2"/>
        <v>7722056</v>
      </c>
      <c r="J19" s="107">
        <v>1047466</v>
      </c>
      <c r="K19" s="107">
        <f t="shared" si="3"/>
        <v>2094932</v>
      </c>
      <c r="L19" s="107">
        <f t="shared" si="0"/>
        <v>29546894</v>
      </c>
      <c r="M19" s="107">
        <f t="shared" si="1"/>
        <v>59093788</v>
      </c>
      <c r="N19" s="110"/>
    </row>
    <row r="20" spans="1:14" ht="22.5" customHeight="1">
      <c r="A20" s="101" t="s">
        <v>106</v>
      </c>
      <c r="B20" s="56" t="s">
        <v>49</v>
      </c>
      <c r="C20" s="101" t="s">
        <v>30</v>
      </c>
      <c r="D20" s="169"/>
      <c r="E20" s="101" t="s">
        <v>53</v>
      </c>
      <c r="F20" s="119">
        <v>25877998</v>
      </c>
      <c r="G20" s="107">
        <f t="shared" si="4"/>
        <v>0</v>
      </c>
      <c r="H20" s="107">
        <v>4274693</v>
      </c>
      <c r="I20" s="107">
        <f t="shared" si="2"/>
        <v>0</v>
      </c>
      <c r="J20" s="107">
        <v>1733663</v>
      </c>
      <c r="K20" s="107">
        <f t="shared" si="3"/>
        <v>0</v>
      </c>
      <c r="L20" s="107">
        <f t="shared" si="0"/>
        <v>31886354</v>
      </c>
      <c r="M20" s="107">
        <f t="shared" si="1"/>
        <v>0</v>
      </c>
      <c r="N20" s="110"/>
    </row>
    <row r="21" spans="1:14" ht="22.5" customHeight="1">
      <c r="A21" s="101" t="s">
        <v>107</v>
      </c>
      <c r="B21" s="56" t="s">
        <v>49</v>
      </c>
      <c r="C21" s="101" t="s">
        <v>24</v>
      </c>
      <c r="D21" s="169"/>
      <c r="E21" s="101" t="s">
        <v>53</v>
      </c>
      <c r="F21" s="119">
        <v>32881624</v>
      </c>
      <c r="G21" s="107">
        <f t="shared" si="4"/>
        <v>0</v>
      </c>
      <c r="H21" s="107">
        <v>5130868</v>
      </c>
      <c r="I21" s="107">
        <f t="shared" si="2"/>
        <v>0</v>
      </c>
      <c r="J21" s="107">
        <v>1981912</v>
      </c>
      <c r="K21" s="107">
        <f t="shared" si="3"/>
        <v>0</v>
      </c>
      <c r="L21" s="107">
        <f t="shared" si="0"/>
        <v>39994404</v>
      </c>
      <c r="M21" s="107">
        <f t="shared" si="1"/>
        <v>0</v>
      </c>
      <c r="N21" s="110"/>
    </row>
    <row r="22" spans="1:14" ht="22.5" customHeight="1">
      <c r="A22" s="101" t="s">
        <v>108</v>
      </c>
      <c r="B22" s="56" t="s">
        <v>49</v>
      </c>
      <c r="C22" s="101" t="s">
        <v>29</v>
      </c>
      <c r="D22" s="169"/>
      <c r="E22" s="101" t="s">
        <v>53</v>
      </c>
      <c r="F22" s="119">
        <v>34983928</v>
      </c>
      <c r="G22" s="107">
        <f t="shared" si="4"/>
        <v>0</v>
      </c>
      <c r="H22" s="107">
        <v>5548044</v>
      </c>
      <c r="I22" s="107">
        <f t="shared" si="2"/>
        <v>0</v>
      </c>
      <c r="J22" s="107">
        <v>2455665</v>
      </c>
      <c r="K22" s="107">
        <f t="shared" si="3"/>
        <v>0</v>
      </c>
      <c r="L22" s="107">
        <f t="shared" si="0"/>
        <v>42987637</v>
      </c>
      <c r="M22" s="107">
        <f t="shared" si="1"/>
        <v>0</v>
      </c>
      <c r="N22" s="110"/>
    </row>
    <row r="23" spans="1:14" ht="22.5" customHeight="1">
      <c r="A23" s="101" t="s">
        <v>109</v>
      </c>
      <c r="B23" s="56" t="s">
        <v>49</v>
      </c>
      <c r="C23" s="101" t="s">
        <v>119</v>
      </c>
      <c r="D23" s="169">
        <v>8</v>
      </c>
      <c r="E23" s="101" t="s">
        <v>53</v>
      </c>
      <c r="F23" s="119">
        <v>38815548</v>
      </c>
      <c r="G23" s="107">
        <f t="shared" si="4"/>
        <v>310524384</v>
      </c>
      <c r="H23" s="107">
        <v>5926788</v>
      </c>
      <c r="I23" s="107">
        <f t="shared" si="2"/>
        <v>47414304</v>
      </c>
      <c r="J23" s="107">
        <v>2662404</v>
      </c>
      <c r="K23" s="107">
        <f t="shared" si="3"/>
        <v>21299232</v>
      </c>
      <c r="L23" s="107">
        <f t="shared" si="0"/>
        <v>47404740</v>
      </c>
      <c r="M23" s="107">
        <f t="shared" si="1"/>
        <v>379237920</v>
      </c>
      <c r="N23" s="110"/>
    </row>
    <row r="24" spans="1:14" ht="22.5" customHeight="1">
      <c r="A24" s="101" t="s">
        <v>110</v>
      </c>
      <c r="B24" s="56" t="s">
        <v>49</v>
      </c>
      <c r="C24" s="101" t="s">
        <v>28</v>
      </c>
      <c r="D24" s="169"/>
      <c r="E24" s="101" t="s">
        <v>53</v>
      </c>
      <c r="F24" s="119">
        <v>44317123</v>
      </c>
      <c r="G24" s="107">
        <f t="shared" si="4"/>
        <v>0</v>
      </c>
      <c r="H24" s="107">
        <v>6423413</v>
      </c>
      <c r="I24" s="107">
        <f t="shared" si="2"/>
        <v>0</v>
      </c>
      <c r="J24" s="107">
        <v>4659138</v>
      </c>
      <c r="K24" s="107">
        <f t="shared" si="3"/>
        <v>0</v>
      </c>
      <c r="L24" s="107">
        <f t="shared" si="0"/>
        <v>55399674</v>
      </c>
      <c r="M24" s="107">
        <f t="shared" si="1"/>
        <v>0</v>
      </c>
      <c r="N24" s="110"/>
    </row>
    <row r="25" spans="1:14" ht="22.5" customHeight="1">
      <c r="A25" s="101" t="s">
        <v>111</v>
      </c>
      <c r="B25" s="56" t="s">
        <v>49</v>
      </c>
      <c r="C25" s="101" t="s">
        <v>27</v>
      </c>
      <c r="D25" s="169"/>
      <c r="E25" s="101" t="s">
        <v>53</v>
      </c>
      <c r="F25" s="119">
        <v>47002938</v>
      </c>
      <c r="G25" s="107">
        <f t="shared" si="4"/>
        <v>0</v>
      </c>
      <c r="H25" s="107">
        <v>6754833</v>
      </c>
      <c r="I25" s="107">
        <f t="shared" si="2"/>
        <v>0</v>
      </c>
      <c r="J25" s="107">
        <v>4931649</v>
      </c>
      <c r="K25" s="107">
        <f t="shared" si="3"/>
        <v>0</v>
      </c>
      <c r="L25" s="107">
        <f t="shared" si="0"/>
        <v>58689420</v>
      </c>
      <c r="M25" s="107">
        <f t="shared" si="1"/>
        <v>0</v>
      </c>
      <c r="N25" s="110"/>
    </row>
    <row r="26" spans="1:14" ht="22.5" customHeight="1">
      <c r="A26" s="101" t="s">
        <v>112</v>
      </c>
      <c r="B26" s="56" t="s">
        <v>49</v>
      </c>
      <c r="C26" s="101" t="s">
        <v>25</v>
      </c>
      <c r="D26" s="169"/>
      <c r="E26" s="101" t="s">
        <v>53</v>
      </c>
      <c r="F26" s="119">
        <v>56158837</v>
      </c>
      <c r="G26" s="107">
        <f t="shared" si="4"/>
        <v>0</v>
      </c>
      <c r="H26" s="107">
        <v>7151107</v>
      </c>
      <c r="I26" s="107">
        <f t="shared" si="2"/>
        <v>0</v>
      </c>
      <c r="J26" s="107">
        <v>5363774</v>
      </c>
      <c r="K26" s="107">
        <f t="shared" si="3"/>
        <v>0</v>
      </c>
      <c r="L26" s="107">
        <f t="shared" si="0"/>
        <v>68673718</v>
      </c>
      <c r="M26" s="107">
        <f t="shared" si="1"/>
        <v>0</v>
      </c>
      <c r="N26" s="110"/>
    </row>
    <row r="27" spans="1:14" ht="22.5" customHeight="1">
      <c r="A27" s="101" t="s">
        <v>128</v>
      </c>
      <c r="B27" s="56" t="s">
        <v>49</v>
      </c>
      <c r="C27" s="101" t="s">
        <v>129</v>
      </c>
      <c r="D27" s="169"/>
      <c r="E27" s="101" t="s">
        <v>53</v>
      </c>
      <c r="F27" s="119">
        <v>67252461</v>
      </c>
      <c r="G27" s="107">
        <f t="shared" si="4"/>
        <v>0</v>
      </c>
      <c r="H27" s="119">
        <v>7451208</v>
      </c>
      <c r="I27" s="107">
        <f t="shared" si="2"/>
        <v>0</v>
      </c>
      <c r="J27" s="119">
        <v>5562272</v>
      </c>
      <c r="K27" s="107">
        <f t="shared" si="3"/>
        <v>0</v>
      </c>
      <c r="L27" s="107">
        <f t="shared" si="0"/>
        <v>80265941</v>
      </c>
      <c r="M27" s="107">
        <f t="shared" si="1"/>
        <v>0</v>
      </c>
      <c r="N27" s="110"/>
    </row>
    <row r="28" spans="1:14" ht="22.5" customHeight="1">
      <c r="A28" s="101"/>
      <c r="B28" s="56" t="s">
        <v>116</v>
      </c>
      <c r="C28" s="101"/>
      <c r="D28" s="169">
        <f>SUM(D7:D27)</f>
        <v>10</v>
      </c>
      <c r="E28" s="101"/>
      <c r="F28" s="119"/>
      <c r="G28" s="107">
        <f>SUM(G7:G27)</f>
        <v>359801184</v>
      </c>
      <c r="H28" s="107"/>
      <c r="I28" s="107">
        <f>SUM(I7:I27)</f>
        <v>55136360</v>
      </c>
      <c r="J28" s="107"/>
      <c r="K28" s="107">
        <f>SUM(K7:K27)</f>
        <v>23394164</v>
      </c>
      <c r="L28" s="107"/>
      <c r="M28" s="107">
        <f>SUM(M7:M27)</f>
        <v>438331708</v>
      </c>
      <c r="N28" s="110"/>
    </row>
    <row r="29" spans="1:14" ht="22.5" customHeight="1">
      <c r="A29" s="102" t="s">
        <v>117</v>
      </c>
      <c r="B29" s="102" t="s">
        <v>118</v>
      </c>
      <c r="C29" s="103" t="s">
        <v>10</v>
      </c>
      <c r="D29" s="104">
        <v>0</v>
      </c>
      <c r="E29" s="105" t="s">
        <v>10</v>
      </c>
      <c r="F29" s="111"/>
      <c r="G29" s="111" t="s">
        <v>10</v>
      </c>
      <c r="H29" s="111"/>
      <c r="I29" s="111" t="s">
        <v>10</v>
      </c>
      <c r="J29" s="111" t="s">
        <v>10</v>
      </c>
      <c r="K29" s="111" t="s">
        <v>10</v>
      </c>
      <c r="L29" s="111" t="s">
        <v>10</v>
      </c>
      <c r="M29" s="111" t="s">
        <v>10</v>
      </c>
      <c r="N29" s="112" t="s">
        <v>10</v>
      </c>
    </row>
    <row r="30" spans="1:14" ht="22.5" customHeight="1">
      <c r="A30" s="101" t="s">
        <v>394</v>
      </c>
      <c r="B30" s="56" t="s">
        <v>49</v>
      </c>
      <c r="C30" s="101" t="s">
        <v>114</v>
      </c>
      <c r="D30" s="169">
        <v>0</v>
      </c>
      <c r="E30" s="101" t="s">
        <v>53</v>
      </c>
      <c r="F30" s="119">
        <v>473488</v>
      </c>
      <c r="G30" s="107">
        <f t="shared" ref="G30:G43" si="5">D30*F30</f>
        <v>0</v>
      </c>
      <c r="H30" s="107">
        <v>632217</v>
      </c>
      <c r="I30" s="107">
        <f t="shared" ref="I30:I43" si="6">D30*H30</f>
        <v>0</v>
      </c>
      <c r="J30" s="107">
        <v>13220</v>
      </c>
      <c r="K30" s="107">
        <f t="shared" ref="K30:K43" si="7">D30*J30</f>
        <v>0</v>
      </c>
      <c r="L30" s="107">
        <f t="shared" ref="L30:L43" si="8">F30+H30+J30</f>
        <v>1118925</v>
      </c>
      <c r="M30" s="107">
        <f t="shared" ref="M30:M43" si="9">D30*L30</f>
        <v>0</v>
      </c>
      <c r="N30" s="110"/>
    </row>
    <row r="31" spans="1:14" ht="22.5" customHeight="1">
      <c r="A31" s="101" t="s">
        <v>362</v>
      </c>
      <c r="B31" s="56" t="s">
        <v>49</v>
      </c>
      <c r="C31" s="101" t="s">
        <v>113</v>
      </c>
      <c r="D31" s="169"/>
      <c r="E31" s="101" t="s">
        <v>53</v>
      </c>
      <c r="F31" s="119">
        <v>2096059</v>
      </c>
      <c r="G31" s="107">
        <f t="shared" si="5"/>
        <v>0</v>
      </c>
      <c r="H31" s="107">
        <v>1176471</v>
      </c>
      <c r="I31" s="107">
        <f t="shared" si="6"/>
        <v>0</v>
      </c>
      <c r="J31" s="107">
        <v>61358</v>
      </c>
      <c r="K31" s="107">
        <f t="shared" si="7"/>
        <v>0</v>
      </c>
      <c r="L31" s="107">
        <f t="shared" si="8"/>
        <v>3333888</v>
      </c>
      <c r="M31" s="107">
        <f t="shared" si="9"/>
        <v>0</v>
      </c>
      <c r="N31" s="110"/>
    </row>
    <row r="32" spans="1:14" ht="22.5" customHeight="1">
      <c r="A32" s="101" t="s">
        <v>265</v>
      </c>
      <c r="B32" s="56" t="s">
        <v>49</v>
      </c>
      <c r="C32" s="101" t="s">
        <v>51</v>
      </c>
      <c r="D32" s="169"/>
      <c r="E32" s="101" t="s">
        <v>53</v>
      </c>
      <c r="F32" s="119">
        <v>4688285</v>
      </c>
      <c r="G32" s="107">
        <f t="shared" si="5"/>
        <v>0</v>
      </c>
      <c r="H32" s="107">
        <v>1698490</v>
      </c>
      <c r="I32" s="107">
        <f t="shared" si="6"/>
        <v>0</v>
      </c>
      <c r="J32" s="107">
        <v>133030</v>
      </c>
      <c r="K32" s="107">
        <f t="shared" si="7"/>
        <v>0</v>
      </c>
      <c r="L32" s="107">
        <f t="shared" si="8"/>
        <v>6519805</v>
      </c>
      <c r="M32" s="107">
        <f t="shared" si="9"/>
        <v>0</v>
      </c>
      <c r="N32" s="110"/>
    </row>
    <row r="33" spans="1:20" ht="22.5" customHeight="1">
      <c r="A33" s="101" t="s">
        <v>266</v>
      </c>
      <c r="B33" s="56" t="s">
        <v>49</v>
      </c>
      <c r="C33" s="101" t="s">
        <v>52</v>
      </c>
      <c r="D33" s="169"/>
      <c r="E33" s="101" t="s">
        <v>53</v>
      </c>
      <c r="F33" s="119">
        <v>7175084</v>
      </c>
      <c r="G33" s="107">
        <f t="shared" si="5"/>
        <v>0</v>
      </c>
      <c r="H33" s="107">
        <v>2392787</v>
      </c>
      <c r="I33" s="107">
        <f t="shared" si="6"/>
        <v>0</v>
      </c>
      <c r="J33" s="107">
        <v>256626</v>
      </c>
      <c r="K33" s="107">
        <f t="shared" si="7"/>
        <v>0</v>
      </c>
      <c r="L33" s="107">
        <f t="shared" si="8"/>
        <v>9824497</v>
      </c>
      <c r="M33" s="107">
        <f t="shared" si="9"/>
        <v>0</v>
      </c>
      <c r="N33" s="110"/>
    </row>
    <row r="34" spans="1:20" ht="22.5" customHeight="1">
      <c r="A34" s="101" t="s">
        <v>363</v>
      </c>
      <c r="B34" s="56" t="s">
        <v>49</v>
      </c>
      <c r="C34" s="101" t="s">
        <v>141</v>
      </c>
      <c r="D34" s="169"/>
      <c r="E34" s="101" t="s">
        <v>53</v>
      </c>
      <c r="F34" s="119">
        <v>9658163</v>
      </c>
      <c r="G34" s="107">
        <f t="shared" si="5"/>
        <v>0</v>
      </c>
      <c r="H34" s="107">
        <v>2647683</v>
      </c>
      <c r="I34" s="107">
        <f t="shared" si="6"/>
        <v>0</v>
      </c>
      <c r="J34" s="107">
        <v>308857</v>
      </c>
      <c r="K34" s="107">
        <f t="shared" si="7"/>
        <v>0</v>
      </c>
      <c r="L34" s="107">
        <f t="shared" si="8"/>
        <v>12614703</v>
      </c>
      <c r="M34" s="107">
        <f t="shared" si="9"/>
        <v>0</v>
      </c>
      <c r="N34" s="110"/>
    </row>
    <row r="35" spans="1:20" ht="22.5" customHeight="1">
      <c r="A35" s="101" t="s">
        <v>364</v>
      </c>
      <c r="B35" s="56" t="s">
        <v>49</v>
      </c>
      <c r="C35" s="101" t="s">
        <v>22</v>
      </c>
      <c r="D35" s="169"/>
      <c r="E35" s="101" t="s">
        <v>53</v>
      </c>
      <c r="F35" s="119">
        <v>12169198</v>
      </c>
      <c r="G35" s="107">
        <f t="shared" si="5"/>
        <v>0</v>
      </c>
      <c r="H35" s="107">
        <v>2940693</v>
      </c>
      <c r="I35" s="107">
        <f t="shared" si="6"/>
        <v>0</v>
      </c>
      <c r="J35" s="107">
        <v>341364</v>
      </c>
      <c r="K35" s="107">
        <f t="shared" si="7"/>
        <v>0</v>
      </c>
      <c r="L35" s="107">
        <f t="shared" si="8"/>
        <v>15451255</v>
      </c>
      <c r="M35" s="107">
        <f t="shared" si="9"/>
        <v>0</v>
      </c>
      <c r="N35" s="110" t="s">
        <v>10</v>
      </c>
    </row>
    <row r="36" spans="1:20" ht="22.5" customHeight="1">
      <c r="A36" s="101" t="s">
        <v>365</v>
      </c>
      <c r="B36" s="56" t="s">
        <v>49</v>
      </c>
      <c r="C36" s="101" t="s">
        <v>142</v>
      </c>
      <c r="D36" s="169"/>
      <c r="E36" s="101" t="s">
        <v>53</v>
      </c>
      <c r="F36" s="119">
        <v>17976470</v>
      </c>
      <c r="G36" s="107">
        <f t="shared" si="5"/>
        <v>0</v>
      </c>
      <c r="H36" s="107">
        <v>4065640</v>
      </c>
      <c r="I36" s="107">
        <f t="shared" si="6"/>
        <v>0</v>
      </c>
      <c r="J36" s="107">
        <v>594821</v>
      </c>
      <c r="K36" s="107">
        <f t="shared" si="7"/>
        <v>0</v>
      </c>
      <c r="L36" s="107">
        <f t="shared" si="8"/>
        <v>22636931</v>
      </c>
      <c r="M36" s="107">
        <f t="shared" si="9"/>
        <v>0</v>
      </c>
      <c r="N36" s="110" t="s">
        <v>10</v>
      </c>
    </row>
    <row r="37" spans="1:20" ht="22.5" customHeight="1">
      <c r="A37" s="101" t="s">
        <v>366</v>
      </c>
      <c r="B37" s="56" t="s">
        <v>49</v>
      </c>
      <c r="C37" s="101" t="s">
        <v>33</v>
      </c>
      <c r="D37" s="169"/>
      <c r="E37" s="101" t="s">
        <v>53</v>
      </c>
      <c r="F37" s="119">
        <v>18408234</v>
      </c>
      <c r="G37" s="107">
        <f t="shared" si="5"/>
        <v>0</v>
      </c>
      <c r="H37" s="119">
        <v>4803583</v>
      </c>
      <c r="I37" s="107">
        <f t="shared" si="6"/>
        <v>0</v>
      </c>
      <c r="J37" s="119">
        <v>664149</v>
      </c>
      <c r="K37" s="107">
        <f t="shared" si="7"/>
        <v>0</v>
      </c>
      <c r="L37" s="107">
        <f t="shared" si="8"/>
        <v>23875966</v>
      </c>
      <c r="M37" s="107">
        <f t="shared" si="9"/>
        <v>0</v>
      </c>
      <c r="N37" s="110" t="s">
        <v>10</v>
      </c>
    </row>
    <row r="38" spans="1:20" ht="22.5" customHeight="1">
      <c r="A38" s="101" t="s">
        <v>367</v>
      </c>
      <c r="B38" s="56" t="s">
        <v>49</v>
      </c>
      <c r="C38" s="101" t="s">
        <v>31</v>
      </c>
      <c r="D38" s="118"/>
      <c r="E38" s="101" t="s">
        <v>53</v>
      </c>
      <c r="F38" s="119">
        <v>24638400</v>
      </c>
      <c r="G38" s="107">
        <f t="shared" si="5"/>
        <v>0</v>
      </c>
      <c r="H38" s="119">
        <v>6942629</v>
      </c>
      <c r="I38" s="107">
        <f t="shared" si="6"/>
        <v>0</v>
      </c>
      <c r="J38" s="119">
        <v>1047465</v>
      </c>
      <c r="K38" s="107">
        <f t="shared" si="7"/>
        <v>0</v>
      </c>
      <c r="L38" s="107">
        <f t="shared" si="8"/>
        <v>32628494</v>
      </c>
      <c r="M38" s="107">
        <f t="shared" si="9"/>
        <v>0</v>
      </c>
      <c r="N38" s="110"/>
    </row>
    <row r="39" spans="1:20" ht="22.5" customHeight="1">
      <c r="A39" s="101" t="s">
        <v>271</v>
      </c>
      <c r="B39" s="56" t="s">
        <v>49</v>
      </c>
      <c r="C39" s="101" t="s">
        <v>143</v>
      </c>
      <c r="D39" s="118"/>
      <c r="E39" s="101" t="s">
        <v>53</v>
      </c>
      <c r="F39" s="119">
        <v>25877998</v>
      </c>
      <c r="G39" s="107">
        <f t="shared" si="5"/>
        <v>0</v>
      </c>
      <c r="H39" s="119">
        <v>7691243</v>
      </c>
      <c r="I39" s="107">
        <f t="shared" si="6"/>
        <v>0</v>
      </c>
      <c r="J39" s="119">
        <v>1733663</v>
      </c>
      <c r="K39" s="107">
        <f t="shared" si="7"/>
        <v>0</v>
      </c>
      <c r="L39" s="107">
        <f t="shared" si="8"/>
        <v>35302904</v>
      </c>
      <c r="M39" s="107">
        <f t="shared" si="9"/>
        <v>0</v>
      </c>
      <c r="N39" s="110"/>
    </row>
    <row r="40" spans="1:20" ht="22.5" customHeight="1">
      <c r="A40" s="101" t="s">
        <v>275</v>
      </c>
      <c r="B40" s="56" t="s">
        <v>49</v>
      </c>
      <c r="C40" s="101" t="s">
        <v>24</v>
      </c>
      <c r="D40" s="169"/>
      <c r="E40" s="101" t="s">
        <v>53</v>
      </c>
      <c r="F40" s="119">
        <v>32881624</v>
      </c>
      <c r="G40" s="107">
        <f t="shared" si="5"/>
        <v>0</v>
      </c>
      <c r="H40" s="119">
        <v>9231123</v>
      </c>
      <c r="I40" s="107">
        <f t="shared" si="6"/>
        <v>0</v>
      </c>
      <c r="J40" s="119">
        <v>1981912</v>
      </c>
      <c r="K40" s="107">
        <f t="shared" si="7"/>
        <v>0</v>
      </c>
      <c r="L40" s="107">
        <f t="shared" si="8"/>
        <v>44094659</v>
      </c>
      <c r="M40" s="107">
        <f t="shared" si="9"/>
        <v>0</v>
      </c>
      <c r="N40" s="110"/>
    </row>
    <row r="41" spans="1:20" ht="22.5" customHeight="1">
      <c r="A41" s="101" t="s">
        <v>278</v>
      </c>
      <c r="B41" s="56" t="s">
        <v>49</v>
      </c>
      <c r="C41" s="101" t="s">
        <v>28</v>
      </c>
      <c r="D41" s="169"/>
      <c r="E41" s="101" t="s">
        <v>53</v>
      </c>
      <c r="F41" s="119">
        <v>44317123</v>
      </c>
      <c r="G41" s="107">
        <f t="shared" si="5"/>
        <v>0</v>
      </c>
      <c r="H41" s="119">
        <v>11562746</v>
      </c>
      <c r="I41" s="107">
        <f t="shared" si="6"/>
        <v>0</v>
      </c>
      <c r="J41" s="119">
        <v>4659138</v>
      </c>
      <c r="K41" s="107">
        <f t="shared" si="7"/>
        <v>0</v>
      </c>
      <c r="L41" s="107">
        <f t="shared" si="8"/>
        <v>60539007</v>
      </c>
      <c r="M41" s="107">
        <f t="shared" si="9"/>
        <v>0</v>
      </c>
      <c r="N41" s="110"/>
    </row>
    <row r="42" spans="1:20" ht="22.5" customHeight="1">
      <c r="A42" s="101" t="s">
        <v>368</v>
      </c>
      <c r="B42" s="56" t="s">
        <v>49</v>
      </c>
      <c r="C42" s="101" t="s">
        <v>27</v>
      </c>
      <c r="D42" s="118"/>
      <c r="E42" s="101" t="s">
        <v>53</v>
      </c>
      <c r="F42" s="119">
        <v>47002938</v>
      </c>
      <c r="G42" s="107">
        <f t="shared" si="5"/>
        <v>0</v>
      </c>
      <c r="H42" s="119">
        <v>12161036</v>
      </c>
      <c r="I42" s="107">
        <f t="shared" si="6"/>
        <v>0</v>
      </c>
      <c r="J42" s="119">
        <v>4931649</v>
      </c>
      <c r="K42" s="107">
        <f t="shared" si="7"/>
        <v>0</v>
      </c>
      <c r="L42" s="107">
        <f t="shared" si="8"/>
        <v>64095623</v>
      </c>
      <c r="M42" s="107">
        <f t="shared" si="9"/>
        <v>0</v>
      </c>
      <c r="N42" s="110"/>
    </row>
    <row r="43" spans="1:20" ht="22.5" customHeight="1">
      <c r="A43" s="101" t="s">
        <v>369</v>
      </c>
      <c r="B43" s="56" t="s">
        <v>49</v>
      </c>
      <c r="C43" s="101" t="s">
        <v>25</v>
      </c>
      <c r="D43" s="118">
        <v>0</v>
      </c>
      <c r="E43" s="101" t="s">
        <v>53</v>
      </c>
      <c r="F43" s="119">
        <v>56158837</v>
      </c>
      <c r="G43" s="107">
        <f t="shared" si="5"/>
        <v>0</v>
      </c>
      <c r="H43" s="119">
        <v>12875632</v>
      </c>
      <c r="I43" s="107">
        <f t="shared" si="6"/>
        <v>0</v>
      </c>
      <c r="J43" s="119">
        <v>5363775</v>
      </c>
      <c r="K43" s="107">
        <f t="shared" si="7"/>
        <v>0</v>
      </c>
      <c r="L43" s="107">
        <f t="shared" si="8"/>
        <v>74398244</v>
      </c>
      <c r="M43" s="107">
        <f t="shared" si="9"/>
        <v>0</v>
      </c>
      <c r="N43" s="110"/>
    </row>
    <row r="44" spans="1:20" ht="22.5" customHeight="1">
      <c r="A44" s="101"/>
      <c r="B44" s="56" t="s">
        <v>116</v>
      </c>
      <c r="C44" s="101"/>
      <c r="D44" s="169">
        <f>SUM(D30:D43)</f>
        <v>0</v>
      </c>
      <c r="E44" s="101"/>
      <c r="F44" s="119"/>
      <c r="G44" s="107">
        <f>SUM(G30:G43)</f>
        <v>0</v>
      </c>
      <c r="H44" s="107"/>
      <c r="I44" s="107">
        <f>SUM(I30:I43)</f>
        <v>0</v>
      </c>
      <c r="J44" s="107"/>
      <c r="K44" s="107">
        <f>SUM(K30:K43)</f>
        <v>0</v>
      </c>
      <c r="L44" s="107"/>
      <c r="M44" s="107">
        <f>SUM(M30:M43)</f>
        <v>0</v>
      </c>
      <c r="N44" s="110"/>
    </row>
    <row r="45" spans="1:20" ht="22.5" customHeight="1">
      <c r="A45" s="102" t="s">
        <v>131</v>
      </c>
      <c r="B45" s="102" t="s">
        <v>133</v>
      </c>
      <c r="C45" s="103" t="s">
        <v>10</v>
      </c>
      <c r="D45" s="104">
        <v>0</v>
      </c>
      <c r="E45" s="105" t="s">
        <v>10</v>
      </c>
      <c r="F45" s="111"/>
      <c r="G45" s="111"/>
      <c r="H45" s="111"/>
      <c r="I45" s="111" t="s">
        <v>10</v>
      </c>
      <c r="J45" s="111" t="s">
        <v>10</v>
      </c>
      <c r="K45" s="111" t="s">
        <v>10</v>
      </c>
      <c r="L45" s="111" t="s">
        <v>10</v>
      </c>
      <c r="M45" s="111" t="s">
        <v>10</v>
      </c>
      <c r="N45" s="112" t="s">
        <v>10</v>
      </c>
    </row>
    <row r="46" spans="1:20" ht="22.5" customHeight="1">
      <c r="A46" s="101" t="s">
        <v>395</v>
      </c>
      <c r="B46" s="56" t="s">
        <v>132</v>
      </c>
      <c r="C46" s="101" t="s">
        <v>138</v>
      </c>
      <c r="D46" s="118">
        <v>0</v>
      </c>
      <c r="E46" s="101" t="s">
        <v>130</v>
      </c>
      <c r="F46" s="119">
        <v>26432884</v>
      </c>
      <c r="G46" s="107">
        <f t="shared" ref="G46:G50" si="10">D46*F46</f>
        <v>0</v>
      </c>
      <c r="H46" s="119">
        <v>1649432</v>
      </c>
      <c r="I46" s="107">
        <f t="shared" ref="I46:I50" si="11">D46*H46</f>
        <v>0</v>
      </c>
      <c r="J46" s="119">
        <v>419928</v>
      </c>
      <c r="K46" s="107">
        <f t="shared" ref="K46:K50" si="12">D46*J46</f>
        <v>0</v>
      </c>
      <c r="L46" s="107">
        <f t="shared" ref="L46:L50" si="13">F46+H46+J46</f>
        <v>28502244</v>
      </c>
      <c r="M46" s="107">
        <f t="shared" ref="M46:M50" si="14">D46*L46</f>
        <v>0</v>
      </c>
      <c r="N46" s="110"/>
    </row>
    <row r="47" spans="1:20" ht="22.5" customHeight="1">
      <c r="A47" s="101" t="s">
        <v>285</v>
      </c>
      <c r="B47" s="56" t="s">
        <v>132</v>
      </c>
      <c r="C47" s="101" t="s">
        <v>134</v>
      </c>
      <c r="D47" s="118">
        <v>0</v>
      </c>
      <c r="E47" s="101" t="s">
        <v>130</v>
      </c>
      <c r="F47" s="119">
        <v>58301697</v>
      </c>
      <c r="G47" s="107">
        <f t="shared" si="10"/>
        <v>0</v>
      </c>
      <c r="H47" s="119">
        <v>5130868</v>
      </c>
      <c r="I47" s="107">
        <f t="shared" si="11"/>
        <v>0</v>
      </c>
      <c r="J47" s="119">
        <v>2543989</v>
      </c>
      <c r="K47" s="107">
        <f t="shared" si="12"/>
        <v>0</v>
      </c>
      <c r="L47" s="107">
        <f t="shared" si="13"/>
        <v>65976554</v>
      </c>
      <c r="M47" s="107">
        <f t="shared" si="14"/>
        <v>0</v>
      </c>
      <c r="N47" s="110"/>
      <c r="P47" s="171"/>
      <c r="T47" s="171"/>
    </row>
    <row r="48" spans="1:20" ht="22.5" customHeight="1">
      <c r="A48" s="101" t="s">
        <v>371</v>
      </c>
      <c r="B48" s="56" t="s">
        <v>132</v>
      </c>
      <c r="C48" s="101" t="s">
        <v>119</v>
      </c>
      <c r="D48" s="118">
        <v>0</v>
      </c>
      <c r="E48" s="101" t="s">
        <v>130</v>
      </c>
      <c r="F48" s="119">
        <v>67170931</v>
      </c>
      <c r="G48" s="107">
        <f t="shared" si="10"/>
        <v>0</v>
      </c>
      <c r="H48" s="119">
        <v>5926788</v>
      </c>
      <c r="I48" s="107">
        <f t="shared" si="11"/>
        <v>0</v>
      </c>
      <c r="J48" s="119">
        <v>5128336</v>
      </c>
      <c r="K48" s="107">
        <f t="shared" si="12"/>
        <v>0</v>
      </c>
      <c r="L48" s="107">
        <f t="shared" si="13"/>
        <v>78226055</v>
      </c>
      <c r="M48" s="107">
        <f t="shared" si="14"/>
        <v>0</v>
      </c>
      <c r="N48" s="110"/>
      <c r="P48" s="171"/>
      <c r="T48" s="171"/>
    </row>
    <row r="49" spans="1:20" ht="22.5" customHeight="1">
      <c r="A49" s="101" t="s">
        <v>372</v>
      </c>
      <c r="B49" s="56" t="s">
        <v>132</v>
      </c>
      <c r="C49" s="101" t="s">
        <v>135</v>
      </c>
      <c r="D49" s="118"/>
      <c r="E49" s="101" t="s">
        <v>130</v>
      </c>
      <c r="F49" s="119">
        <v>91562155</v>
      </c>
      <c r="G49" s="107">
        <f t="shared" si="10"/>
        <v>0</v>
      </c>
      <c r="H49" s="119">
        <v>6754833</v>
      </c>
      <c r="I49" s="107">
        <f t="shared" si="11"/>
        <v>0</v>
      </c>
      <c r="J49" s="119">
        <v>6416064</v>
      </c>
      <c r="K49" s="107">
        <f t="shared" si="12"/>
        <v>0</v>
      </c>
      <c r="L49" s="107">
        <f t="shared" si="13"/>
        <v>104733052</v>
      </c>
      <c r="M49" s="107">
        <f t="shared" si="14"/>
        <v>0</v>
      </c>
      <c r="N49" s="110"/>
      <c r="P49" s="171"/>
      <c r="T49" s="171"/>
    </row>
    <row r="50" spans="1:20" ht="22.5" customHeight="1">
      <c r="A50" s="101" t="s">
        <v>373</v>
      </c>
      <c r="B50" s="56" t="s">
        <v>132</v>
      </c>
      <c r="C50" s="101" t="s">
        <v>136</v>
      </c>
      <c r="D50" s="118">
        <v>0</v>
      </c>
      <c r="E50" s="101" t="s">
        <v>130</v>
      </c>
      <c r="F50" s="119">
        <v>101618610</v>
      </c>
      <c r="G50" s="107">
        <f t="shared" si="10"/>
        <v>0</v>
      </c>
      <c r="H50" s="119">
        <v>7151107</v>
      </c>
      <c r="I50" s="107">
        <f t="shared" si="11"/>
        <v>0</v>
      </c>
      <c r="J50" s="119">
        <v>7086024</v>
      </c>
      <c r="K50" s="107">
        <f t="shared" si="12"/>
        <v>0</v>
      </c>
      <c r="L50" s="107">
        <f t="shared" si="13"/>
        <v>115855741</v>
      </c>
      <c r="M50" s="107">
        <f t="shared" si="14"/>
        <v>0</v>
      </c>
      <c r="N50" s="110"/>
      <c r="P50" s="171"/>
      <c r="T50" s="171"/>
    </row>
    <row r="51" spans="1:20" ht="22.5" customHeight="1">
      <c r="A51" s="101"/>
      <c r="B51" s="56" t="s">
        <v>116</v>
      </c>
      <c r="C51" s="101"/>
      <c r="D51" s="169">
        <f>SUM(D46:D50)</f>
        <v>0</v>
      </c>
      <c r="E51" s="101"/>
      <c r="F51" s="119"/>
      <c r="G51" s="107">
        <f>SUM(G46:G50)</f>
        <v>0</v>
      </c>
      <c r="H51" s="107"/>
      <c r="I51" s="107">
        <f>SUM(I46:I50)</f>
        <v>0</v>
      </c>
      <c r="J51" s="107"/>
      <c r="K51" s="107">
        <f>SUM(K46:K50)</f>
        <v>0</v>
      </c>
      <c r="L51" s="107"/>
      <c r="M51" s="107">
        <f>SUM(M46:M50)</f>
        <v>0</v>
      </c>
      <c r="N51" s="110"/>
    </row>
    <row r="52" spans="1:20" ht="22.5" customHeight="1">
      <c r="A52" s="102" t="s">
        <v>137</v>
      </c>
      <c r="B52" s="102" t="s">
        <v>140</v>
      </c>
      <c r="C52" s="103" t="s">
        <v>10</v>
      </c>
      <c r="D52" s="104">
        <v>0</v>
      </c>
      <c r="E52" s="105" t="s">
        <v>10</v>
      </c>
      <c r="F52" s="111"/>
      <c r="G52" s="111" t="s">
        <v>10</v>
      </c>
      <c r="H52" s="111"/>
      <c r="I52" s="111" t="s">
        <v>10</v>
      </c>
      <c r="J52" s="111" t="s">
        <v>10</v>
      </c>
      <c r="K52" s="111" t="s">
        <v>10</v>
      </c>
      <c r="L52" s="111" t="s">
        <v>10</v>
      </c>
      <c r="M52" s="111" t="s">
        <v>10</v>
      </c>
      <c r="N52" s="112" t="s">
        <v>10</v>
      </c>
    </row>
    <row r="53" spans="1:20" ht="22.5" customHeight="1">
      <c r="A53" s="101" t="s">
        <v>396</v>
      </c>
      <c r="B53" s="56" t="s">
        <v>132</v>
      </c>
      <c r="C53" s="101" t="s">
        <v>136</v>
      </c>
      <c r="D53" s="118">
        <v>0</v>
      </c>
      <c r="E53" s="101" t="s">
        <v>130</v>
      </c>
      <c r="F53" s="119">
        <v>101618610</v>
      </c>
      <c r="G53" s="107">
        <v>0</v>
      </c>
      <c r="H53" s="119">
        <v>12875632</v>
      </c>
      <c r="I53" s="107">
        <f t="shared" ref="I53" si="15">D53*H53</f>
        <v>0</v>
      </c>
      <c r="J53" s="107">
        <v>7086025</v>
      </c>
      <c r="K53" s="107">
        <f t="shared" ref="K53" si="16">D53*J53</f>
        <v>0</v>
      </c>
      <c r="L53" s="107">
        <f t="shared" ref="L53" si="17">F53+H53+J53</f>
        <v>121580267</v>
      </c>
      <c r="M53" s="107">
        <f t="shared" ref="M53" si="18">D53*L53</f>
        <v>0</v>
      </c>
      <c r="N53" s="110"/>
    </row>
    <row r="54" spans="1:20" ht="22.5" customHeight="1">
      <c r="A54" s="101"/>
      <c r="B54" s="56" t="s">
        <v>116</v>
      </c>
      <c r="C54" s="101"/>
      <c r="D54" s="169">
        <f>SUM(D53)</f>
        <v>0</v>
      </c>
      <c r="E54" s="101"/>
      <c r="F54" s="119"/>
      <c r="G54" s="107">
        <f>SUM(G53)</f>
        <v>0</v>
      </c>
      <c r="H54" s="107"/>
      <c r="I54" s="107">
        <f>SUM(I53)</f>
        <v>0</v>
      </c>
      <c r="J54" s="107"/>
      <c r="K54" s="107">
        <f>SUM(K53)</f>
        <v>0</v>
      </c>
      <c r="L54" s="107"/>
      <c r="M54" s="107">
        <f>SUM(M53)</f>
        <v>0</v>
      </c>
      <c r="N54" s="110"/>
    </row>
    <row r="55" spans="1:20" ht="22.5" customHeight="1">
      <c r="A55" s="102" t="s">
        <v>139</v>
      </c>
      <c r="B55" s="102" t="s">
        <v>120</v>
      </c>
      <c r="C55" s="103" t="s">
        <v>10</v>
      </c>
      <c r="D55" s="104">
        <v>0</v>
      </c>
      <c r="E55" s="105" t="s">
        <v>10</v>
      </c>
      <c r="F55" s="111"/>
      <c r="G55" s="111" t="s">
        <v>10</v>
      </c>
      <c r="H55" s="111"/>
      <c r="I55" s="111" t="s">
        <v>10</v>
      </c>
      <c r="J55" s="111" t="s">
        <v>10</v>
      </c>
      <c r="K55" s="111" t="s">
        <v>10</v>
      </c>
      <c r="L55" s="111" t="s">
        <v>10</v>
      </c>
      <c r="M55" s="111" t="s">
        <v>10</v>
      </c>
      <c r="N55" s="112" t="s">
        <v>10</v>
      </c>
    </row>
    <row r="56" spans="1:20" ht="22.5" customHeight="1">
      <c r="A56" s="101" t="s">
        <v>393</v>
      </c>
      <c r="B56" s="56" t="s">
        <v>21</v>
      </c>
      <c r="C56" s="101" t="s">
        <v>121</v>
      </c>
      <c r="D56" s="169"/>
      <c r="E56" s="101" t="s">
        <v>125</v>
      </c>
      <c r="F56" s="107">
        <v>0</v>
      </c>
      <c r="G56" s="107">
        <f t="shared" ref="G56:G59" si="19">D56*F56</f>
        <v>0</v>
      </c>
      <c r="H56" s="107">
        <v>37560</v>
      </c>
      <c r="I56" s="107">
        <f t="shared" ref="I56:I59" si="20">D56*H56</f>
        <v>0</v>
      </c>
      <c r="J56" s="107">
        <v>0</v>
      </c>
      <c r="K56" s="107">
        <f t="shared" ref="K56:K59" si="21">D56*J56</f>
        <v>0</v>
      </c>
      <c r="L56" s="107">
        <f t="shared" ref="L56:L59" si="22">F56+H56+J56</f>
        <v>37560</v>
      </c>
      <c r="M56" s="107">
        <f t="shared" ref="M56:M59" si="23">D56*L56</f>
        <v>0</v>
      </c>
      <c r="N56" s="110"/>
    </row>
    <row r="57" spans="1:20" ht="22.5" customHeight="1">
      <c r="A57" s="101" t="s">
        <v>376</v>
      </c>
      <c r="B57" s="56" t="s">
        <v>123</v>
      </c>
      <c r="C57" s="101" t="s">
        <v>121</v>
      </c>
      <c r="D57" s="169"/>
      <c r="E57" s="101" t="s">
        <v>125</v>
      </c>
      <c r="F57" s="107">
        <v>12998</v>
      </c>
      <c r="G57" s="107">
        <f t="shared" si="19"/>
        <v>0</v>
      </c>
      <c r="H57" s="107">
        <v>35841</v>
      </c>
      <c r="I57" s="107">
        <f t="shared" si="20"/>
        <v>0</v>
      </c>
      <c r="J57" s="107">
        <v>3899</v>
      </c>
      <c r="K57" s="107">
        <f t="shared" si="21"/>
        <v>0</v>
      </c>
      <c r="L57" s="107">
        <f t="shared" si="22"/>
        <v>52738</v>
      </c>
      <c r="M57" s="107">
        <f t="shared" si="23"/>
        <v>0</v>
      </c>
      <c r="N57" s="110"/>
    </row>
    <row r="58" spans="1:20" ht="22.5" customHeight="1">
      <c r="A58" s="101" t="s">
        <v>377</v>
      </c>
      <c r="B58" s="56" t="s">
        <v>124</v>
      </c>
      <c r="C58" s="101" t="s">
        <v>121</v>
      </c>
      <c r="D58" s="169"/>
      <c r="E58" s="101" t="s">
        <v>125</v>
      </c>
      <c r="F58" s="119">
        <v>0</v>
      </c>
      <c r="G58" s="107">
        <f t="shared" si="19"/>
        <v>0</v>
      </c>
      <c r="H58" s="107">
        <v>0</v>
      </c>
      <c r="I58" s="107">
        <f t="shared" si="20"/>
        <v>0</v>
      </c>
      <c r="J58" s="107">
        <v>98</v>
      </c>
      <c r="K58" s="107">
        <f t="shared" si="21"/>
        <v>0</v>
      </c>
      <c r="L58" s="107">
        <f t="shared" si="22"/>
        <v>98</v>
      </c>
      <c r="M58" s="107">
        <f t="shared" si="23"/>
        <v>0</v>
      </c>
      <c r="N58" s="110" t="s">
        <v>10</v>
      </c>
    </row>
    <row r="59" spans="1:20" ht="22.5" customHeight="1">
      <c r="A59" s="101" t="s">
        <v>378</v>
      </c>
      <c r="B59" s="56" t="s">
        <v>122</v>
      </c>
      <c r="C59" s="101" t="s">
        <v>121</v>
      </c>
      <c r="D59" s="169"/>
      <c r="E59" s="101" t="s">
        <v>125</v>
      </c>
      <c r="F59" s="119">
        <v>10216</v>
      </c>
      <c r="G59" s="107">
        <f t="shared" si="19"/>
        <v>0</v>
      </c>
      <c r="H59" s="107">
        <v>58179</v>
      </c>
      <c r="I59" s="107">
        <f t="shared" si="20"/>
        <v>0</v>
      </c>
      <c r="J59" s="107">
        <v>49420</v>
      </c>
      <c r="K59" s="107">
        <f t="shared" si="21"/>
        <v>0</v>
      </c>
      <c r="L59" s="107">
        <f t="shared" si="22"/>
        <v>117815</v>
      </c>
      <c r="M59" s="107">
        <f t="shared" si="23"/>
        <v>0</v>
      </c>
      <c r="N59" s="110" t="s">
        <v>10</v>
      </c>
    </row>
    <row r="60" spans="1:20" ht="22.5" customHeight="1">
      <c r="A60" s="101"/>
      <c r="B60" s="56" t="s">
        <v>116</v>
      </c>
      <c r="C60" s="101"/>
      <c r="D60" s="169">
        <f>SUM(D56:D59)</f>
        <v>0</v>
      </c>
      <c r="E60" s="101"/>
      <c r="F60" s="119"/>
      <c r="G60" s="119">
        <f>SUM(G56:G59)</f>
        <v>0</v>
      </c>
      <c r="H60" s="119"/>
      <c r="I60" s="119">
        <f>SUM(I56:I59)</f>
        <v>0</v>
      </c>
      <c r="J60" s="119"/>
      <c r="K60" s="119">
        <f>SUM(K56:K59)</f>
        <v>0</v>
      </c>
      <c r="L60" s="119"/>
      <c r="M60" s="119">
        <f>SUM(M56:M59)</f>
        <v>0</v>
      </c>
      <c r="N60" s="110"/>
    </row>
    <row r="61" spans="1:20" ht="22.5" customHeight="1">
      <c r="A61" s="106" t="s">
        <v>45</v>
      </c>
      <c r="B61" s="106" t="s">
        <v>10</v>
      </c>
      <c r="C61" s="106" t="s">
        <v>10</v>
      </c>
      <c r="D61" s="108">
        <v>0</v>
      </c>
      <c r="E61" s="109" t="s">
        <v>10</v>
      </c>
      <c r="F61" s="113">
        <v>0</v>
      </c>
      <c r="G61" s="113">
        <f>G28+G44+G51+G60</f>
        <v>359801184</v>
      </c>
      <c r="H61" s="113">
        <v>0</v>
      </c>
      <c r="I61" s="113">
        <f>I28+I44+I51+I60</f>
        <v>55136360</v>
      </c>
      <c r="J61" s="113">
        <v>0</v>
      </c>
      <c r="K61" s="113">
        <f>K28+K44+K51+K60</f>
        <v>23394164</v>
      </c>
      <c r="L61" s="113">
        <v>0</v>
      </c>
      <c r="M61" s="113">
        <f>M28+M44+M51+M60</f>
        <v>438331708</v>
      </c>
      <c r="N61" s="114" t="s">
        <v>10</v>
      </c>
    </row>
    <row r="62" spans="1:20">
      <c r="D62" s="295">
        <f>SUM(D28,D44,D51,D54)</f>
        <v>10</v>
      </c>
    </row>
  </sheetData>
  <autoFilter ref="A4:N61"/>
  <mergeCells count="2">
    <mergeCell ref="A1:N1"/>
    <mergeCell ref="M2:N2"/>
  </mergeCells>
  <phoneticPr fontId="14" type="noConversion"/>
  <printOptions horizontalCentered="1"/>
  <pageMargins left="0.51181102362204722" right="0.51181102362204722" top="0.82677165354330717" bottom="0.86614173228346458" header="0.51181102362204722" footer="0.59055118110236227"/>
  <pageSetup paperSize="9" scale="63" fitToHeight="0" orientation="landscape" horizontalDpi="360" verticalDpi="36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FF"/>
  </sheetPr>
  <dimension ref="A1:Q18"/>
  <sheetViews>
    <sheetView view="pageBreakPreview" zoomScale="85" zoomScaleNormal="100" zoomScaleSheetLayoutView="85" workbookViewId="0">
      <selection activeCell="D21" sqref="D21"/>
    </sheetView>
  </sheetViews>
  <sheetFormatPr defaultRowHeight="16.5"/>
  <cols>
    <col min="1" max="1" width="10.125" style="268" customWidth="1"/>
    <col min="2" max="2" width="10.625" style="268" customWidth="1"/>
    <col min="3" max="3" width="8.25" style="268" customWidth="1"/>
    <col min="4" max="4" width="20.375" style="268" customWidth="1"/>
    <col min="5" max="5" width="10.625" style="268" customWidth="1"/>
    <col min="6" max="7" width="11.5" style="268" customWidth="1"/>
    <col min="8" max="8" width="55.5" style="268" customWidth="1"/>
    <col min="9" max="9" width="18" style="268" bestFit="1" customWidth="1"/>
    <col min="10" max="16384" width="9" style="268"/>
  </cols>
  <sheetData>
    <row r="1" spans="1:17" s="260" customFormat="1" ht="35.1" customHeight="1">
      <c r="A1" s="365" t="s">
        <v>411</v>
      </c>
      <c r="B1" s="366"/>
      <c r="C1" s="366"/>
      <c r="D1" s="366"/>
      <c r="E1" s="366"/>
      <c r="F1" s="366"/>
      <c r="G1" s="366"/>
      <c r="H1" s="366"/>
      <c r="I1" s="367"/>
      <c r="J1" s="259"/>
      <c r="K1" s="259"/>
      <c r="L1" s="259"/>
      <c r="M1" s="259"/>
      <c r="N1" s="259"/>
    </row>
    <row r="2" spans="1:17" s="263" customFormat="1" ht="19.5" customHeight="1">
      <c r="A2" s="362" t="s">
        <v>341</v>
      </c>
      <c r="B2" s="363"/>
      <c r="C2" s="363"/>
      <c r="D2" s="363"/>
      <c r="E2" s="363"/>
      <c r="F2" s="261"/>
      <c r="G2" s="261"/>
      <c r="H2" s="261"/>
      <c r="I2" s="262" t="s">
        <v>442</v>
      </c>
      <c r="J2" s="261"/>
      <c r="K2" s="261"/>
      <c r="L2" s="261"/>
    </row>
    <row r="3" spans="1:17" ht="28.5" customHeight="1">
      <c r="A3" s="264" t="s">
        <v>330</v>
      </c>
      <c r="B3" s="265" t="s">
        <v>331</v>
      </c>
      <c r="C3" s="265" t="s">
        <v>332</v>
      </c>
      <c r="D3" s="265" t="s">
        <v>333</v>
      </c>
      <c r="E3" s="265" t="s">
        <v>334</v>
      </c>
      <c r="F3" s="266" t="s">
        <v>335</v>
      </c>
      <c r="G3" s="266" t="s">
        <v>336</v>
      </c>
      <c r="H3" s="266" t="s">
        <v>337</v>
      </c>
      <c r="I3" s="267" t="s">
        <v>338</v>
      </c>
    </row>
    <row r="4" spans="1:17" ht="28.5" customHeight="1">
      <c r="A4" s="269" t="s">
        <v>343</v>
      </c>
      <c r="B4" s="266" t="s">
        <v>339</v>
      </c>
      <c r="C4" s="266">
        <v>2026</v>
      </c>
      <c r="D4" s="266" t="s">
        <v>443</v>
      </c>
      <c r="E4" s="270">
        <v>700</v>
      </c>
      <c r="F4" s="266">
        <v>2</v>
      </c>
      <c r="G4" s="266" t="s">
        <v>340</v>
      </c>
      <c r="H4" s="266" t="s">
        <v>422</v>
      </c>
      <c r="I4" s="267"/>
    </row>
    <row r="5" spans="1:17" ht="28.5" customHeight="1">
      <c r="A5" s="269" t="s">
        <v>343</v>
      </c>
      <c r="B5" s="266" t="s">
        <v>339</v>
      </c>
      <c r="C5" s="266">
        <v>2026</v>
      </c>
      <c r="D5" s="266" t="s">
        <v>444</v>
      </c>
      <c r="E5" s="270">
        <v>700</v>
      </c>
      <c r="F5" s="266">
        <v>2</v>
      </c>
      <c r="G5" s="266" t="s">
        <v>340</v>
      </c>
      <c r="H5" s="266" t="s">
        <v>422</v>
      </c>
      <c r="I5" s="271"/>
    </row>
    <row r="6" spans="1:17" ht="28.5" customHeight="1">
      <c r="A6" s="269" t="s">
        <v>343</v>
      </c>
      <c r="B6" s="266" t="s">
        <v>339</v>
      </c>
      <c r="C6" s="266">
        <v>2026</v>
      </c>
      <c r="D6" s="266" t="s">
        <v>445</v>
      </c>
      <c r="E6" s="270">
        <v>700</v>
      </c>
      <c r="F6" s="266">
        <v>2</v>
      </c>
      <c r="G6" s="266" t="s">
        <v>340</v>
      </c>
      <c r="H6" s="266" t="s">
        <v>423</v>
      </c>
      <c r="I6" s="274"/>
    </row>
    <row r="7" spans="1:17" ht="28.5" customHeight="1">
      <c r="A7" s="269" t="s">
        <v>343</v>
      </c>
      <c r="B7" s="266" t="s">
        <v>339</v>
      </c>
      <c r="C7" s="266">
        <v>2026</v>
      </c>
      <c r="D7" s="272" t="s">
        <v>445</v>
      </c>
      <c r="E7" s="270">
        <v>500</v>
      </c>
      <c r="F7" s="266">
        <v>2</v>
      </c>
      <c r="G7" s="266" t="s">
        <v>340</v>
      </c>
      <c r="H7" s="266" t="s">
        <v>423</v>
      </c>
      <c r="I7" s="274"/>
    </row>
    <row r="8" spans="1:17" ht="28.5" customHeight="1">
      <c r="A8" s="269" t="s">
        <v>343</v>
      </c>
      <c r="B8" s="266" t="s">
        <v>339</v>
      </c>
      <c r="C8" s="266">
        <v>2026</v>
      </c>
      <c r="D8" s="272" t="s">
        <v>445</v>
      </c>
      <c r="E8" s="273">
        <v>700</v>
      </c>
      <c r="F8" s="266">
        <v>2</v>
      </c>
      <c r="G8" s="266" t="s">
        <v>340</v>
      </c>
      <c r="H8" s="266" t="s">
        <v>423</v>
      </c>
      <c r="I8" s="274"/>
    </row>
    <row r="9" spans="1:17" ht="28.5" customHeight="1">
      <c r="A9" s="269"/>
      <c r="B9" s="266"/>
      <c r="C9" s="266"/>
      <c r="D9" s="272"/>
      <c r="E9" s="273"/>
      <c r="F9" s="266"/>
      <c r="G9" s="266"/>
      <c r="H9" s="272"/>
      <c r="I9" s="274"/>
    </row>
    <row r="10" spans="1:17" ht="28.5" customHeight="1">
      <c r="A10" s="269"/>
      <c r="B10" s="266"/>
      <c r="C10" s="266"/>
      <c r="D10" s="272"/>
      <c r="E10" s="273"/>
      <c r="F10" s="266"/>
      <c r="G10" s="266"/>
      <c r="H10" s="272"/>
      <c r="I10" s="274"/>
      <c r="Q10" s="277"/>
    </row>
    <row r="11" spans="1:17" ht="28.5" customHeight="1">
      <c r="A11" s="269"/>
      <c r="B11" s="266"/>
      <c r="C11" s="266"/>
      <c r="D11" s="272"/>
      <c r="E11" s="273"/>
      <c r="F11" s="266"/>
      <c r="G11" s="266"/>
      <c r="H11" s="272"/>
      <c r="I11" s="274"/>
    </row>
    <row r="12" spans="1:17" ht="28.5" customHeight="1">
      <c r="A12" s="275"/>
      <c r="B12" s="276"/>
      <c r="C12" s="272"/>
      <c r="D12" s="272"/>
      <c r="E12" s="273"/>
      <c r="F12" s="272"/>
      <c r="G12" s="272"/>
      <c r="H12" s="272"/>
      <c r="I12" s="274"/>
    </row>
    <row r="13" spans="1:17" ht="28.5" customHeight="1" thickBot="1">
      <c r="A13" s="278"/>
      <c r="B13" s="279"/>
      <c r="C13" s="280"/>
      <c r="D13" s="280"/>
      <c r="E13" s="281"/>
      <c r="F13" s="280"/>
      <c r="G13" s="282"/>
      <c r="H13" s="282"/>
      <c r="I13" s="283"/>
    </row>
    <row r="14" spans="1:17" ht="27.75" customHeight="1">
      <c r="F14" s="268">
        <f>SUM(F4:F13)</f>
        <v>10</v>
      </c>
    </row>
    <row r="18" spans="8:8">
      <c r="H18" s="268" t="s">
        <v>359</v>
      </c>
    </row>
  </sheetData>
  <mergeCells count="2">
    <mergeCell ref="A1:I1"/>
    <mergeCell ref="A2:E2"/>
  </mergeCells>
  <phoneticPr fontId="14" type="noConversion"/>
  <pageMargins left="0.7" right="0.7" top="0.75" bottom="0.75" header="0.3" footer="0.3"/>
  <pageSetup paperSize="9" scale="5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DN41"/>
  <sheetViews>
    <sheetView view="pageBreakPreview" zoomScale="85" zoomScaleNormal="90" zoomScaleSheetLayoutView="85" workbookViewId="0">
      <pane xSplit="10" ySplit="3" topLeftCell="K17" activePane="bottomRight" state="frozen"/>
      <selection activeCell="A2" sqref="A2:E2"/>
      <selection pane="topRight" activeCell="A2" sqref="A2:E2"/>
      <selection pane="bottomLeft" activeCell="A2" sqref="A2:E2"/>
      <selection pane="bottomRight" activeCell="K32" sqref="K32"/>
    </sheetView>
  </sheetViews>
  <sheetFormatPr defaultRowHeight="34.700000000000003" customHeight="1"/>
  <cols>
    <col min="1" max="1" width="4.625" style="1" customWidth="1"/>
    <col min="2" max="2" width="27.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4.625" style="38" customWidth="1"/>
    <col min="8" max="8" width="10.625" style="40" customWidth="1"/>
    <col min="9" max="9" width="9.875" style="38" customWidth="1"/>
    <col min="10" max="10" width="18.125" style="38" bestFit="1" customWidth="1"/>
    <col min="11" max="11" width="18.125" style="40" bestFit="1" customWidth="1"/>
    <col min="12" max="12" width="18.125" style="40" customWidth="1"/>
    <col min="13" max="13" width="9.625" style="5" customWidth="1"/>
    <col min="14" max="233" width="9" style="1"/>
    <col min="234" max="234" width="4.625" style="1" customWidth="1"/>
    <col min="235" max="235" width="34.625" style="1" customWidth="1"/>
    <col min="236" max="236" width="11.625" style="1" customWidth="1"/>
    <col min="237" max="238" width="6.625" style="1" customWidth="1"/>
    <col min="239" max="239" width="10.625" style="1" customWidth="1"/>
    <col min="240" max="240" width="14.625" style="1" customWidth="1"/>
    <col min="241" max="241" width="10.625" style="1" customWidth="1"/>
    <col min="242" max="242" width="14.625" style="1" customWidth="1"/>
    <col min="243" max="243" width="10.625" style="1" customWidth="1"/>
    <col min="244" max="244" width="14.625" style="1" customWidth="1"/>
    <col min="245" max="245" width="10.625" style="1" customWidth="1"/>
    <col min="246" max="246" width="18.625" style="1" customWidth="1"/>
    <col min="247" max="247" width="9.625" style="1" customWidth="1"/>
    <col min="248" max="248" width="10.5" style="1" customWidth="1"/>
    <col min="249" max="249" width="20.375" style="1" bestFit="1" customWidth="1"/>
    <col min="250" max="250" width="12.5" style="1" customWidth="1"/>
    <col min="251" max="251" width="13.125" style="1" customWidth="1"/>
    <col min="252" max="256" width="9" style="1"/>
    <col min="257" max="257" width="11.25" style="1" bestFit="1" customWidth="1"/>
    <col min="258" max="258" width="11.625" style="1" bestFit="1" customWidth="1"/>
    <col min="259" max="489" width="9" style="1"/>
    <col min="490" max="490" width="4.625" style="1" customWidth="1"/>
    <col min="491" max="491" width="34.625" style="1" customWidth="1"/>
    <col min="492" max="492" width="11.625" style="1" customWidth="1"/>
    <col min="493" max="494" width="6.625" style="1" customWidth="1"/>
    <col min="495" max="495" width="10.625" style="1" customWidth="1"/>
    <col min="496" max="496" width="14.625" style="1" customWidth="1"/>
    <col min="497" max="497" width="10.625" style="1" customWidth="1"/>
    <col min="498" max="498" width="14.625" style="1" customWidth="1"/>
    <col min="499" max="499" width="10.625" style="1" customWidth="1"/>
    <col min="500" max="500" width="14.625" style="1" customWidth="1"/>
    <col min="501" max="501" width="10.625" style="1" customWidth="1"/>
    <col min="502" max="502" width="18.625" style="1" customWidth="1"/>
    <col min="503" max="503" width="9.625" style="1" customWidth="1"/>
    <col min="504" max="504" width="10.5" style="1" customWidth="1"/>
    <col min="505" max="505" width="20.375" style="1" bestFit="1" customWidth="1"/>
    <col min="506" max="506" width="12.5" style="1" customWidth="1"/>
    <col min="507" max="507" width="13.125" style="1" customWidth="1"/>
    <col min="508" max="512" width="9" style="1"/>
    <col min="513" max="513" width="11.25" style="1" bestFit="1" customWidth="1"/>
    <col min="514" max="514" width="11.625" style="1" bestFit="1" customWidth="1"/>
    <col min="515" max="745" width="9" style="1"/>
    <col min="746" max="746" width="4.625" style="1" customWidth="1"/>
    <col min="747" max="747" width="34.625" style="1" customWidth="1"/>
    <col min="748" max="748" width="11.625" style="1" customWidth="1"/>
    <col min="749" max="750" width="6.625" style="1" customWidth="1"/>
    <col min="751" max="751" width="10.625" style="1" customWidth="1"/>
    <col min="752" max="752" width="14.625" style="1" customWidth="1"/>
    <col min="753" max="753" width="10.625" style="1" customWidth="1"/>
    <col min="754" max="754" width="14.625" style="1" customWidth="1"/>
    <col min="755" max="755" width="10.625" style="1" customWidth="1"/>
    <col min="756" max="756" width="14.625" style="1" customWidth="1"/>
    <col min="757" max="757" width="10.625" style="1" customWidth="1"/>
    <col min="758" max="758" width="18.625" style="1" customWidth="1"/>
    <col min="759" max="759" width="9.625" style="1" customWidth="1"/>
    <col min="760" max="760" width="10.5" style="1" customWidth="1"/>
    <col min="761" max="761" width="20.375" style="1" bestFit="1" customWidth="1"/>
    <col min="762" max="762" width="12.5" style="1" customWidth="1"/>
    <col min="763" max="763" width="13.125" style="1" customWidth="1"/>
    <col min="764" max="768" width="9" style="1"/>
    <col min="769" max="769" width="11.25" style="1" bestFit="1" customWidth="1"/>
    <col min="770" max="770" width="11.625" style="1" bestFit="1" customWidth="1"/>
    <col min="771" max="1001" width="9" style="1"/>
    <col min="1002" max="1002" width="4.625" style="1" customWidth="1"/>
    <col min="1003" max="1003" width="34.625" style="1" customWidth="1"/>
    <col min="1004" max="1004" width="11.625" style="1" customWidth="1"/>
    <col min="1005" max="1006" width="6.625" style="1" customWidth="1"/>
    <col min="1007" max="1007" width="10.625" style="1" customWidth="1"/>
    <col min="1008" max="1008" width="14.625" style="1" customWidth="1"/>
    <col min="1009" max="1009" width="10.625" style="1" customWidth="1"/>
    <col min="1010" max="1010" width="14.625" style="1" customWidth="1"/>
    <col min="1011" max="1011" width="10.625" style="1" customWidth="1"/>
    <col min="1012" max="1012" width="14.625" style="1" customWidth="1"/>
    <col min="1013" max="1013" width="10.625" style="1" customWidth="1"/>
    <col min="1014" max="1014" width="18.625" style="1" customWidth="1"/>
    <col min="1015" max="1015" width="9.625" style="1" customWidth="1"/>
    <col min="1016" max="1016" width="10.5" style="1" customWidth="1"/>
    <col min="1017" max="1017" width="20.375" style="1" bestFit="1" customWidth="1"/>
    <col min="1018" max="1018" width="12.5" style="1" customWidth="1"/>
    <col min="1019" max="1019" width="13.125" style="1" customWidth="1"/>
    <col min="1020" max="1024" width="9" style="1"/>
    <col min="1025" max="1025" width="11.25" style="1" bestFit="1" customWidth="1"/>
    <col min="1026" max="1026" width="11.625" style="1" bestFit="1" customWidth="1"/>
    <col min="1027" max="1257" width="9" style="1"/>
    <col min="1258" max="1258" width="4.625" style="1" customWidth="1"/>
    <col min="1259" max="1259" width="34.625" style="1" customWidth="1"/>
    <col min="1260" max="1260" width="11.625" style="1" customWidth="1"/>
    <col min="1261" max="1262" width="6.625" style="1" customWidth="1"/>
    <col min="1263" max="1263" width="10.625" style="1" customWidth="1"/>
    <col min="1264" max="1264" width="14.625" style="1" customWidth="1"/>
    <col min="1265" max="1265" width="10.625" style="1" customWidth="1"/>
    <col min="1266" max="1266" width="14.625" style="1" customWidth="1"/>
    <col min="1267" max="1267" width="10.625" style="1" customWidth="1"/>
    <col min="1268" max="1268" width="14.625" style="1" customWidth="1"/>
    <col min="1269" max="1269" width="10.625" style="1" customWidth="1"/>
    <col min="1270" max="1270" width="18.625" style="1" customWidth="1"/>
    <col min="1271" max="1271" width="9.625" style="1" customWidth="1"/>
    <col min="1272" max="1272" width="10.5" style="1" customWidth="1"/>
    <col min="1273" max="1273" width="20.375" style="1" bestFit="1" customWidth="1"/>
    <col min="1274" max="1274" width="12.5" style="1" customWidth="1"/>
    <col min="1275" max="1275" width="13.125" style="1" customWidth="1"/>
    <col min="1276" max="1280" width="9" style="1"/>
    <col min="1281" max="1281" width="11.25" style="1" bestFit="1" customWidth="1"/>
    <col min="1282" max="1282" width="11.625" style="1" bestFit="1" customWidth="1"/>
    <col min="1283" max="1513" width="9" style="1"/>
    <col min="1514" max="1514" width="4.625" style="1" customWidth="1"/>
    <col min="1515" max="1515" width="34.625" style="1" customWidth="1"/>
    <col min="1516" max="1516" width="11.625" style="1" customWidth="1"/>
    <col min="1517" max="1518" width="6.625" style="1" customWidth="1"/>
    <col min="1519" max="1519" width="10.625" style="1" customWidth="1"/>
    <col min="1520" max="1520" width="14.625" style="1" customWidth="1"/>
    <col min="1521" max="1521" width="10.625" style="1" customWidth="1"/>
    <col min="1522" max="1522" width="14.625" style="1" customWidth="1"/>
    <col min="1523" max="1523" width="10.625" style="1" customWidth="1"/>
    <col min="1524" max="1524" width="14.625" style="1" customWidth="1"/>
    <col min="1525" max="1525" width="10.625" style="1" customWidth="1"/>
    <col min="1526" max="1526" width="18.625" style="1" customWidth="1"/>
    <col min="1527" max="1527" width="9.625" style="1" customWidth="1"/>
    <col min="1528" max="1528" width="10.5" style="1" customWidth="1"/>
    <col min="1529" max="1529" width="20.375" style="1" bestFit="1" customWidth="1"/>
    <col min="1530" max="1530" width="12.5" style="1" customWidth="1"/>
    <col min="1531" max="1531" width="13.125" style="1" customWidth="1"/>
    <col min="1532" max="1536" width="9" style="1"/>
    <col min="1537" max="1537" width="11.25" style="1" bestFit="1" customWidth="1"/>
    <col min="1538" max="1538" width="11.625" style="1" bestFit="1" customWidth="1"/>
    <col min="1539" max="1769" width="9" style="1"/>
    <col min="1770" max="1770" width="4.625" style="1" customWidth="1"/>
    <col min="1771" max="1771" width="34.625" style="1" customWidth="1"/>
    <col min="1772" max="1772" width="11.625" style="1" customWidth="1"/>
    <col min="1773" max="1774" width="6.625" style="1" customWidth="1"/>
    <col min="1775" max="1775" width="10.625" style="1" customWidth="1"/>
    <col min="1776" max="1776" width="14.625" style="1" customWidth="1"/>
    <col min="1777" max="1777" width="10.625" style="1" customWidth="1"/>
    <col min="1778" max="1778" width="14.625" style="1" customWidth="1"/>
    <col min="1779" max="1779" width="10.625" style="1" customWidth="1"/>
    <col min="1780" max="1780" width="14.625" style="1" customWidth="1"/>
    <col min="1781" max="1781" width="10.625" style="1" customWidth="1"/>
    <col min="1782" max="1782" width="18.625" style="1" customWidth="1"/>
    <col min="1783" max="1783" width="9.625" style="1" customWidth="1"/>
    <col min="1784" max="1784" width="10.5" style="1" customWidth="1"/>
    <col min="1785" max="1785" width="20.375" style="1" bestFit="1" customWidth="1"/>
    <col min="1786" max="1786" width="12.5" style="1" customWidth="1"/>
    <col min="1787" max="1787" width="13.125" style="1" customWidth="1"/>
    <col min="1788" max="1792" width="9" style="1"/>
    <col min="1793" max="1793" width="11.25" style="1" bestFit="1" customWidth="1"/>
    <col min="1794" max="1794" width="11.625" style="1" bestFit="1" customWidth="1"/>
    <col min="1795" max="2025" width="9" style="1"/>
    <col min="2026" max="2026" width="4.625" style="1" customWidth="1"/>
    <col min="2027" max="2027" width="34.625" style="1" customWidth="1"/>
    <col min="2028" max="2028" width="11.625" style="1" customWidth="1"/>
    <col min="2029" max="2030" width="6.625" style="1" customWidth="1"/>
    <col min="2031" max="2031" width="10.625" style="1" customWidth="1"/>
    <col min="2032" max="2032" width="14.625" style="1" customWidth="1"/>
    <col min="2033" max="2033" width="10.625" style="1" customWidth="1"/>
    <col min="2034" max="2034" width="14.625" style="1" customWidth="1"/>
    <col min="2035" max="2035" width="10.625" style="1" customWidth="1"/>
    <col min="2036" max="2036" width="14.625" style="1" customWidth="1"/>
    <col min="2037" max="2037" width="10.625" style="1" customWidth="1"/>
    <col min="2038" max="2038" width="18.625" style="1" customWidth="1"/>
    <col min="2039" max="2039" width="9.625" style="1" customWidth="1"/>
    <col min="2040" max="2040" width="10.5" style="1" customWidth="1"/>
    <col min="2041" max="2041" width="20.375" style="1" bestFit="1" customWidth="1"/>
    <col min="2042" max="2042" width="12.5" style="1" customWidth="1"/>
    <col min="2043" max="2043" width="13.125" style="1" customWidth="1"/>
    <col min="2044" max="2048" width="9" style="1"/>
    <col min="2049" max="2049" width="11.25" style="1" bestFit="1" customWidth="1"/>
    <col min="2050" max="2050" width="11.625" style="1" bestFit="1" customWidth="1"/>
    <col min="2051" max="2281" width="9" style="1"/>
    <col min="2282" max="2282" width="4.625" style="1" customWidth="1"/>
    <col min="2283" max="2283" width="34.625" style="1" customWidth="1"/>
    <col min="2284" max="2284" width="11.625" style="1" customWidth="1"/>
    <col min="2285" max="2286" width="6.625" style="1" customWidth="1"/>
    <col min="2287" max="2287" width="10.625" style="1" customWidth="1"/>
    <col min="2288" max="2288" width="14.625" style="1" customWidth="1"/>
    <col min="2289" max="2289" width="10.625" style="1" customWidth="1"/>
    <col min="2290" max="2290" width="14.625" style="1" customWidth="1"/>
    <col min="2291" max="2291" width="10.625" style="1" customWidth="1"/>
    <col min="2292" max="2292" width="14.625" style="1" customWidth="1"/>
    <col min="2293" max="2293" width="10.625" style="1" customWidth="1"/>
    <col min="2294" max="2294" width="18.625" style="1" customWidth="1"/>
    <col min="2295" max="2295" width="9.625" style="1" customWidth="1"/>
    <col min="2296" max="2296" width="10.5" style="1" customWidth="1"/>
    <col min="2297" max="2297" width="20.375" style="1" bestFit="1" customWidth="1"/>
    <col min="2298" max="2298" width="12.5" style="1" customWidth="1"/>
    <col min="2299" max="2299" width="13.125" style="1" customWidth="1"/>
    <col min="2300" max="2304" width="9" style="1"/>
    <col min="2305" max="2305" width="11.25" style="1" bestFit="1" customWidth="1"/>
    <col min="2306" max="2306" width="11.625" style="1" bestFit="1" customWidth="1"/>
    <col min="2307" max="2537" width="9" style="1"/>
    <col min="2538" max="2538" width="4.625" style="1" customWidth="1"/>
    <col min="2539" max="2539" width="34.625" style="1" customWidth="1"/>
    <col min="2540" max="2540" width="11.625" style="1" customWidth="1"/>
    <col min="2541" max="2542" width="6.625" style="1" customWidth="1"/>
    <col min="2543" max="2543" width="10.625" style="1" customWidth="1"/>
    <col min="2544" max="2544" width="14.625" style="1" customWidth="1"/>
    <col min="2545" max="2545" width="10.625" style="1" customWidth="1"/>
    <col min="2546" max="2546" width="14.625" style="1" customWidth="1"/>
    <col min="2547" max="2547" width="10.625" style="1" customWidth="1"/>
    <col min="2548" max="2548" width="14.625" style="1" customWidth="1"/>
    <col min="2549" max="2549" width="10.625" style="1" customWidth="1"/>
    <col min="2550" max="2550" width="18.625" style="1" customWidth="1"/>
    <col min="2551" max="2551" width="9.625" style="1" customWidth="1"/>
    <col min="2552" max="2552" width="10.5" style="1" customWidth="1"/>
    <col min="2553" max="2553" width="20.375" style="1" bestFit="1" customWidth="1"/>
    <col min="2554" max="2554" width="12.5" style="1" customWidth="1"/>
    <col min="2555" max="2555" width="13.125" style="1" customWidth="1"/>
    <col min="2556" max="2560" width="9" style="1"/>
    <col min="2561" max="2561" width="11.25" style="1" bestFit="1" customWidth="1"/>
    <col min="2562" max="2562" width="11.625" style="1" bestFit="1" customWidth="1"/>
    <col min="2563" max="2793" width="9" style="1"/>
    <col min="2794" max="2794" width="4.625" style="1" customWidth="1"/>
    <col min="2795" max="2795" width="34.625" style="1" customWidth="1"/>
    <col min="2796" max="2796" width="11.625" style="1" customWidth="1"/>
    <col min="2797" max="2798" width="6.625" style="1" customWidth="1"/>
    <col min="2799" max="2799" width="10.625" style="1" customWidth="1"/>
    <col min="2800" max="2800" width="14.625" style="1" customWidth="1"/>
    <col min="2801" max="2801" width="10.625" style="1" customWidth="1"/>
    <col min="2802" max="2802" width="14.625" style="1" customWidth="1"/>
    <col min="2803" max="2803" width="10.625" style="1" customWidth="1"/>
    <col min="2804" max="2804" width="14.625" style="1" customWidth="1"/>
    <col min="2805" max="2805" width="10.625" style="1" customWidth="1"/>
    <col min="2806" max="2806" width="18.625" style="1" customWidth="1"/>
    <col min="2807" max="2807" width="9.625" style="1" customWidth="1"/>
    <col min="2808" max="2808" width="10.5" style="1" customWidth="1"/>
    <col min="2809" max="2809" width="20.375" style="1" bestFit="1" customWidth="1"/>
    <col min="2810" max="2810" width="12.5" style="1" customWidth="1"/>
    <col min="2811" max="2811" width="13.125" style="1" customWidth="1"/>
    <col min="2812" max="2816" width="9" style="1"/>
    <col min="2817" max="2817" width="11.25" style="1" bestFit="1" customWidth="1"/>
    <col min="2818" max="2818" width="11.625" style="1" bestFit="1" customWidth="1"/>
    <col min="2819" max="3049" width="9" style="1"/>
    <col min="3050" max="3050" width="4.625" style="1" customWidth="1"/>
    <col min="3051" max="3051" width="34.625" style="1" customWidth="1"/>
    <col min="3052" max="3052" width="11.625" style="1" customWidth="1"/>
    <col min="3053" max="3054" width="6.625" style="1" customWidth="1"/>
    <col min="3055" max="3055" width="10.625" style="1" customWidth="1"/>
    <col min="3056" max="3056" width="14.625" style="1" customWidth="1"/>
    <col min="3057" max="3057" width="10.625" style="1" customWidth="1"/>
    <col min="3058" max="3058" width="14.625" style="1" customWidth="1"/>
    <col min="3059" max="3059" width="10.625" style="1" customWidth="1"/>
    <col min="3060" max="3060" width="14.625" style="1" customWidth="1"/>
    <col min="3061" max="3061" width="10.625" style="1" customWidth="1"/>
    <col min="3062" max="3062" width="18.625" style="1" customWidth="1"/>
    <col min="3063" max="3063" width="9.625" style="1" customWidth="1"/>
    <col min="3064" max="3064" width="10.5" style="1" customWidth="1"/>
    <col min="3065" max="3065" width="20.375" style="1" bestFit="1" customWidth="1"/>
    <col min="3066" max="3066" width="12.5" style="1" customWidth="1"/>
    <col min="3067" max="3067" width="13.125" style="1" customWidth="1"/>
    <col min="3068" max="3072" width="9" style="1"/>
    <col min="3073" max="3073" width="11.25" style="1" bestFit="1" customWidth="1"/>
    <col min="3074" max="3074" width="11.625" style="1" bestFit="1" customWidth="1"/>
    <col min="3075" max="3305" width="9" style="1"/>
    <col min="3306" max="3306" width="4.625" style="1" customWidth="1"/>
    <col min="3307" max="3307" width="34.625" style="1" customWidth="1"/>
    <col min="3308" max="3308" width="11.625" style="1" customWidth="1"/>
    <col min="3309" max="3310" width="6.625" style="1" customWidth="1"/>
    <col min="3311" max="3311" width="10.625" style="1" customWidth="1"/>
    <col min="3312" max="3312" width="14.625" style="1" customWidth="1"/>
    <col min="3313" max="3313" width="10.625" style="1" customWidth="1"/>
    <col min="3314" max="3314" width="14.625" style="1" customWidth="1"/>
    <col min="3315" max="3315" width="10.625" style="1" customWidth="1"/>
    <col min="3316" max="3316" width="14.625" style="1" customWidth="1"/>
    <col min="3317" max="3317" width="10.625" style="1" customWidth="1"/>
    <col min="3318" max="3318" width="18.625" style="1" customWidth="1"/>
    <col min="3319" max="3319" width="9.625" style="1" customWidth="1"/>
    <col min="3320" max="3320" width="10.5" style="1" customWidth="1"/>
    <col min="3321" max="3321" width="20.375" style="1" bestFit="1" customWidth="1"/>
    <col min="3322" max="3322" width="12.5" style="1" customWidth="1"/>
    <col min="3323" max="3323" width="13.125" style="1" customWidth="1"/>
    <col min="3324" max="3328" width="9" style="1"/>
    <col min="3329" max="3329" width="11.25" style="1" bestFit="1" customWidth="1"/>
    <col min="3330" max="3330" width="11.625" style="1" bestFit="1" customWidth="1"/>
    <col min="3331" max="3561" width="9" style="1"/>
    <col min="3562" max="3562" width="4.625" style="1" customWidth="1"/>
    <col min="3563" max="3563" width="34.625" style="1" customWidth="1"/>
    <col min="3564" max="3564" width="11.625" style="1" customWidth="1"/>
    <col min="3565" max="3566" width="6.625" style="1" customWidth="1"/>
    <col min="3567" max="3567" width="10.625" style="1" customWidth="1"/>
    <col min="3568" max="3568" width="14.625" style="1" customWidth="1"/>
    <col min="3569" max="3569" width="10.625" style="1" customWidth="1"/>
    <col min="3570" max="3570" width="14.625" style="1" customWidth="1"/>
    <col min="3571" max="3571" width="10.625" style="1" customWidth="1"/>
    <col min="3572" max="3572" width="14.625" style="1" customWidth="1"/>
    <col min="3573" max="3573" width="10.625" style="1" customWidth="1"/>
    <col min="3574" max="3574" width="18.625" style="1" customWidth="1"/>
    <col min="3575" max="3575" width="9.625" style="1" customWidth="1"/>
    <col min="3576" max="3576" width="10.5" style="1" customWidth="1"/>
    <col min="3577" max="3577" width="20.375" style="1" bestFit="1" customWidth="1"/>
    <col min="3578" max="3578" width="12.5" style="1" customWidth="1"/>
    <col min="3579" max="3579" width="13.125" style="1" customWidth="1"/>
    <col min="3580" max="3584" width="9" style="1"/>
    <col min="3585" max="3585" width="11.25" style="1" bestFit="1" customWidth="1"/>
    <col min="3586" max="3586" width="11.625" style="1" bestFit="1" customWidth="1"/>
    <col min="3587" max="3817" width="9" style="1"/>
    <col min="3818" max="3818" width="4.625" style="1" customWidth="1"/>
    <col min="3819" max="3819" width="34.625" style="1" customWidth="1"/>
    <col min="3820" max="3820" width="11.625" style="1" customWidth="1"/>
    <col min="3821" max="3822" width="6.625" style="1" customWidth="1"/>
    <col min="3823" max="3823" width="10.625" style="1" customWidth="1"/>
    <col min="3824" max="3824" width="14.625" style="1" customWidth="1"/>
    <col min="3825" max="3825" width="10.625" style="1" customWidth="1"/>
    <col min="3826" max="3826" width="14.625" style="1" customWidth="1"/>
    <col min="3827" max="3827" width="10.625" style="1" customWidth="1"/>
    <col min="3828" max="3828" width="14.625" style="1" customWidth="1"/>
    <col min="3829" max="3829" width="10.625" style="1" customWidth="1"/>
    <col min="3830" max="3830" width="18.625" style="1" customWidth="1"/>
    <col min="3831" max="3831" width="9.625" style="1" customWidth="1"/>
    <col min="3832" max="3832" width="10.5" style="1" customWidth="1"/>
    <col min="3833" max="3833" width="20.375" style="1" bestFit="1" customWidth="1"/>
    <col min="3834" max="3834" width="12.5" style="1" customWidth="1"/>
    <col min="3835" max="3835" width="13.125" style="1" customWidth="1"/>
    <col min="3836" max="3840" width="9" style="1"/>
    <col min="3841" max="3841" width="11.25" style="1" bestFit="1" customWidth="1"/>
    <col min="3842" max="3842" width="11.625" style="1" bestFit="1" customWidth="1"/>
    <col min="3843" max="4073" width="9" style="1"/>
    <col min="4074" max="4074" width="4.625" style="1" customWidth="1"/>
    <col min="4075" max="4075" width="34.625" style="1" customWidth="1"/>
    <col min="4076" max="4076" width="11.625" style="1" customWidth="1"/>
    <col min="4077" max="4078" width="6.625" style="1" customWidth="1"/>
    <col min="4079" max="4079" width="10.625" style="1" customWidth="1"/>
    <col min="4080" max="4080" width="14.625" style="1" customWidth="1"/>
    <col min="4081" max="4081" width="10.625" style="1" customWidth="1"/>
    <col min="4082" max="4082" width="14.625" style="1" customWidth="1"/>
    <col min="4083" max="4083" width="10.625" style="1" customWidth="1"/>
    <col min="4084" max="4084" width="14.625" style="1" customWidth="1"/>
    <col min="4085" max="4085" width="10.625" style="1" customWidth="1"/>
    <col min="4086" max="4086" width="18.625" style="1" customWidth="1"/>
    <col min="4087" max="4087" width="9.625" style="1" customWidth="1"/>
    <col min="4088" max="4088" width="10.5" style="1" customWidth="1"/>
    <col min="4089" max="4089" width="20.375" style="1" bestFit="1" customWidth="1"/>
    <col min="4090" max="4090" width="12.5" style="1" customWidth="1"/>
    <col min="4091" max="4091" width="13.125" style="1" customWidth="1"/>
    <col min="4092" max="4096" width="9" style="1"/>
    <col min="4097" max="4097" width="11.25" style="1" bestFit="1" customWidth="1"/>
    <col min="4098" max="4098" width="11.625" style="1" bestFit="1" customWidth="1"/>
    <col min="4099" max="4329" width="9" style="1"/>
    <col min="4330" max="4330" width="4.625" style="1" customWidth="1"/>
    <col min="4331" max="4331" width="34.625" style="1" customWidth="1"/>
    <col min="4332" max="4332" width="11.625" style="1" customWidth="1"/>
    <col min="4333" max="4334" width="6.625" style="1" customWidth="1"/>
    <col min="4335" max="4335" width="10.625" style="1" customWidth="1"/>
    <col min="4336" max="4336" width="14.625" style="1" customWidth="1"/>
    <col min="4337" max="4337" width="10.625" style="1" customWidth="1"/>
    <col min="4338" max="4338" width="14.625" style="1" customWidth="1"/>
    <col min="4339" max="4339" width="10.625" style="1" customWidth="1"/>
    <col min="4340" max="4340" width="14.625" style="1" customWidth="1"/>
    <col min="4341" max="4341" width="10.625" style="1" customWidth="1"/>
    <col min="4342" max="4342" width="18.625" style="1" customWidth="1"/>
    <col min="4343" max="4343" width="9.625" style="1" customWidth="1"/>
    <col min="4344" max="4344" width="10.5" style="1" customWidth="1"/>
    <col min="4345" max="4345" width="20.375" style="1" bestFit="1" customWidth="1"/>
    <col min="4346" max="4346" width="12.5" style="1" customWidth="1"/>
    <col min="4347" max="4347" width="13.125" style="1" customWidth="1"/>
    <col min="4348" max="4352" width="9" style="1"/>
    <col min="4353" max="4353" width="11.25" style="1" bestFit="1" customWidth="1"/>
    <col min="4354" max="4354" width="11.625" style="1" bestFit="1" customWidth="1"/>
    <col min="4355" max="4585" width="9" style="1"/>
    <col min="4586" max="4586" width="4.625" style="1" customWidth="1"/>
    <col min="4587" max="4587" width="34.625" style="1" customWidth="1"/>
    <col min="4588" max="4588" width="11.625" style="1" customWidth="1"/>
    <col min="4589" max="4590" width="6.625" style="1" customWidth="1"/>
    <col min="4591" max="4591" width="10.625" style="1" customWidth="1"/>
    <col min="4592" max="4592" width="14.625" style="1" customWidth="1"/>
    <col min="4593" max="4593" width="10.625" style="1" customWidth="1"/>
    <col min="4594" max="4594" width="14.625" style="1" customWidth="1"/>
    <col min="4595" max="4595" width="10.625" style="1" customWidth="1"/>
    <col min="4596" max="4596" width="14.625" style="1" customWidth="1"/>
    <col min="4597" max="4597" width="10.625" style="1" customWidth="1"/>
    <col min="4598" max="4598" width="18.625" style="1" customWidth="1"/>
    <col min="4599" max="4599" width="9.625" style="1" customWidth="1"/>
    <col min="4600" max="4600" width="10.5" style="1" customWidth="1"/>
    <col min="4601" max="4601" width="20.375" style="1" bestFit="1" customWidth="1"/>
    <col min="4602" max="4602" width="12.5" style="1" customWidth="1"/>
    <col min="4603" max="4603" width="13.125" style="1" customWidth="1"/>
    <col min="4604" max="4608" width="9" style="1"/>
    <col min="4609" max="4609" width="11.25" style="1" bestFit="1" customWidth="1"/>
    <col min="4610" max="4610" width="11.625" style="1" bestFit="1" customWidth="1"/>
    <col min="4611" max="4841" width="9" style="1"/>
    <col min="4842" max="4842" width="4.625" style="1" customWidth="1"/>
    <col min="4843" max="4843" width="34.625" style="1" customWidth="1"/>
    <col min="4844" max="4844" width="11.625" style="1" customWidth="1"/>
    <col min="4845" max="4846" width="6.625" style="1" customWidth="1"/>
    <col min="4847" max="4847" width="10.625" style="1" customWidth="1"/>
    <col min="4848" max="4848" width="14.625" style="1" customWidth="1"/>
    <col min="4849" max="4849" width="10.625" style="1" customWidth="1"/>
    <col min="4850" max="4850" width="14.625" style="1" customWidth="1"/>
    <col min="4851" max="4851" width="10.625" style="1" customWidth="1"/>
    <col min="4852" max="4852" width="14.625" style="1" customWidth="1"/>
    <col min="4853" max="4853" width="10.625" style="1" customWidth="1"/>
    <col min="4854" max="4854" width="18.625" style="1" customWidth="1"/>
    <col min="4855" max="4855" width="9.625" style="1" customWidth="1"/>
    <col min="4856" max="4856" width="10.5" style="1" customWidth="1"/>
    <col min="4857" max="4857" width="20.375" style="1" bestFit="1" customWidth="1"/>
    <col min="4858" max="4858" width="12.5" style="1" customWidth="1"/>
    <col min="4859" max="4859" width="13.125" style="1" customWidth="1"/>
    <col min="4860" max="4864" width="9" style="1"/>
    <col min="4865" max="4865" width="11.25" style="1" bestFit="1" customWidth="1"/>
    <col min="4866" max="4866" width="11.625" style="1" bestFit="1" customWidth="1"/>
    <col min="4867" max="5097" width="9" style="1"/>
    <col min="5098" max="5098" width="4.625" style="1" customWidth="1"/>
    <col min="5099" max="5099" width="34.625" style="1" customWidth="1"/>
    <col min="5100" max="5100" width="11.625" style="1" customWidth="1"/>
    <col min="5101" max="5102" width="6.625" style="1" customWidth="1"/>
    <col min="5103" max="5103" width="10.625" style="1" customWidth="1"/>
    <col min="5104" max="5104" width="14.625" style="1" customWidth="1"/>
    <col min="5105" max="5105" width="10.625" style="1" customWidth="1"/>
    <col min="5106" max="5106" width="14.625" style="1" customWidth="1"/>
    <col min="5107" max="5107" width="10.625" style="1" customWidth="1"/>
    <col min="5108" max="5108" width="14.625" style="1" customWidth="1"/>
    <col min="5109" max="5109" width="10.625" style="1" customWidth="1"/>
    <col min="5110" max="5110" width="18.625" style="1" customWidth="1"/>
    <col min="5111" max="5111" width="9.625" style="1" customWidth="1"/>
    <col min="5112" max="5112" width="10.5" style="1" customWidth="1"/>
    <col min="5113" max="5113" width="20.375" style="1" bestFit="1" customWidth="1"/>
    <col min="5114" max="5114" width="12.5" style="1" customWidth="1"/>
    <col min="5115" max="5115" width="13.125" style="1" customWidth="1"/>
    <col min="5116" max="5120" width="9" style="1"/>
    <col min="5121" max="5121" width="11.25" style="1" bestFit="1" customWidth="1"/>
    <col min="5122" max="5122" width="11.625" style="1" bestFit="1" customWidth="1"/>
    <col min="5123" max="5353" width="9" style="1"/>
    <col min="5354" max="5354" width="4.625" style="1" customWidth="1"/>
    <col min="5355" max="5355" width="34.625" style="1" customWidth="1"/>
    <col min="5356" max="5356" width="11.625" style="1" customWidth="1"/>
    <col min="5357" max="5358" width="6.625" style="1" customWidth="1"/>
    <col min="5359" max="5359" width="10.625" style="1" customWidth="1"/>
    <col min="5360" max="5360" width="14.625" style="1" customWidth="1"/>
    <col min="5361" max="5361" width="10.625" style="1" customWidth="1"/>
    <col min="5362" max="5362" width="14.625" style="1" customWidth="1"/>
    <col min="5363" max="5363" width="10.625" style="1" customWidth="1"/>
    <col min="5364" max="5364" width="14.625" style="1" customWidth="1"/>
    <col min="5365" max="5365" width="10.625" style="1" customWidth="1"/>
    <col min="5366" max="5366" width="18.625" style="1" customWidth="1"/>
    <col min="5367" max="5367" width="9.625" style="1" customWidth="1"/>
    <col min="5368" max="5368" width="10.5" style="1" customWidth="1"/>
    <col min="5369" max="5369" width="20.375" style="1" bestFit="1" customWidth="1"/>
    <col min="5370" max="5370" width="12.5" style="1" customWidth="1"/>
    <col min="5371" max="5371" width="13.125" style="1" customWidth="1"/>
    <col min="5372" max="5376" width="9" style="1"/>
    <col min="5377" max="5377" width="11.25" style="1" bestFit="1" customWidth="1"/>
    <col min="5378" max="5378" width="11.625" style="1" bestFit="1" customWidth="1"/>
    <col min="5379" max="5609" width="9" style="1"/>
    <col min="5610" max="5610" width="4.625" style="1" customWidth="1"/>
    <col min="5611" max="5611" width="34.625" style="1" customWidth="1"/>
    <col min="5612" max="5612" width="11.625" style="1" customWidth="1"/>
    <col min="5613" max="5614" width="6.625" style="1" customWidth="1"/>
    <col min="5615" max="5615" width="10.625" style="1" customWidth="1"/>
    <col min="5616" max="5616" width="14.625" style="1" customWidth="1"/>
    <col min="5617" max="5617" width="10.625" style="1" customWidth="1"/>
    <col min="5618" max="5618" width="14.625" style="1" customWidth="1"/>
    <col min="5619" max="5619" width="10.625" style="1" customWidth="1"/>
    <col min="5620" max="5620" width="14.625" style="1" customWidth="1"/>
    <col min="5621" max="5621" width="10.625" style="1" customWidth="1"/>
    <col min="5622" max="5622" width="18.625" style="1" customWidth="1"/>
    <col min="5623" max="5623" width="9.625" style="1" customWidth="1"/>
    <col min="5624" max="5624" width="10.5" style="1" customWidth="1"/>
    <col min="5625" max="5625" width="20.375" style="1" bestFit="1" customWidth="1"/>
    <col min="5626" max="5626" width="12.5" style="1" customWidth="1"/>
    <col min="5627" max="5627" width="13.125" style="1" customWidth="1"/>
    <col min="5628" max="5632" width="9" style="1"/>
    <col min="5633" max="5633" width="11.25" style="1" bestFit="1" customWidth="1"/>
    <col min="5634" max="5634" width="11.625" style="1" bestFit="1" customWidth="1"/>
    <col min="5635" max="5865" width="9" style="1"/>
    <col min="5866" max="5866" width="4.625" style="1" customWidth="1"/>
    <col min="5867" max="5867" width="34.625" style="1" customWidth="1"/>
    <col min="5868" max="5868" width="11.625" style="1" customWidth="1"/>
    <col min="5869" max="5870" width="6.625" style="1" customWidth="1"/>
    <col min="5871" max="5871" width="10.625" style="1" customWidth="1"/>
    <col min="5872" max="5872" width="14.625" style="1" customWidth="1"/>
    <col min="5873" max="5873" width="10.625" style="1" customWidth="1"/>
    <col min="5874" max="5874" width="14.625" style="1" customWidth="1"/>
    <col min="5875" max="5875" width="10.625" style="1" customWidth="1"/>
    <col min="5876" max="5876" width="14.625" style="1" customWidth="1"/>
    <col min="5877" max="5877" width="10.625" style="1" customWidth="1"/>
    <col min="5878" max="5878" width="18.625" style="1" customWidth="1"/>
    <col min="5879" max="5879" width="9.625" style="1" customWidth="1"/>
    <col min="5880" max="5880" width="10.5" style="1" customWidth="1"/>
    <col min="5881" max="5881" width="20.375" style="1" bestFit="1" customWidth="1"/>
    <col min="5882" max="5882" width="12.5" style="1" customWidth="1"/>
    <col min="5883" max="5883" width="13.125" style="1" customWidth="1"/>
    <col min="5884" max="5888" width="9" style="1"/>
    <col min="5889" max="5889" width="11.25" style="1" bestFit="1" customWidth="1"/>
    <col min="5890" max="5890" width="11.625" style="1" bestFit="1" customWidth="1"/>
    <col min="5891" max="6121" width="9" style="1"/>
    <col min="6122" max="6122" width="4.625" style="1" customWidth="1"/>
    <col min="6123" max="6123" width="34.625" style="1" customWidth="1"/>
    <col min="6124" max="6124" width="11.625" style="1" customWidth="1"/>
    <col min="6125" max="6126" width="6.625" style="1" customWidth="1"/>
    <col min="6127" max="6127" width="10.625" style="1" customWidth="1"/>
    <col min="6128" max="6128" width="14.625" style="1" customWidth="1"/>
    <col min="6129" max="6129" width="10.625" style="1" customWidth="1"/>
    <col min="6130" max="6130" width="14.625" style="1" customWidth="1"/>
    <col min="6131" max="6131" width="10.625" style="1" customWidth="1"/>
    <col min="6132" max="6132" width="14.625" style="1" customWidth="1"/>
    <col min="6133" max="6133" width="10.625" style="1" customWidth="1"/>
    <col min="6134" max="6134" width="18.625" style="1" customWidth="1"/>
    <col min="6135" max="6135" width="9.625" style="1" customWidth="1"/>
    <col min="6136" max="6136" width="10.5" style="1" customWidth="1"/>
    <col min="6137" max="6137" width="20.375" style="1" bestFit="1" customWidth="1"/>
    <col min="6138" max="6138" width="12.5" style="1" customWidth="1"/>
    <col min="6139" max="6139" width="13.125" style="1" customWidth="1"/>
    <col min="6140" max="6144" width="9" style="1"/>
    <col min="6145" max="6145" width="11.25" style="1" bestFit="1" customWidth="1"/>
    <col min="6146" max="6146" width="11.625" style="1" bestFit="1" customWidth="1"/>
    <col min="6147" max="6377" width="9" style="1"/>
    <col min="6378" max="6378" width="4.625" style="1" customWidth="1"/>
    <col min="6379" max="6379" width="34.625" style="1" customWidth="1"/>
    <col min="6380" max="6380" width="11.625" style="1" customWidth="1"/>
    <col min="6381" max="6382" width="6.625" style="1" customWidth="1"/>
    <col min="6383" max="6383" width="10.625" style="1" customWidth="1"/>
    <col min="6384" max="6384" width="14.625" style="1" customWidth="1"/>
    <col min="6385" max="6385" width="10.625" style="1" customWidth="1"/>
    <col min="6386" max="6386" width="14.625" style="1" customWidth="1"/>
    <col min="6387" max="6387" width="10.625" style="1" customWidth="1"/>
    <col min="6388" max="6388" width="14.625" style="1" customWidth="1"/>
    <col min="6389" max="6389" width="10.625" style="1" customWidth="1"/>
    <col min="6390" max="6390" width="18.625" style="1" customWidth="1"/>
    <col min="6391" max="6391" width="9.625" style="1" customWidth="1"/>
    <col min="6392" max="6392" width="10.5" style="1" customWidth="1"/>
    <col min="6393" max="6393" width="20.375" style="1" bestFit="1" customWidth="1"/>
    <col min="6394" max="6394" width="12.5" style="1" customWidth="1"/>
    <col min="6395" max="6395" width="13.125" style="1" customWidth="1"/>
    <col min="6396" max="6400" width="9" style="1"/>
    <col min="6401" max="6401" width="11.25" style="1" bestFit="1" customWidth="1"/>
    <col min="6402" max="6402" width="11.625" style="1" bestFit="1" customWidth="1"/>
    <col min="6403" max="6633" width="9" style="1"/>
    <col min="6634" max="6634" width="4.625" style="1" customWidth="1"/>
    <col min="6635" max="6635" width="34.625" style="1" customWidth="1"/>
    <col min="6636" max="6636" width="11.625" style="1" customWidth="1"/>
    <col min="6637" max="6638" width="6.625" style="1" customWidth="1"/>
    <col min="6639" max="6639" width="10.625" style="1" customWidth="1"/>
    <col min="6640" max="6640" width="14.625" style="1" customWidth="1"/>
    <col min="6641" max="6641" width="10.625" style="1" customWidth="1"/>
    <col min="6642" max="6642" width="14.625" style="1" customWidth="1"/>
    <col min="6643" max="6643" width="10.625" style="1" customWidth="1"/>
    <col min="6644" max="6644" width="14.625" style="1" customWidth="1"/>
    <col min="6645" max="6645" width="10.625" style="1" customWidth="1"/>
    <col min="6646" max="6646" width="18.625" style="1" customWidth="1"/>
    <col min="6647" max="6647" width="9.625" style="1" customWidth="1"/>
    <col min="6648" max="6648" width="10.5" style="1" customWidth="1"/>
    <col min="6649" max="6649" width="20.375" style="1" bestFit="1" customWidth="1"/>
    <col min="6650" max="6650" width="12.5" style="1" customWidth="1"/>
    <col min="6651" max="6651" width="13.125" style="1" customWidth="1"/>
    <col min="6652" max="6656" width="9" style="1"/>
    <col min="6657" max="6657" width="11.25" style="1" bestFit="1" customWidth="1"/>
    <col min="6658" max="6658" width="11.625" style="1" bestFit="1" customWidth="1"/>
    <col min="6659" max="6889" width="9" style="1"/>
    <col min="6890" max="6890" width="4.625" style="1" customWidth="1"/>
    <col min="6891" max="6891" width="34.625" style="1" customWidth="1"/>
    <col min="6892" max="6892" width="11.625" style="1" customWidth="1"/>
    <col min="6893" max="6894" width="6.625" style="1" customWidth="1"/>
    <col min="6895" max="6895" width="10.625" style="1" customWidth="1"/>
    <col min="6896" max="6896" width="14.625" style="1" customWidth="1"/>
    <col min="6897" max="6897" width="10.625" style="1" customWidth="1"/>
    <col min="6898" max="6898" width="14.625" style="1" customWidth="1"/>
    <col min="6899" max="6899" width="10.625" style="1" customWidth="1"/>
    <col min="6900" max="6900" width="14.625" style="1" customWidth="1"/>
    <col min="6901" max="6901" width="10.625" style="1" customWidth="1"/>
    <col min="6902" max="6902" width="18.625" style="1" customWidth="1"/>
    <col min="6903" max="6903" width="9.625" style="1" customWidth="1"/>
    <col min="6904" max="6904" width="10.5" style="1" customWidth="1"/>
    <col min="6905" max="6905" width="20.375" style="1" bestFit="1" customWidth="1"/>
    <col min="6906" max="6906" width="12.5" style="1" customWidth="1"/>
    <col min="6907" max="6907" width="13.125" style="1" customWidth="1"/>
    <col min="6908" max="6912" width="9" style="1"/>
    <col min="6913" max="6913" width="11.25" style="1" bestFit="1" customWidth="1"/>
    <col min="6914" max="6914" width="11.625" style="1" bestFit="1" customWidth="1"/>
    <col min="6915" max="7145" width="9" style="1"/>
    <col min="7146" max="7146" width="4.625" style="1" customWidth="1"/>
    <col min="7147" max="7147" width="34.625" style="1" customWidth="1"/>
    <col min="7148" max="7148" width="11.625" style="1" customWidth="1"/>
    <col min="7149" max="7150" width="6.625" style="1" customWidth="1"/>
    <col min="7151" max="7151" width="10.625" style="1" customWidth="1"/>
    <col min="7152" max="7152" width="14.625" style="1" customWidth="1"/>
    <col min="7153" max="7153" width="10.625" style="1" customWidth="1"/>
    <col min="7154" max="7154" width="14.625" style="1" customWidth="1"/>
    <col min="7155" max="7155" width="10.625" style="1" customWidth="1"/>
    <col min="7156" max="7156" width="14.625" style="1" customWidth="1"/>
    <col min="7157" max="7157" width="10.625" style="1" customWidth="1"/>
    <col min="7158" max="7158" width="18.625" style="1" customWidth="1"/>
    <col min="7159" max="7159" width="9.625" style="1" customWidth="1"/>
    <col min="7160" max="7160" width="10.5" style="1" customWidth="1"/>
    <col min="7161" max="7161" width="20.375" style="1" bestFit="1" customWidth="1"/>
    <col min="7162" max="7162" width="12.5" style="1" customWidth="1"/>
    <col min="7163" max="7163" width="13.125" style="1" customWidth="1"/>
    <col min="7164" max="7168" width="9" style="1"/>
    <col min="7169" max="7169" width="11.25" style="1" bestFit="1" customWidth="1"/>
    <col min="7170" max="7170" width="11.625" style="1" bestFit="1" customWidth="1"/>
    <col min="7171" max="7401" width="9" style="1"/>
    <col min="7402" max="7402" width="4.625" style="1" customWidth="1"/>
    <col min="7403" max="7403" width="34.625" style="1" customWidth="1"/>
    <col min="7404" max="7404" width="11.625" style="1" customWidth="1"/>
    <col min="7405" max="7406" width="6.625" style="1" customWidth="1"/>
    <col min="7407" max="7407" width="10.625" style="1" customWidth="1"/>
    <col min="7408" max="7408" width="14.625" style="1" customWidth="1"/>
    <col min="7409" max="7409" width="10.625" style="1" customWidth="1"/>
    <col min="7410" max="7410" width="14.625" style="1" customWidth="1"/>
    <col min="7411" max="7411" width="10.625" style="1" customWidth="1"/>
    <col min="7412" max="7412" width="14.625" style="1" customWidth="1"/>
    <col min="7413" max="7413" width="10.625" style="1" customWidth="1"/>
    <col min="7414" max="7414" width="18.625" style="1" customWidth="1"/>
    <col min="7415" max="7415" width="9.625" style="1" customWidth="1"/>
    <col min="7416" max="7416" width="10.5" style="1" customWidth="1"/>
    <col min="7417" max="7417" width="20.375" style="1" bestFit="1" customWidth="1"/>
    <col min="7418" max="7418" width="12.5" style="1" customWidth="1"/>
    <col min="7419" max="7419" width="13.125" style="1" customWidth="1"/>
    <col min="7420" max="7424" width="9" style="1"/>
    <col min="7425" max="7425" width="11.25" style="1" bestFit="1" customWidth="1"/>
    <col min="7426" max="7426" width="11.625" style="1" bestFit="1" customWidth="1"/>
    <col min="7427" max="7657" width="9" style="1"/>
    <col min="7658" max="7658" width="4.625" style="1" customWidth="1"/>
    <col min="7659" max="7659" width="34.625" style="1" customWidth="1"/>
    <col min="7660" max="7660" width="11.625" style="1" customWidth="1"/>
    <col min="7661" max="7662" width="6.625" style="1" customWidth="1"/>
    <col min="7663" max="7663" width="10.625" style="1" customWidth="1"/>
    <col min="7664" max="7664" width="14.625" style="1" customWidth="1"/>
    <col min="7665" max="7665" width="10.625" style="1" customWidth="1"/>
    <col min="7666" max="7666" width="14.625" style="1" customWidth="1"/>
    <col min="7667" max="7667" width="10.625" style="1" customWidth="1"/>
    <col min="7668" max="7668" width="14.625" style="1" customWidth="1"/>
    <col min="7669" max="7669" width="10.625" style="1" customWidth="1"/>
    <col min="7670" max="7670" width="18.625" style="1" customWidth="1"/>
    <col min="7671" max="7671" width="9.625" style="1" customWidth="1"/>
    <col min="7672" max="7672" width="10.5" style="1" customWidth="1"/>
    <col min="7673" max="7673" width="20.375" style="1" bestFit="1" customWidth="1"/>
    <col min="7674" max="7674" width="12.5" style="1" customWidth="1"/>
    <col min="7675" max="7675" width="13.125" style="1" customWidth="1"/>
    <col min="7676" max="7680" width="9" style="1"/>
    <col min="7681" max="7681" width="11.25" style="1" bestFit="1" customWidth="1"/>
    <col min="7682" max="7682" width="11.625" style="1" bestFit="1" customWidth="1"/>
    <col min="7683" max="7913" width="9" style="1"/>
    <col min="7914" max="7914" width="4.625" style="1" customWidth="1"/>
    <col min="7915" max="7915" width="34.625" style="1" customWidth="1"/>
    <col min="7916" max="7916" width="11.625" style="1" customWidth="1"/>
    <col min="7917" max="7918" width="6.625" style="1" customWidth="1"/>
    <col min="7919" max="7919" width="10.625" style="1" customWidth="1"/>
    <col min="7920" max="7920" width="14.625" style="1" customWidth="1"/>
    <col min="7921" max="7921" width="10.625" style="1" customWidth="1"/>
    <col min="7922" max="7922" width="14.625" style="1" customWidth="1"/>
    <col min="7923" max="7923" width="10.625" style="1" customWidth="1"/>
    <col min="7924" max="7924" width="14.625" style="1" customWidth="1"/>
    <col min="7925" max="7925" width="10.625" style="1" customWidth="1"/>
    <col min="7926" max="7926" width="18.625" style="1" customWidth="1"/>
    <col min="7927" max="7927" width="9.625" style="1" customWidth="1"/>
    <col min="7928" max="7928" width="10.5" style="1" customWidth="1"/>
    <col min="7929" max="7929" width="20.375" style="1" bestFit="1" customWidth="1"/>
    <col min="7930" max="7930" width="12.5" style="1" customWidth="1"/>
    <col min="7931" max="7931" width="13.125" style="1" customWidth="1"/>
    <col min="7932" max="7936" width="9" style="1"/>
    <col min="7937" max="7937" width="11.25" style="1" bestFit="1" customWidth="1"/>
    <col min="7938" max="7938" width="11.625" style="1" bestFit="1" customWidth="1"/>
    <col min="7939" max="8169" width="9" style="1"/>
    <col min="8170" max="8170" width="4.625" style="1" customWidth="1"/>
    <col min="8171" max="8171" width="34.625" style="1" customWidth="1"/>
    <col min="8172" max="8172" width="11.625" style="1" customWidth="1"/>
    <col min="8173" max="8174" width="6.625" style="1" customWidth="1"/>
    <col min="8175" max="8175" width="10.625" style="1" customWidth="1"/>
    <col min="8176" max="8176" width="14.625" style="1" customWidth="1"/>
    <col min="8177" max="8177" width="10.625" style="1" customWidth="1"/>
    <col min="8178" max="8178" width="14.625" style="1" customWidth="1"/>
    <col min="8179" max="8179" width="10.625" style="1" customWidth="1"/>
    <col min="8180" max="8180" width="14.625" style="1" customWidth="1"/>
    <col min="8181" max="8181" width="10.625" style="1" customWidth="1"/>
    <col min="8182" max="8182" width="18.625" style="1" customWidth="1"/>
    <col min="8183" max="8183" width="9.625" style="1" customWidth="1"/>
    <col min="8184" max="8184" width="10.5" style="1" customWidth="1"/>
    <col min="8185" max="8185" width="20.375" style="1" bestFit="1" customWidth="1"/>
    <col min="8186" max="8186" width="12.5" style="1" customWidth="1"/>
    <col min="8187" max="8187" width="13.125" style="1" customWidth="1"/>
    <col min="8188" max="8192" width="9" style="1"/>
    <col min="8193" max="8193" width="11.25" style="1" bestFit="1" customWidth="1"/>
    <col min="8194" max="8194" width="11.625" style="1" bestFit="1" customWidth="1"/>
    <col min="8195" max="8425" width="9" style="1"/>
    <col min="8426" max="8426" width="4.625" style="1" customWidth="1"/>
    <col min="8427" max="8427" width="34.625" style="1" customWidth="1"/>
    <col min="8428" max="8428" width="11.625" style="1" customWidth="1"/>
    <col min="8429" max="8430" width="6.625" style="1" customWidth="1"/>
    <col min="8431" max="8431" width="10.625" style="1" customWidth="1"/>
    <col min="8432" max="8432" width="14.625" style="1" customWidth="1"/>
    <col min="8433" max="8433" width="10.625" style="1" customWidth="1"/>
    <col min="8434" max="8434" width="14.625" style="1" customWidth="1"/>
    <col min="8435" max="8435" width="10.625" style="1" customWidth="1"/>
    <col min="8436" max="8436" width="14.625" style="1" customWidth="1"/>
    <col min="8437" max="8437" width="10.625" style="1" customWidth="1"/>
    <col min="8438" max="8438" width="18.625" style="1" customWidth="1"/>
    <col min="8439" max="8439" width="9.625" style="1" customWidth="1"/>
    <col min="8440" max="8440" width="10.5" style="1" customWidth="1"/>
    <col min="8441" max="8441" width="20.375" style="1" bestFit="1" customWidth="1"/>
    <col min="8442" max="8442" width="12.5" style="1" customWidth="1"/>
    <col min="8443" max="8443" width="13.125" style="1" customWidth="1"/>
    <col min="8444" max="8448" width="9" style="1"/>
    <col min="8449" max="8449" width="11.25" style="1" bestFit="1" customWidth="1"/>
    <col min="8450" max="8450" width="11.625" style="1" bestFit="1" customWidth="1"/>
    <col min="8451" max="8681" width="9" style="1"/>
    <col min="8682" max="8682" width="4.625" style="1" customWidth="1"/>
    <col min="8683" max="8683" width="34.625" style="1" customWidth="1"/>
    <col min="8684" max="8684" width="11.625" style="1" customWidth="1"/>
    <col min="8685" max="8686" width="6.625" style="1" customWidth="1"/>
    <col min="8687" max="8687" width="10.625" style="1" customWidth="1"/>
    <col min="8688" max="8688" width="14.625" style="1" customWidth="1"/>
    <col min="8689" max="8689" width="10.625" style="1" customWidth="1"/>
    <col min="8690" max="8690" width="14.625" style="1" customWidth="1"/>
    <col min="8691" max="8691" width="10.625" style="1" customWidth="1"/>
    <col min="8692" max="8692" width="14.625" style="1" customWidth="1"/>
    <col min="8693" max="8693" width="10.625" style="1" customWidth="1"/>
    <col min="8694" max="8694" width="18.625" style="1" customWidth="1"/>
    <col min="8695" max="8695" width="9.625" style="1" customWidth="1"/>
    <col min="8696" max="8696" width="10.5" style="1" customWidth="1"/>
    <col min="8697" max="8697" width="20.375" style="1" bestFit="1" customWidth="1"/>
    <col min="8698" max="8698" width="12.5" style="1" customWidth="1"/>
    <col min="8699" max="8699" width="13.125" style="1" customWidth="1"/>
    <col min="8700" max="8704" width="9" style="1"/>
    <col min="8705" max="8705" width="11.25" style="1" bestFit="1" customWidth="1"/>
    <col min="8706" max="8706" width="11.625" style="1" bestFit="1" customWidth="1"/>
    <col min="8707" max="8937" width="9" style="1"/>
    <col min="8938" max="8938" width="4.625" style="1" customWidth="1"/>
    <col min="8939" max="8939" width="34.625" style="1" customWidth="1"/>
    <col min="8940" max="8940" width="11.625" style="1" customWidth="1"/>
    <col min="8941" max="8942" width="6.625" style="1" customWidth="1"/>
    <col min="8943" max="8943" width="10.625" style="1" customWidth="1"/>
    <col min="8944" max="8944" width="14.625" style="1" customWidth="1"/>
    <col min="8945" max="8945" width="10.625" style="1" customWidth="1"/>
    <col min="8946" max="8946" width="14.625" style="1" customWidth="1"/>
    <col min="8947" max="8947" width="10.625" style="1" customWidth="1"/>
    <col min="8948" max="8948" width="14.625" style="1" customWidth="1"/>
    <col min="8949" max="8949" width="10.625" style="1" customWidth="1"/>
    <col min="8950" max="8950" width="18.625" style="1" customWidth="1"/>
    <col min="8951" max="8951" width="9.625" style="1" customWidth="1"/>
    <col min="8952" max="8952" width="10.5" style="1" customWidth="1"/>
    <col min="8953" max="8953" width="20.375" style="1" bestFit="1" customWidth="1"/>
    <col min="8954" max="8954" width="12.5" style="1" customWidth="1"/>
    <col min="8955" max="8955" width="13.125" style="1" customWidth="1"/>
    <col min="8956" max="8960" width="9" style="1"/>
    <col min="8961" max="8961" width="11.25" style="1" bestFit="1" customWidth="1"/>
    <col min="8962" max="8962" width="11.625" style="1" bestFit="1" customWidth="1"/>
    <col min="8963" max="9193" width="9" style="1"/>
    <col min="9194" max="9194" width="4.625" style="1" customWidth="1"/>
    <col min="9195" max="9195" width="34.625" style="1" customWidth="1"/>
    <col min="9196" max="9196" width="11.625" style="1" customWidth="1"/>
    <col min="9197" max="9198" width="6.625" style="1" customWidth="1"/>
    <col min="9199" max="9199" width="10.625" style="1" customWidth="1"/>
    <col min="9200" max="9200" width="14.625" style="1" customWidth="1"/>
    <col min="9201" max="9201" width="10.625" style="1" customWidth="1"/>
    <col min="9202" max="9202" width="14.625" style="1" customWidth="1"/>
    <col min="9203" max="9203" width="10.625" style="1" customWidth="1"/>
    <col min="9204" max="9204" width="14.625" style="1" customWidth="1"/>
    <col min="9205" max="9205" width="10.625" style="1" customWidth="1"/>
    <col min="9206" max="9206" width="18.625" style="1" customWidth="1"/>
    <col min="9207" max="9207" width="9.625" style="1" customWidth="1"/>
    <col min="9208" max="9208" width="10.5" style="1" customWidth="1"/>
    <col min="9209" max="9209" width="20.375" style="1" bestFit="1" customWidth="1"/>
    <col min="9210" max="9210" width="12.5" style="1" customWidth="1"/>
    <col min="9211" max="9211" width="13.125" style="1" customWidth="1"/>
    <col min="9212" max="9216" width="9" style="1"/>
    <col min="9217" max="9217" width="11.25" style="1" bestFit="1" customWidth="1"/>
    <col min="9218" max="9218" width="11.625" style="1" bestFit="1" customWidth="1"/>
    <col min="9219" max="9449" width="9" style="1"/>
    <col min="9450" max="9450" width="4.625" style="1" customWidth="1"/>
    <col min="9451" max="9451" width="34.625" style="1" customWidth="1"/>
    <col min="9452" max="9452" width="11.625" style="1" customWidth="1"/>
    <col min="9453" max="9454" width="6.625" style="1" customWidth="1"/>
    <col min="9455" max="9455" width="10.625" style="1" customWidth="1"/>
    <col min="9456" max="9456" width="14.625" style="1" customWidth="1"/>
    <col min="9457" max="9457" width="10.625" style="1" customWidth="1"/>
    <col min="9458" max="9458" width="14.625" style="1" customWidth="1"/>
    <col min="9459" max="9459" width="10.625" style="1" customWidth="1"/>
    <col min="9460" max="9460" width="14.625" style="1" customWidth="1"/>
    <col min="9461" max="9461" width="10.625" style="1" customWidth="1"/>
    <col min="9462" max="9462" width="18.625" style="1" customWidth="1"/>
    <col min="9463" max="9463" width="9.625" style="1" customWidth="1"/>
    <col min="9464" max="9464" width="10.5" style="1" customWidth="1"/>
    <col min="9465" max="9465" width="20.375" style="1" bestFit="1" customWidth="1"/>
    <col min="9466" max="9466" width="12.5" style="1" customWidth="1"/>
    <col min="9467" max="9467" width="13.125" style="1" customWidth="1"/>
    <col min="9468" max="9472" width="9" style="1"/>
    <col min="9473" max="9473" width="11.25" style="1" bestFit="1" customWidth="1"/>
    <col min="9474" max="9474" width="11.625" style="1" bestFit="1" customWidth="1"/>
    <col min="9475" max="9705" width="9" style="1"/>
    <col min="9706" max="9706" width="4.625" style="1" customWidth="1"/>
    <col min="9707" max="9707" width="34.625" style="1" customWidth="1"/>
    <col min="9708" max="9708" width="11.625" style="1" customWidth="1"/>
    <col min="9709" max="9710" width="6.625" style="1" customWidth="1"/>
    <col min="9711" max="9711" width="10.625" style="1" customWidth="1"/>
    <col min="9712" max="9712" width="14.625" style="1" customWidth="1"/>
    <col min="9713" max="9713" width="10.625" style="1" customWidth="1"/>
    <col min="9714" max="9714" width="14.625" style="1" customWidth="1"/>
    <col min="9715" max="9715" width="10.625" style="1" customWidth="1"/>
    <col min="9716" max="9716" width="14.625" style="1" customWidth="1"/>
    <col min="9717" max="9717" width="10.625" style="1" customWidth="1"/>
    <col min="9718" max="9718" width="18.625" style="1" customWidth="1"/>
    <col min="9719" max="9719" width="9.625" style="1" customWidth="1"/>
    <col min="9720" max="9720" width="10.5" style="1" customWidth="1"/>
    <col min="9721" max="9721" width="20.375" style="1" bestFit="1" customWidth="1"/>
    <col min="9722" max="9722" width="12.5" style="1" customWidth="1"/>
    <col min="9723" max="9723" width="13.125" style="1" customWidth="1"/>
    <col min="9724" max="9728" width="9" style="1"/>
    <col min="9729" max="9729" width="11.25" style="1" bestFit="1" customWidth="1"/>
    <col min="9730" max="9730" width="11.625" style="1" bestFit="1" customWidth="1"/>
    <col min="9731" max="9961" width="9" style="1"/>
    <col min="9962" max="9962" width="4.625" style="1" customWidth="1"/>
    <col min="9963" max="9963" width="34.625" style="1" customWidth="1"/>
    <col min="9964" max="9964" width="11.625" style="1" customWidth="1"/>
    <col min="9965" max="9966" width="6.625" style="1" customWidth="1"/>
    <col min="9967" max="9967" width="10.625" style="1" customWidth="1"/>
    <col min="9968" max="9968" width="14.625" style="1" customWidth="1"/>
    <col min="9969" max="9969" width="10.625" style="1" customWidth="1"/>
    <col min="9970" max="9970" width="14.625" style="1" customWidth="1"/>
    <col min="9971" max="9971" width="10.625" style="1" customWidth="1"/>
    <col min="9972" max="9972" width="14.625" style="1" customWidth="1"/>
    <col min="9973" max="9973" width="10.625" style="1" customWidth="1"/>
    <col min="9974" max="9974" width="18.625" style="1" customWidth="1"/>
    <col min="9975" max="9975" width="9.625" style="1" customWidth="1"/>
    <col min="9976" max="9976" width="10.5" style="1" customWidth="1"/>
    <col min="9977" max="9977" width="20.375" style="1" bestFit="1" customWidth="1"/>
    <col min="9978" max="9978" width="12.5" style="1" customWidth="1"/>
    <col min="9979" max="9979" width="13.125" style="1" customWidth="1"/>
    <col min="9980" max="9984" width="9" style="1"/>
    <col min="9985" max="9985" width="11.25" style="1" bestFit="1" customWidth="1"/>
    <col min="9986" max="9986" width="11.625" style="1" bestFit="1" customWidth="1"/>
    <col min="9987" max="10217" width="9" style="1"/>
    <col min="10218" max="10218" width="4.625" style="1" customWidth="1"/>
    <col min="10219" max="10219" width="34.625" style="1" customWidth="1"/>
    <col min="10220" max="10220" width="11.625" style="1" customWidth="1"/>
    <col min="10221" max="10222" width="6.625" style="1" customWidth="1"/>
    <col min="10223" max="10223" width="10.625" style="1" customWidth="1"/>
    <col min="10224" max="10224" width="14.625" style="1" customWidth="1"/>
    <col min="10225" max="10225" width="10.625" style="1" customWidth="1"/>
    <col min="10226" max="10226" width="14.625" style="1" customWidth="1"/>
    <col min="10227" max="10227" width="10.625" style="1" customWidth="1"/>
    <col min="10228" max="10228" width="14.625" style="1" customWidth="1"/>
    <col min="10229" max="10229" width="10.625" style="1" customWidth="1"/>
    <col min="10230" max="10230" width="18.625" style="1" customWidth="1"/>
    <col min="10231" max="10231" width="9.625" style="1" customWidth="1"/>
    <col min="10232" max="10232" width="10.5" style="1" customWidth="1"/>
    <col min="10233" max="10233" width="20.375" style="1" bestFit="1" customWidth="1"/>
    <col min="10234" max="10234" width="12.5" style="1" customWidth="1"/>
    <col min="10235" max="10235" width="13.125" style="1" customWidth="1"/>
    <col min="10236" max="10240" width="9" style="1"/>
    <col min="10241" max="10241" width="11.25" style="1" bestFit="1" customWidth="1"/>
    <col min="10242" max="10242" width="11.625" style="1" bestFit="1" customWidth="1"/>
    <col min="10243" max="10473" width="9" style="1"/>
    <col min="10474" max="10474" width="4.625" style="1" customWidth="1"/>
    <col min="10475" max="10475" width="34.625" style="1" customWidth="1"/>
    <col min="10476" max="10476" width="11.625" style="1" customWidth="1"/>
    <col min="10477" max="10478" width="6.625" style="1" customWidth="1"/>
    <col min="10479" max="10479" width="10.625" style="1" customWidth="1"/>
    <col min="10480" max="10480" width="14.625" style="1" customWidth="1"/>
    <col min="10481" max="10481" width="10.625" style="1" customWidth="1"/>
    <col min="10482" max="10482" width="14.625" style="1" customWidth="1"/>
    <col min="10483" max="10483" width="10.625" style="1" customWidth="1"/>
    <col min="10484" max="10484" width="14.625" style="1" customWidth="1"/>
    <col min="10485" max="10485" width="10.625" style="1" customWidth="1"/>
    <col min="10486" max="10486" width="18.625" style="1" customWidth="1"/>
    <col min="10487" max="10487" width="9.625" style="1" customWidth="1"/>
    <col min="10488" max="10488" width="10.5" style="1" customWidth="1"/>
    <col min="10489" max="10489" width="20.375" style="1" bestFit="1" customWidth="1"/>
    <col min="10490" max="10490" width="12.5" style="1" customWidth="1"/>
    <col min="10491" max="10491" width="13.125" style="1" customWidth="1"/>
    <col min="10492" max="10496" width="9" style="1"/>
    <col min="10497" max="10497" width="11.25" style="1" bestFit="1" customWidth="1"/>
    <col min="10498" max="10498" width="11.625" style="1" bestFit="1" customWidth="1"/>
    <col min="10499" max="10729" width="9" style="1"/>
    <col min="10730" max="10730" width="4.625" style="1" customWidth="1"/>
    <col min="10731" max="10731" width="34.625" style="1" customWidth="1"/>
    <col min="10732" max="10732" width="11.625" style="1" customWidth="1"/>
    <col min="10733" max="10734" width="6.625" style="1" customWidth="1"/>
    <col min="10735" max="10735" width="10.625" style="1" customWidth="1"/>
    <col min="10736" max="10736" width="14.625" style="1" customWidth="1"/>
    <col min="10737" max="10737" width="10.625" style="1" customWidth="1"/>
    <col min="10738" max="10738" width="14.625" style="1" customWidth="1"/>
    <col min="10739" max="10739" width="10.625" style="1" customWidth="1"/>
    <col min="10740" max="10740" width="14.625" style="1" customWidth="1"/>
    <col min="10741" max="10741" width="10.625" style="1" customWidth="1"/>
    <col min="10742" max="10742" width="18.625" style="1" customWidth="1"/>
    <col min="10743" max="10743" width="9.625" style="1" customWidth="1"/>
    <col min="10744" max="10744" width="10.5" style="1" customWidth="1"/>
    <col min="10745" max="10745" width="20.375" style="1" bestFit="1" customWidth="1"/>
    <col min="10746" max="10746" width="12.5" style="1" customWidth="1"/>
    <col min="10747" max="10747" width="13.125" style="1" customWidth="1"/>
    <col min="10748" max="10752" width="9" style="1"/>
    <col min="10753" max="10753" width="11.25" style="1" bestFit="1" customWidth="1"/>
    <col min="10754" max="10754" width="11.625" style="1" bestFit="1" customWidth="1"/>
    <col min="10755" max="10985" width="9" style="1"/>
    <col min="10986" max="10986" width="4.625" style="1" customWidth="1"/>
    <col min="10987" max="10987" width="34.625" style="1" customWidth="1"/>
    <col min="10988" max="10988" width="11.625" style="1" customWidth="1"/>
    <col min="10989" max="10990" width="6.625" style="1" customWidth="1"/>
    <col min="10991" max="10991" width="10.625" style="1" customWidth="1"/>
    <col min="10992" max="10992" width="14.625" style="1" customWidth="1"/>
    <col min="10993" max="10993" width="10.625" style="1" customWidth="1"/>
    <col min="10994" max="10994" width="14.625" style="1" customWidth="1"/>
    <col min="10995" max="10995" width="10.625" style="1" customWidth="1"/>
    <col min="10996" max="10996" width="14.625" style="1" customWidth="1"/>
    <col min="10997" max="10997" width="10.625" style="1" customWidth="1"/>
    <col min="10998" max="10998" width="18.625" style="1" customWidth="1"/>
    <col min="10999" max="10999" width="9.625" style="1" customWidth="1"/>
    <col min="11000" max="11000" width="10.5" style="1" customWidth="1"/>
    <col min="11001" max="11001" width="20.375" style="1" bestFit="1" customWidth="1"/>
    <col min="11002" max="11002" width="12.5" style="1" customWidth="1"/>
    <col min="11003" max="11003" width="13.125" style="1" customWidth="1"/>
    <col min="11004" max="11008" width="9" style="1"/>
    <col min="11009" max="11009" width="11.25" style="1" bestFit="1" customWidth="1"/>
    <col min="11010" max="11010" width="11.625" style="1" bestFit="1" customWidth="1"/>
    <col min="11011" max="11241" width="9" style="1"/>
    <col min="11242" max="11242" width="4.625" style="1" customWidth="1"/>
    <col min="11243" max="11243" width="34.625" style="1" customWidth="1"/>
    <col min="11244" max="11244" width="11.625" style="1" customWidth="1"/>
    <col min="11245" max="11246" width="6.625" style="1" customWidth="1"/>
    <col min="11247" max="11247" width="10.625" style="1" customWidth="1"/>
    <col min="11248" max="11248" width="14.625" style="1" customWidth="1"/>
    <col min="11249" max="11249" width="10.625" style="1" customWidth="1"/>
    <col min="11250" max="11250" width="14.625" style="1" customWidth="1"/>
    <col min="11251" max="11251" width="10.625" style="1" customWidth="1"/>
    <col min="11252" max="11252" width="14.625" style="1" customWidth="1"/>
    <col min="11253" max="11253" width="10.625" style="1" customWidth="1"/>
    <col min="11254" max="11254" width="18.625" style="1" customWidth="1"/>
    <col min="11255" max="11255" width="9.625" style="1" customWidth="1"/>
    <col min="11256" max="11256" width="10.5" style="1" customWidth="1"/>
    <col min="11257" max="11257" width="20.375" style="1" bestFit="1" customWidth="1"/>
    <col min="11258" max="11258" width="12.5" style="1" customWidth="1"/>
    <col min="11259" max="11259" width="13.125" style="1" customWidth="1"/>
    <col min="11260" max="11264" width="9" style="1"/>
    <col min="11265" max="11265" width="11.25" style="1" bestFit="1" customWidth="1"/>
    <col min="11266" max="11266" width="11.625" style="1" bestFit="1" customWidth="1"/>
    <col min="11267" max="11497" width="9" style="1"/>
    <col min="11498" max="11498" width="4.625" style="1" customWidth="1"/>
    <col min="11499" max="11499" width="34.625" style="1" customWidth="1"/>
    <col min="11500" max="11500" width="11.625" style="1" customWidth="1"/>
    <col min="11501" max="11502" width="6.625" style="1" customWidth="1"/>
    <col min="11503" max="11503" width="10.625" style="1" customWidth="1"/>
    <col min="11504" max="11504" width="14.625" style="1" customWidth="1"/>
    <col min="11505" max="11505" width="10.625" style="1" customWidth="1"/>
    <col min="11506" max="11506" width="14.625" style="1" customWidth="1"/>
    <col min="11507" max="11507" width="10.625" style="1" customWidth="1"/>
    <col min="11508" max="11508" width="14.625" style="1" customWidth="1"/>
    <col min="11509" max="11509" width="10.625" style="1" customWidth="1"/>
    <col min="11510" max="11510" width="18.625" style="1" customWidth="1"/>
    <col min="11511" max="11511" width="9.625" style="1" customWidth="1"/>
    <col min="11512" max="11512" width="10.5" style="1" customWidth="1"/>
    <col min="11513" max="11513" width="20.375" style="1" bestFit="1" customWidth="1"/>
    <col min="11514" max="11514" width="12.5" style="1" customWidth="1"/>
    <col min="11515" max="11515" width="13.125" style="1" customWidth="1"/>
    <col min="11516" max="11520" width="9" style="1"/>
    <col min="11521" max="11521" width="11.25" style="1" bestFit="1" customWidth="1"/>
    <col min="11522" max="11522" width="11.625" style="1" bestFit="1" customWidth="1"/>
    <col min="11523" max="11753" width="9" style="1"/>
    <col min="11754" max="11754" width="4.625" style="1" customWidth="1"/>
    <col min="11755" max="11755" width="34.625" style="1" customWidth="1"/>
    <col min="11756" max="11756" width="11.625" style="1" customWidth="1"/>
    <col min="11757" max="11758" width="6.625" style="1" customWidth="1"/>
    <col min="11759" max="11759" width="10.625" style="1" customWidth="1"/>
    <col min="11760" max="11760" width="14.625" style="1" customWidth="1"/>
    <col min="11761" max="11761" width="10.625" style="1" customWidth="1"/>
    <col min="11762" max="11762" width="14.625" style="1" customWidth="1"/>
    <col min="11763" max="11763" width="10.625" style="1" customWidth="1"/>
    <col min="11764" max="11764" width="14.625" style="1" customWidth="1"/>
    <col min="11765" max="11765" width="10.625" style="1" customWidth="1"/>
    <col min="11766" max="11766" width="18.625" style="1" customWidth="1"/>
    <col min="11767" max="11767" width="9.625" style="1" customWidth="1"/>
    <col min="11768" max="11768" width="10.5" style="1" customWidth="1"/>
    <col min="11769" max="11769" width="20.375" style="1" bestFit="1" customWidth="1"/>
    <col min="11770" max="11770" width="12.5" style="1" customWidth="1"/>
    <col min="11771" max="11771" width="13.125" style="1" customWidth="1"/>
    <col min="11772" max="11776" width="9" style="1"/>
    <col min="11777" max="11777" width="11.25" style="1" bestFit="1" customWidth="1"/>
    <col min="11778" max="11778" width="11.625" style="1" bestFit="1" customWidth="1"/>
    <col min="11779" max="12009" width="9" style="1"/>
    <col min="12010" max="12010" width="4.625" style="1" customWidth="1"/>
    <col min="12011" max="12011" width="34.625" style="1" customWidth="1"/>
    <col min="12012" max="12012" width="11.625" style="1" customWidth="1"/>
    <col min="12013" max="12014" width="6.625" style="1" customWidth="1"/>
    <col min="12015" max="12015" width="10.625" style="1" customWidth="1"/>
    <col min="12016" max="12016" width="14.625" style="1" customWidth="1"/>
    <col min="12017" max="12017" width="10.625" style="1" customWidth="1"/>
    <col min="12018" max="12018" width="14.625" style="1" customWidth="1"/>
    <col min="12019" max="12019" width="10.625" style="1" customWidth="1"/>
    <col min="12020" max="12020" width="14.625" style="1" customWidth="1"/>
    <col min="12021" max="12021" width="10.625" style="1" customWidth="1"/>
    <col min="12022" max="12022" width="18.625" style="1" customWidth="1"/>
    <col min="12023" max="12023" width="9.625" style="1" customWidth="1"/>
    <col min="12024" max="12024" width="10.5" style="1" customWidth="1"/>
    <col min="12025" max="12025" width="20.375" style="1" bestFit="1" customWidth="1"/>
    <col min="12026" max="12026" width="12.5" style="1" customWidth="1"/>
    <col min="12027" max="12027" width="13.125" style="1" customWidth="1"/>
    <col min="12028" max="12032" width="9" style="1"/>
    <col min="12033" max="12033" width="11.25" style="1" bestFit="1" customWidth="1"/>
    <col min="12034" max="12034" width="11.625" style="1" bestFit="1" customWidth="1"/>
    <col min="12035" max="12265" width="9" style="1"/>
    <col min="12266" max="12266" width="4.625" style="1" customWidth="1"/>
    <col min="12267" max="12267" width="34.625" style="1" customWidth="1"/>
    <col min="12268" max="12268" width="11.625" style="1" customWidth="1"/>
    <col min="12269" max="12270" width="6.625" style="1" customWidth="1"/>
    <col min="12271" max="12271" width="10.625" style="1" customWidth="1"/>
    <col min="12272" max="12272" width="14.625" style="1" customWidth="1"/>
    <col min="12273" max="12273" width="10.625" style="1" customWidth="1"/>
    <col min="12274" max="12274" width="14.625" style="1" customWidth="1"/>
    <col min="12275" max="12275" width="10.625" style="1" customWidth="1"/>
    <col min="12276" max="12276" width="14.625" style="1" customWidth="1"/>
    <col min="12277" max="12277" width="10.625" style="1" customWidth="1"/>
    <col min="12278" max="12278" width="18.625" style="1" customWidth="1"/>
    <col min="12279" max="12279" width="9.625" style="1" customWidth="1"/>
    <col min="12280" max="12280" width="10.5" style="1" customWidth="1"/>
    <col min="12281" max="12281" width="20.375" style="1" bestFit="1" customWidth="1"/>
    <col min="12282" max="12282" width="12.5" style="1" customWidth="1"/>
    <col min="12283" max="12283" width="13.125" style="1" customWidth="1"/>
    <col min="12284" max="12288" width="9" style="1"/>
    <col min="12289" max="12289" width="11.25" style="1" bestFit="1" customWidth="1"/>
    <col min="12290" max="12290" width="11.625" style="1" bestFit="1" customWidth="1"/>
    <col min="12291" max="12521" width="9" style="1"/>
    <col min="12522" max="12522" width="4.625" style="1" customWidth="1"/>
    <col min="12523" max="12523" width="34.625" style="1" customWidth="1"/>
    <col min="12524" max="12524" width="11.625" style="1" customWidth="1"/>
    <col min="12525" max="12526" width="6.625" style="1" customWidth="1"/>
    <col min="12527" max="12527" width="10.625" style="1" customWidth="1"/>
    <col min="12528" max="12528" width="14.625" style="1" customWidth="1"/>
    <col min="12529" max="12529" width="10.625" style="1" customWidth="1"/>
    <col min="12530" max="12530" width="14.625" style="1" customWidth="1"/>
    <col min="12531" max="12531" width="10.625" style="1" customWidth="1"/>
    <col min="12532" max="12532" width="14.625" style="1" customWidth="1"/>
    <col min="12533" max="12533" width="10.625" style="1" customWidth="1"/>
    <col min="12534" max="12534" width="18.625" style="1" customWidth="1"/>
    <col min="12535" max="12535" width="9.625" style="1" customWidth="1"/>
    <col min="12536" max="12536" width="10.5" style="1" customWidth="1"/>
    <col min="12537" max="12537" width="20.375" style="1" bestFit="1" customWidth="1"/>
    <col min="12538" max="12538" width="12.5" style="1" customWidth="1"/>
    <col min="12539" max="12539" width="13.125" style="1" customWidth="1"/>
    <col min="12540" max="12544" width="9" style="1"/>
    <col min="12545" max="12545" width="11.25" style="1" bestFit="1" customWidth="1"/>
    <col min="12546" max="12546" width="11.625" style="1" bestFit="1" customWidth="1"/>
    <col min="12547" max="12777" width="9" style="1"/>
    <col min="12778" max="12778" width="4.625" style="1" customWidth="1"/>
    <col min="12779" max="12779" width="34.625" style="1" customWidth="1"/>
    <col min="12780" max="12780" width="11.625" style="1" customWidth="1"/>
    <col min="12781" max="12782" width="6.625" style="1" customWidth="1"/>
    <col min="12783" max="12783" width="10.625" style="1" customWidth="1"/>
    <col min="12784" max="12784" width="14.625" style="1" customWidth="1"/>
    <col min="12785" max="12785" width="10.625" style="1" customWidth="1"/>
    <col min="12786" max="12786" width="14.625" style="1" customWidth="1"/>
    <col min="12787" max="12787" width="10.625" style="1" customWidth="1"/>
    <col min="12788" max="12788" width="14.625" style="1" customWidth="1"/>
    <col min="12789" max="12789" width="10.625" style="1" customWidth="1"/>
    <col min="12790" max="12790" width="18.625" style="1" customWidth="1"/>
    <col min="12791" max="12791" width="9.625" style="1" customWidth="1"/>
    <col min="12792" max="12792" width="10.5" style="1" customWidth="1"/>
    <col min="12793" max="12793" width="20.375" style="1" bestFit="1" customWidth="1"/>
    <col min="12794" max="12794" width="12.5" style="1" customWidth="1"/>
    <col min="12795" max="12795" width="13.125" style="1" customWidth="1"/>
    <col min="12796" max="12800" width="9" style="1"/>
    <col min="12801" max="12801" width="11.25" style="1" bestFit="1" customWidth="1"/>
    <col min="12802" max="12802" width="11.625" style="1" bestFit="1" customWidth="1"/>
    <col min="12803" max="13033" width="9" style="1"/>
    <col min="13034" max="13034" width="4.625" style="1" customWidth="1"/>
    <col min="13035" max="13035" width="34.625" style="1" customWidth="1"/>
    <col min="13036" max="13036" width="11.625" style="1" customWidth="1"/>
    <col min="13037" max="13038" width="6.625" style="1" customWidth="1"/>
    <col min="13039" max="13039" width="10.625" style="1" customWidth="1"/>
    <col min="13040" max="13040" width="14.625" style="1" customWidth="1"/>
    <col min="13041" max="13041" width="10.625" style="1" customWidth="1"/>
    <col min="13042" max="13042" width="14.625" style="1" customWidth="1"/>
    <col min="13043" max="13043" width="10.625" style="1" customWidth="1"/>
    <col min="13044" max="13044" width="14.625" style="1" customWidth="1"/>
    <col min="13045" max="13045" width="10.625" style="1" customWidth="1"/>
    <col min="13046" max="13046" width="18.625" style="1" customWidth="1"/>
    <col min="13047" max="13047" width="9.625" style="1" customWidth="1"/>
    <col min="13048" max="13048" width="10.5" style="1" customWidth="1"/>
    <col min="13049" max="13049" width="20.375" style="1" bestFit="1" customWidth="1"/>
    <col min="13050" max="13050" width="12.5" style="1" customWidth="1"/>
    <col min="13051" max="13051" width="13.125" style="1" customWidth="1"/>
    <col min="13052" max="13056" width="9" style="1"/>
    <col min="13057" max="13057" width="11.25" style="1" bestFit="1" customWidth="1"/>
    <col min="13058" max="13058" width="11.625" style="1" bestFit="1" customWidth="1"/>
    <col min="13059" max="13289" width="9" style="1"/>
    <col min="13290" max="13290" width="4.625" style="1" customWidth="1"/>
    <col min="13291" max="13291" width="34.625" style="1" customWidth="1"/>
    <col min="13292" max="13292" width="11.625" style="1" customWidth="1"/>
    <col min="13293" max="13294" width="6.625" style="1" customWidth="1"/>
    <col min="13295" max="13295" width="10.625" style="1" customWidth="1"/>
    <col min="13296" max="13296" width="14.625" style="1" customWidth="1"/>
    <col min="13297" max="13297" width="10.625" style="1" customWidth="1"/>
    <col min="13298" max="13298" width="14.625" style="1" customWidth="1"/>
    <col min="13299" max="13299" width="10.625" style="1" customWidth="1"/>
    <col min="13300" max="13300" width="14.625" style="1" customWidth="1"/>
    <col min="13301" max="13301" width="10.625" style="1" customWidth="1"/>
    <col min="13302" max="13302" width="18.625" style="1" customWidth="1"/>
    <col min="13303" max="13303" width="9.625" style="1" customWidth="1"/>
    <col min="13304" max="13304" width="10.5" style="1" customWidth="1"/>
    <col min="13305" max="13305" width="20.375" style="1" bestFit="1" customWidth="1"/>
    <col min="13306" max="13306" width="12.5" style="1" customWidth="1"/>
    <col min="13307" max="13307" width="13.125" style="1" customWidth="1"/>
    <col min="13308" max="13312" width="9" style="1"/>
    <col min="13313" max="13313" width="11.25" style="1" bestFit="1" customWidth="1"/>
    <col min="13314" max="13314" width="11.625" style="1" bestFit="1" customWidth="1"/>
    <col min="13315" max="13545" width="9" style="1"/>
    <col min="13546" max="13546" width="4.625" style="1" customWidth="1"/>
    <col min="13547" max="13547" width="34.625" style="1" customWidth="1"/>
    <col min="13548" max="13548" width="11.625" style="1" customWidth="1"/>
    <col min="13549" max="13550" width="6.625" style="1" customWidth="1"/>
    <col min="13551" max="13551" width="10.625" style="1" customWidth="1"/>
    <col min="13552" max="13552" width="14.625" style="1" customWidth="1"/>
    <col min="13553" max="13553" width="10.625" style="1" customWidth="1"/>
    <col min="13554" max="13554" width="14.625" style="1" customWidth="1"/>
    <col min="13555" max="13555" width="10.625" style="1" customWidth="1"/>
    <col min="13556" max="13556" width="14.625" style="1" customWidth="1"/>
    <col min="13557" max="13557" width="10.625" style="1" customWidth="1"/>
    <col min="13558" max="13558" width="18.625" style="1" customWidth="1"/>
    <col min="13559" max="13559" width="9.625" style="1" customWidth="1"/>
    <col min="13560" max="13560" width="10.5" style="1" customWidth="1"/>
    <col min="13561" max="13561" width="20.375" style="1" bestFit="1" customWidth="1"/>
    <col min="13562" max="13562" width="12.5" style="1" customWidth="1"/>
    <col min="13563" max="13563" width="13.125" style="1" customWidth="1"/>
    <col min="13564" max="13568" width="9" style="1"/>
    <col min="13569" max="13569" width="11.25" style="1" bestFit="1" customWidth="1"/>
    <col min="13570" max="13570" width="11.625" style="1" bestFit="1" customWidth="1"/>
    <col min="13571" max="13801" width="9" style="1"/>
    <col min="13802" max="13802" width="4.625" style="1" customWidth="1"/>
    <col min="13803" max="13803" width="34.625" style="1" customWidth="1"/>
    <col min="13804" max="13804" width="11.625" style="1" customWidth="1"/>
    <col min="13805" max="13806" width="6.625" style="1" customWidth="1"/>
    <col min="13807" max="13807" width="10.625" style="1" customWidth="1"/>
    <col min="13808" max="13808" width="14.625" style="1" customWidth="1"/>
    <col min="13809" max="13809" width="10.625" style="1" customWidth="1"/>
    <col min="13810" max="13810" width="14.625" style="1" customWidth="1"/>
    <col min="13811" max="13811" width="10.625" style="1" customWidth="1"/>
    <col min="13812" max="13812" width="14.625" style="1" customWidth="1"/>
    <col min="13813" max="13813" width="10.625" style="1" customWidth="1"/>
    <col min="13814" max="13814" width="18.625" style="1" customWidth="1"/>
    <col min="13815" max="13815" width="9.625" style="1" customWidth="1"/>
    <col min="13816" max="13816" width="10.5" style="1" customWidth="1"/>
    <col min="13817" max="13817" width="20.375" style="1" bestFit="1" customWidth="1"/>
    <col min="13818" max="13818" width="12.5" style="1" customWidth="1"/>
    <col min="13819" max="13819" width="13.125" style="1" customWidth="1"/>
    <col min="13820" max="13824" width="9" style="1"/>
    <col min="13825" max="13825" width="11.25" style="1" bestFit="1" customWidth="1"/>
    <col min="13826" max="13826" width="11.625" style="1" bestFit="1" customWidth="1"/>
    <col min="13827" max="14057" width="9" style="1"/>
    <col min="14058" max="14058" width="4.625" style="1" customWidth="1"/>
    <col min="14059" max="14059" width="34.625" style="1" customWidth="1"/>
    <col min="14060" max="14060" width="11.625" style="1" customWidth="1"/>
    <col min="14061" max="14062" width="6.625" style="1" customWidth="1"/>
    <col min="14063" max="14063" width="10.625" style="1" customWidth="1"/>
    <col min="14064" max="14064" width="14.625" style="1" customWidth="1"/>
    <col min="14065" max="14065" width="10.625" style="1" customWidth="1"/>
    <col min="14066" max="14066" width="14.625" style="1" customWidth="1"/>
    <col min="14067" max="14067" width="10.625" style="1" customWidth="1"/>
    <col min="14068" max="14068" width="14.625" style="1" customWidth="1"/>
    <col min="14069" max="14069" width="10.625" style="1" customWidth="1"/>
    <col min="14070" max="14070" width="18.625" style="1" customWidth="1"/>
    <col min="14071" max="14071" width="9.625" style="1" customWidth="1"/>
    <col min="14072" max="14072" width="10.5" style="1" customWidth="1"/>
    <col min="14073" max="14073" width="20.375" style="1" bestFit="1" customWidth="1"/>
    <col min="14074" max="14074" width="12.5" style="1" customWidth="1"/>
    <col min="14075" max="14075" width="13.125" style="1" customWidth="1"/>
    <col min="14076" max="14080" width="9" style="1"/>
    <col min="14081" max="14081" width="11.25" style="1" bestFit="1" customWidth="1"/>
    <col min="14082" max="14082" width="11.625" style="1" bestFit="1" customWidth="1"/>
    <col min="14083" max="14313" width="9" style="1"/>
    <col min="14314" max="14314" width="4.625" style="1" customWidth="1"/>
    <col min="14315" max="14315" width="34.625" style="1" customWidth="1"/>
    <col min="14316" max="14316" width="11.625" style="1" customWidth="1"/>
    <col min="14317" max="14318" width="6.625" style="1" customWidth="1"/>
    <col min="14319" max="14319" width="10.625" style="1" customWidth="1"/>
    <col min="14320" max="14320" width="14.625" style="1" customWidth="1"/>
    <col min="14321" max="14321" width="10.625" style="1" customWidth="1"/>
    <col min="14322" max="14322" width="14.625" style="1" customWidth="1"/>
    <col min="14323" max="14323" width="10.625" style="1" customWidth="1"/>
    <col min="14324" max="14324" width="14.625" style="1" customWidth="1"/>
    <col min="14325" max="14325" width="10.625" style="1" customWidth="1"/>
    <col min="14326" max="14326" width="18.625" style="1" customWidth="1"/>
    <col min="14327" max="14327" width="9.625" style="1" customWidth="1"/>
    <col min="14328" max="14328" width="10.5" style="1" customWidth="1"/>
    <col min="14329" max="14329" width="20.375" style="1" bestFit="1" customWidth="1"/>
    <col min="14330" max="14330" width="12.5" style="1" customWidth="1"/>
    <col min="14331" max="14331" width="13.125" style="1" customWidth="1"/>
    <col min="14332" max="14336" width="9" style="1"/>
    <col min="14337" max="14337" width="11.25" style="1" bestFit="1" customWidth="1"/>
    <col min="14338" max="14338" width="11.625" style="1" bestFit="1" customWidth="1"/>
    <col min="14339" max="14569" width="9" style="1"/>
    <col min="14570" max="14570" width="4.625" style="1" customWidth="1"/>
    <col min="14571" max="14571" width="34.625" style="1" customWidth="1"/>
    <col min="14572" max="14572" width="11.625" style="1" customWidth="1"/>
    <col min="14573" max="14574" width="6.625" style="1" customWidth="1"/>
    <col min="14575" max="14575" width="10.625" style="1" customWidth="1"/>
    <col min="14576" max="14576" width="14.625" style="1" customWidth="1"/>
    <col min="14577" max="14577" width="10.625" style="1" customWidth="1"/>
    <col min="14578" max="14578" width="14.625" style="1" customWidth="1"/>
    <col min="14579" max="14579" width="10.625" style="1" customWidth="1"/>
    <col min="14580" max="14580" width="14.625" style="1" customWidth="1"/>
    <col min="14581" max="14581" width="10.625" style="1" customWidth="1"/>
    <col min="14582" max="14582" width="18.625" style="1" customWidth="1"/>
    <col min="14583" max="14583" width="9.625" style="1" customWidth="1"/>
    <col min="14584" max="14584" width="10.5" style="1" customWidth="1"/>
    <col min="14585" max="14585" width="20.375" style="1" bestFit="1" customWidth="1"/>
    <col min="14586" max="14586" width="12.5" style="1" customWidth="1"/>
    <col min="14587" max="14587" width="13.125" style="1" customWidth="1"/>
    <col min="14588" max="14592" width="9" style="1"/>
    <col min="14593" max="14593" width="11.25" style="1" bestFit="1" customWidth="1"/>
    <col min="14594" max="14594" width="11.625" style="1" bestFit="1" customWidth="1"/>
    <col min="14595" max="14825" width="9" style="1"/>
    <col min="14826" max="14826" width="4.625" style="1" customWidth="1"/>
    <col min="14827" max="14827" width="34.625" style="1" customWidth="1"/>
    <col min="14828" max="14828" width="11.625" style="1" customWidth="1"/>
    <col min="14829" max="14830" width="6.625" style="1" customWidth="1"/>
    <col min="14831" max="14831" width="10.625" style="1" customWidth="1"/>
    <col min="14832" max="14832" width="14.625" style="1" customWidth="1"/>
    <col min="14833" max="14833" width="10.625" style="1" customWidth="1"/>
    <col min="14834" max="14834" width="14.625" style="1" customWidth="1"/>
    <col min="14835" max="14835" width="10.625" style="1" customWidth="1"/>
    <col min="14836" max="14836" width="14.625" style="1" customWidth="1"/>
    <col min="14837" max="14837" width="10.625" style="1" customWidth="1"/>
    <col min="14838" max="14838" width="18.625" style="1" customWidth="1"/>
    <col min="14839" max="14839" width="9.625" style="1" customWidth="1"/>
    <col min="14840" max="14840" width="10.5" style="1" customWidth="1"/>
    <col min="14841" max="14841" width="20.375" style="1" bestFit="1" customWidth="1"/>
    <col min="14842" max="14842" width="12.5" style="1" customWidth="1"/>
    <col min="14843" max="14843" width="13.125" style="1" customWidth="1"/>
    <col min="14844" max="14848" width="9" style="1"/>
    <col min="14849" max="14849" width="11.25" style="1" bestFit="1" customWidth="1"/>
    <col min="14850" max="14850" width="11.625" style="1" bestFit="1" customWidth="1"/>
    <col min="14851" max="15081" width="9" style="1"/>
    <col min="15082" max="15082" width="4.625" style="1" customWidth="1"/>
    <col min="15083" max="15083" width="34.625" style="1" customWidth="1"/>
    <col min="15084" max="15084" width="11.625" style="1" customWidth="1"/>
    <col min="15085" max="15086" width="6.625" style="1" customWidth="1"/>
    <col min="15087" max="15087" width="10.625" style="1" customWidth="1"/>
    <col min="15088" max="15088" width="14.625" style="1" customWidth="1"/>
    <col min="15089" max="15089" width="10.625" style="1" customWidth="1"/>
    <col min="15090" max="15090" width="14.625" style="1" customWidth="1"/>
    <col min="15091" max="15091" width="10.625" style="1" customWidth="1"/>
    <col min="15092" max="15092" width="14.625" style="1" customWidth="1"/>
    <col min="15093" max="15093" width="10.625" style="1" customWidth="1"/>
    <col min="15094" max="15094" width="18.625" style="1" customWidth="1"/>
    <col min="15095" max="15095" width="9.625" style="1" customWidth="1"/>
    <col min="15096" max="15096" width="10.5" style="1" customWidth="1"/>
    <col min="15097" max="15097" width="20.375" style="1" bestFit="1" customWidth="1"/>
    <col min="15098" max="15098" width="12.5" style="1" customWidth="1"/>
    <col min="15099" max="15099" width="13.125" style="1" customWidth="1"/>
    <col min="15100" max="15104" width="9" style="1"/>
    <col min="15105" max="15105" width="11.25" style="1" bestFit="1" customWidth="1"/>
    <col min="15106" max="15106" width="11.625" style="1" bestFit="1" customWidth="1"/>
    <col min="15107" max="15337" width="9" style="1"/>
    <col min="15338" max="15338" width="4.625" style="1" customWidth="1"/>
    <col min="15339" max="15339" width="34.625" style="1" customWidth="1"/>
    <col min="15340" max="15340" width="11.625" style="1" customWidth="1"/>
    <col min="15341" max="15342" width="6.625" style="1" customWidth="1"/>
    <col min="15343" max="15343" width="10.625" style="1" customWidth="1"/>
    <col min="15344" max="15344" width="14.625" style="1" customWidth="1"/>
    <col min="15345" max="15345" width="10.625" style="1" customWidth="1"/>
    <col min="15346" max="15346" width="14.625" style="1" customWidth="1"/>
    <col min="15347" max="15347" width="10.625" style="1" customWidth="1"/>
    <col min="15348" max="15348" width="14.625" style="1" customWidth="1"/>
    <col min="15349" max="15349" width="10.625" style="1" customWidth="1"/>
    <col min="15350" max="15350" width="18.625" style="1" customWidth="1"/>
    <col min="15351" max="15351" width="9.625" style="1" customWidth="1"/>
    <col min="15352" max="15352" width="10.5" style="1" customWidth="1"/>
    <col min="15353" max="15353" width="20.375" style="1" bestFit="1" customWidth="1"/>
    <col min="15354" max="15354" width="12.5" style="1" customWidth="1"/>
    <col min="15355" max="15355" width="13.125" style="1" customWidth="1"/>
    <col min="15356" max="15360" width="9" style="1"/>
    <col min="15361" max="15361" width="11.25" style="1" bestFit="1" customWidth="1"/>
    <col min="15362" max="15362" width="11.625" style="1" bestFit="1" customWidth="1"/>
    <col min="15363" max="15593" width="9" style="1"/>
    <col min="15594" max="15594" width="4.625" style="1" customWidth="1"/>
    <col min="15595" max="15595" width="34.625" style="1" customWidth="1"/>
    <col min="15596" max="15596" width="11.625" style="1" customWidth="1"/>
    <col min="15597" max="15598" width="6.625" style="1" customWidth="1"/>
    <col min="15599" max="15599" width="10.625" style="1" customWidth="1"/>
    <col min="15600" max="15600" width="14.625" style="1" customWidth="1"/>
    <col min="15601" max="15601" width="10.625" style="1" customWidth="1"/>
    <col min="15602" max="15602" width="14.625" style="1" customWidth="1"/>
    <col min="15603" max="15603" width="10.625" style="1" customWidth="1"/>
    <col min="15604" max="15604" width="14.625" style="1" customWidth="1"/>
    <col min="15605" max="15605" width="10.625" style="1" customWidth="1"/>
    <col min="15606" max="15606" width="18.625" style="1" customWidth="1"/>
    <col min="15607" max="15607" width="9.625" style="1" customWidth="1"/>
    <col min="15608" max="15608" width="10.5" style="1" customWidth="1"/>
    <col min="15609" max="15609" width="20.375" style="1" bestFit="1" customWidth="1"/>
    <col min="15610" max="15610" width="12.5" style="1" customWidth="1"/>
    <col min="15611" max="15611" width="13.125" style="1" customWidth="1"/>
    <col min="15612" max="15616" width="9" style="1"/>
    <col min="15617" max="15617" width="11.25" style="1" bestFit="1" customWidth="1"/>
    <col min="15618" max="15618" width="11.625" style="1" bestFit="1" customWidth="1"/>
    <col min="15619" max="15849" width="9" style="1"/>
    <col min="15850" max="15850" width="4.625" style="1" customWidth="1"/>
    <col min="15851" max="15851" width="34.625" style="1" customWidth="1"/>
    <col min="15852" max="15852" width="11.625" style="1" customWidth="1"/>
    <col min="15853" max="15854" width="6.625" style="1" customWidth="1"/>
    <col min="15855" max="15855" width="10.625" style="1" customWidth="1"/>
    <col min="15856" max="15856" width="14.625" style="1" customWidth="1"/>
    <col min="15857" max="15857" width="10.625" style="1" customWidth="1"/>
    <col min="15858" max="15858" width="14.625" style="1" customWidth="1"/>
    <col min="15859" max="15859" width="10.625" style="1" customWidth="1"/>
    <col min="15860" max="15860" width="14.625" style="1" customWidth="1"/>
    <col min="15861" max="15861" width="10.625" style="1" customWidth="1"/>
    <col min="15862" max="15862" width="18.625" style="1" customWidth="1"/>
    <col min="15863" max="15863" width="9.625" style="1" customWidth="1"/>
    <col min="15864" max="15864" width="10.5" style="1" customWidth="1"/>
    <col min="15865" max="15865" width="20.375" style="1" bestFit="1" customWidth="1"/>
    <col min="15866" max="15866" width="12.5" style="1" customWidth="1"/>
    <col min="15867" max="15867" width="13.125" style="1" customWidth="1"/>
    <col min="15868" max="15872" width="9" style="1"/>
    <col min="15873" max="15873" width="11.25" style="1" bestFit="1" customWidth="1"/>
    <col min="15874" max="15874" width="11.625" style="1" bestFit="1" customWidth="1"/>
    <col min="15875" max="16105" width="9" style="1"/>
    <col min="16106" max="16106" width="4.625" style="1" customWidth="1"/>
    <col min="16107" max="16107" width="34.625" style="1" customWidth="1"/>
    <col min="16108" max="16108" width="11.625" style="1" customWidth="1"/>
    <col min="16109" max="16110" width="6.625" style="1" customWidth="1"/>
    <col min="16111" max="16111" width="10.625" style="1" customWidth="1"/>
    <col min="16112" max="16112" width="14.625" style="1" customWidth="1"/>
    <col min="16113" max="16113" width="10.625" style="1" customWidth="1"/>
    <col min="16114" max="16114" width="14.625" style="1" customWidth="1"/>
    <col min="16115" max="16115" width="10.625" style="1" customWidth="1"/>
    <col min="16116" max="16116" width="14.625" style="1" customWidth="1"/>
    <col min="16117" max="16117" width="10.625" style="1" customWidth="1"/>
    <col min="16118" max="16118" width="18.625" style="1" customWidth="1"/>
    <col min="16119" max="16119" width="9.625" style="1" customWidth="1"/>
    <col min="16120" max="16120" width="10.5" style="1" customWidth="1"/>
    <col min="16121" max="16121" width="20.375" style="1" bestFit="1" customWidth="1"/>
    <col min="16122" max="16122" width="12.5" style="1" customWidth="1"/>
    <col min="16123" max="16123" width="13.125" style="1" customWidth="1"/>
    <col min="16124" max="16128" width="9" style="1"/>
    <col min="16129" max="16129" width="11.25" style="1" bestFit="1" customWidth="1"/>
    <col min="16130" max="16130" width="11.625" style="1" bestFit="1" customWidth="1"/>
    <col min="16131" max="16384" width="9" style="1"/>
  </cols>
  <sheetData>
    <row r="1" spans="1:118" s="207" customFormat="1" ht="35.1" customHeight="1">
      <c r="A1" s="330" t="s">
        <v>400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</row>
    <row r="2" spans="1:118" ht="19.5" customHeight="1" thickBot="1">
      <c r="A2" s="354" t="s">
        <v>289</v>
      </c>
      <c r="B2" s="354"/>
      <c r="C2" s="354"/>
      <c r="D2" s="354"/>
      <c r="E2" s="354"/>
      <c r="F2" s="355"/>
      <c r="G2" s="355"/>
      <c r="H2" s="355"/>
      <c r="I2" s="355"/>
      <c r="J2" s="179"/>
      <c r="K2" s="179"/>
      <c r="L2" s="179"/>
      <c r="M2" s="258" t="s">
        <v>442</v>
      </c>
    </row>
    <row r="3" spans="1:118" ht="30" customHeight="1" thickBot="1">
      <c r="A3" s="121"/>
      <c r="B3" s="180" t="s">
        <v>290</v>
      </c>
      <c r="C3" s="181" t="s">
        <v>291</v>
      </c>
      <c r="D3" s="181" t="s">
        <v>292</v>
      </c>
      <c r="E3" s="181" t="s">
        <v>293</v>
      </c>
      <c r="F3" s="333" t="s">
        <v>294</v>
      </c>
      <c r="G3" s="334"/>
      <c r="H3" s="334"/>
      <c r="I3" s="334"/>
      <c r="J3" s="210" t="s">
        <v>295</v>
      </c>
      <c r="K3" s="210" t="s">
        <v>296</v>
      </c>
      <c r="L3" s="210" t="s">
        <v>297</v>
      </c>
      <c r="M3" s="211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</row>
    <row r="4" spans="1:118" ht="30" customHeight="1">
      <c r="A4" s="165" t="s">
        <v>298</v>
      </c>
      <c r="B4" s="44"/>
      <c r="C4" s="44"/>
      <c r="D4" s="44"/>
      <c r="E4" s="47"/>
      <c r="F4" s="335"/>
      <c r="G4" s="336"/>
      <c r="H4" s="336"/>
      <c r="I4" s="337"/>
      <c r="J4" s="48">
        <v>0</v>
      </c>
      <c r="K4" s="46">
        <f>'기성총괄표(2025열수송관_시티_건가)'!M10</f>
        <v>284428440</v>
      </c>
      <c r="L4" s="212">
        <f>J4+K4</f>
        <v>284428440</v>
      </c>
      <c r="M4" s="166"/>
    </row>
    <row r="5" spans="1:118" s="3" customFormat="1" ht="30" customHeight="1">
      <c r="A5" s="127"/>
      <c r="B5" s="132"/>
      <c r="C5" s="129"/>
      <c r="D5" s="130"/>
      <c r="E5" s="128"/>
      <c r="F5" s="321"/>
      <c r="G5" s="322"/>
      <c r="H5" s="322"/>
      <c r="I5" s="323"/>
      <c r="J5" s="80"/>
      <c r="K5" s="80"/>
      <c r="L5" s="80"/>
      <c r="M5" s="8"/>
    </row>
    <row r="6" spans="1:118" s="3" customFormat="1" ht="30" customHeight="1">
      <c r="A6" s="127"/>
      <c r="B6" s="132"/>
      <c r="C6" s="129"/>
      <c r="D6" s="130"/>
      <c r="E6" s="128"/>
      <c r="F6" s="321"/>
      <c r="G6" s="322"/>
      <c r="H6" s="322"/>
      <c r="I6" s="323"/>
      <c r="J6" s="80"/>
      <c r="K6" s="80"/>
      <c r="L6" s="80"/>
      <c r="M6" s="8"/>
    </row>
    <row r="7" spans="1:118" s="3" customFormat="1" ht="30" customHeight="1" thickBot="1">
      <c r="A7" s="133"/>
      <c r="B7" s="134"/>
      <c r="C7" s="135"/>
      <c r="D7" s="62"/>
      <c r="E7" s="62"/>
      <c r="F7" s="324"/>
      <c r="G7" s="325"/>
      <c r="H7" s="325"/>
      <c r="I7" s="326"/>
      <c r="J7" s="23"/>
      <c r="K7" s="23"/>
      <c r="L7" s="23"/>
      <c r="M7" s="63"/>
    </row>
    <row r="8" spans="1:118" s="52" customFormat="1" ht="30" customHeight="1" thickBot="1">
      <c r="A8" s="136"/>
      <c r="B8" s="137" t="s">
        <v>299</v>
      </c>
      <c r="C8" s="138"/>
      <c r="D8" s="139"/>
      <c r="E8" s="138"/>
      <c r="F8" s="327"/>
      <c r="G8" s="328"/>
      <c r="H8" s="328"/>
      <c r="I8" s="329"/>
      <c r="J8" s="140">
        <f t="shared" ref="J8" si="0">SUM(J4:J7)</f>
        <v>0</v>
      </c>
      <c r="K8" s="140">
        <f>SUM(K4:K7)</f>
        <v>284428440</v>
      </c>
      <c r="L8" s="140">
        <f>SUM(L4:L7)</f>
        <v>284428440</v>
      </c>
      <c r="M8" s="141"/>
    </row>
    <row r="9" spans="1:118" s="92" customFormat="1" ht="30" customHeight="1">
      <c r="A9" s="142"/>
      <c r="B9" s="143" t="s">
        <v>300</v>
      </c>
      <c r="C9" s="82"/>
      <c r="D9" s="83"/>
      <c r="E9" s="84"/>
      <c r="F9" s="85"/>
      <c r="G9" s="213"/>
      <c r="H9" s="213"/>
      <c r="I9" s="213"/>
      <c r="J9" s="215"/>
      <c r="K9" s="216"/>
      <c r="L9" s="216"/>
      <c r="M9" s="90"/>
    </row>
    <row r="10" spans="1:118" s="3" customFormat="1" ht="30" customHeight="1">
      <c r="A10" s="144" t="s">
        <v>36</v>
      </c>
      <c r="B10" s="145" t="s">
        <v>301</v>
      </c>
      <c r="C10" s="6"/>
      <c r="D10" s="7">
        <v>1</v>
      </c>
      <c r="E10" s="6" t="s">
        <v>5</v>
      </c>
      <c r="F10" s="217"/>
      <c r="G10" s="27"/>
      <c r="H10" s="27"/>
      <c r="I10" s="27"/>
      <c r="J10" s="218">
        <v>0</v>
      </c>
      <c r="K10" s="30">
        <f>'기성총괄표(2025열수송관_시티_건가)'!M12</f>
        <v>232893288</v>
      </c>
      <c r="L10" s="30">
        <f>J10+K10</f>
        <v>232893288</v>
      </c>
      <c r="M10" s="8"/>
    </row>
    <row r="11" spans="1:118" s="3" customFormat="1" ht="30" customHeight="1">
      <c r="A11" s="144" t="s">
        <v>34</v>
      </c>
      <c r="B11" s="146" t="s">
        <v>302</v>
      </c>
      <c r="C11" s="6"/>
      <c r="D11" s="31"/>
      <c r="E11" s="32"/>
      <c r="F11" s="217"/>
      <c r="G11" s="27"/>
      <c r="H11" s="27"/>
      <c r="I11" s="27"/>
      <c r="J11" s="218">
        <v>0</v>
      </c>
      <c r="K11" s="30">
        <f>'기성총괄표(2025열수송관_시티_건가)'!M13</f>
        <v>40290304</v>
      </c>
      <c r="L11" s="30">
        <f t="shared" ref="L11:L35" si="1">J11+K11</f>
        <v>40290304</v>
      </c>
      <c r="M11" s="8"/>
    </row>
    <row r="12" spans="1:118" ht="30" customHeight="1">
      <c r="A12" s="126"/>
      <c r="B12" s="145" t="s">
        <v>42</v>
      </c>
      <c r="C12" s="33"/>
      <c r="D12" s="7">
        <v>1</v>
      </c>
      <c r="E12" s="6" t="s">
        <v>5</v>
      </c>
      <c r="F12" s="219"/>
      <c r="G12" s="220"/>
      <c r="H12" s="220"/>
      <c r="I12" s="220"/>
      <c r="J12" s="218">
        <v>0</v>
      </c>
      <c r="K12" s="30">
        <f>'기성총괄표(2025열수송관_시티_건가)'!M14</f>
        <v>35560728</v>
      </c>
      <c r="L12" s="30">
        <f t="shared" si="1"/>
        <v>35560728</v>
      </c>
      <c r="M12" s="8"/>
    </row>
    <row r="13" spans="1:118" ht="30" customHeight="1">
      <c r="A13" s="126"/>
      <c r="B13" s="145" t="s">
        <v>303</v>
      </c>
      <c r="C13" s="35">
        <v>0.11600000000000001</v>
      </c>
      <c r="D13" s="7">
        <v>1</v>
      </c>
      <c r="E13" s="6" t="s">
        <v>5</v>
      </c>
      <c r="F13" s="219" t="s">
        <v>2</v>
      </c>
      <c r="G13" s="220"/>
      <c r="H13" s="220"/>
      <c r="I13" s="220"/>
      <c r="J13" s="218">
        <v>0</v>
      </c>
      <c r="K13" s="30">
        <f>'기성총괄표(2025열수송관_시티_건가)'!M15</f>
        <v>4729576</v>
      </c>
      <c r="L13" s="30">
        <f t="shared" si="1"/>
        <v>4729576</v>
      </c>
      <c r="M13" s="8"/>
    </row>
    <row r="14" spans="1:118" ht="30" customHeight="1">
      <c r="A14" s="144" t="s">
        <v>35</v>
      </c>
      <c r="B14" s="146" t="s">
        <v>62</v>
      </c>
      <c r="C14" s="33"/>
      <c r="D14" s="7"/>
      <c r="E14" s="6"/>
      <c r="F14" s="219"/>
      <c r="G14" s="220"/>
      <c r="H14" s="220"/>
      <c r="I14" s="220"/>
      <c r="J14" s="218">
        <v>0</v>
      </c>
      <c r="K14" s="30">
        <f>'기성총괄표(2025열수송관_시티_건가)'!M16</f>
        <v>29289400</v>
      </c>
      <c r="L14" s="30">
        <f t="shared" si="1"/>
        <v>29289400</v>
      </c>
      <c r="M14" s="8"/>
    </row>
    <row r="15" spans="1:118" ht="30" customHeight="1">
      <c r="A15" s="126"/>
      <c r="B15" s="145" t="s">
        <v>304</v>
      </c>
      <c r="C15" s="33"/>
      <c r="D15" s="7">
        <v>1</v>
      </c>
      <c r="E15" s="6" t="s">
        <v>5</v>
      </c>
      <c r="F15" s="219"/>
      <c r="G15" s="220"/>
      <c r="H15" s="220"/>
      <c r="I15" s="220"/>
      <c r="J15" s="218">
        <v>0</v>
      </c>
      <c r="K15" s="30">
        <f>'기성총괄표(2025열수송관_시티_건가)'!M17</f>
        <v>15974424</v>
      </c>
      <c r="L15" s="30">
        <f t="shared" si="1"/>
        <v>15974424</v>
      </c>
      <c r="M15" s="8"/>
    </row>
    <row r="16" spans="1:118" ht="30" customHeight="1">
      <c r="A16" s="126"/>
      <c r="B16" s="145" t="s">
        <v>305</v>
      </c>
      <c r="C16" s="36"/>
      <c r="D16" s="7"/>
      <c r="E16" s="6"/>
      <c r="F16" s="219"/>
      <c r="G16" s="220"/>
      <c r="H16" s="220"/>
      <c r="I16" s="220"/>
      <c r="J16" s="218">
        <v>0</v>
      </c>
      <c r="K16" s="30">
        <f>'기성총괄표(2025열수송관_시티_건가)'!M18</f>
        <v>0</v>
      </c>
      <c r="L16" s="30">
        <f t="shared" si="1"/>
        <v>0</v>
      </c>
      <c r="M16" s="49"/>
    </row>
    <row r="17" spans="1:13" ht="30" customHeight="1">
      <c r="A17" s="126"/>
      <c r="B17" s="146" t="s">
        <v>65</v>
      </c>
      <c r="C17" s="33">
        <v>3.56E-2</v>
      </c>
      <c r="D17" s="7">
        <v>1</v>
      </c>
      <c r="E17" s="6" t="s">
        <v>5</v>
      </c>
      <c r="F17" s="219" t="s">
        <v>306</v>
      </c>
      <c r="G17" s="220"/>
      <c r="H17" s="220"/>
      <c r="I17" s="220"/>
      <c r="J17" s="218">
        <v>0</v>
      </c>
      <c r="K17" s="30">
        <f>'기성총괄표(2025열수송관_시티_건가)'!M19</f>
        <v>1434334</v>
      </c>
      <c r="L17" s="30">
        <f t="shared" si="1"/>
        <v>1434334</v>
      </c>
      <c r="M17" s="8"/>
    </row>
    <row r="18" spans="1:13" ht="30" customHeight="1">
      <c r="A18" s="126"/>
      <c r="B18" s="146" t="s">
        <v>307</v>
      </c>
      <c r="C18" s="33">
        <v>1.01E-2</v>
      </c>
      <c r="D18" s="7">
        <v>1</v>
      </c>
      <c r="E18" s="6" t="s">
        <v>5</v>
      </c>
      <c r="F18" s="219" t="s">
        <v>308</v>
      </c>
      <c r="G18" s="220"/>
      <c r="H18" s="220"/>
      <c r="I18" s="220"/>
      <c r="J18" s="218">
        <v>0</v>
      </c>
      <c r="K18" s="30">
        <f>'기성총괄표(2025열수송관_시티_건가)'!M20</f>
        <v>406932</v>
      </c>
      <c r="L18" s="30">
        <f t="shared" si="1"/>
        <v>406932</v>
      </c>
      <c r="M18" s="8"/>
    </row>
    <row r="19" spans="1:13" ht="30" customHeight="1">
      <c r="A19" s="126"/>
      <c r="B19" s="146" t="s">
        <v>68</v>
      </c>
      <c r="C19" s="33">
        <v>4.4999999999999998E-2</v>
      </c>
      <c r="D19" s="7">
        <v>1</v>
      </c>
      <c r="E19" s="6" t="s">
        <v>5</v>
      </c>
      <c r="F19" s="219" t="s">
        <v>2</v>
      </c>
      <c r="G19" s="220"/>
      <c r="H19" s="220"/>
      <c r="I19" s="220"/>
      <c r="J19" s="218">
        <v>0</v>
      </c>
      <c r="K19" s="30">
        <f>'기성총괄표(2025열수송관_시티_건가)'!M21</f>
        <v>0</v>
      </c>
      <c r="L19" s="30">
        <f t="shared" si="1"/>
        <v>0</v>
      </c>
      <c r="M19" s="54" t="s">
        <v>309</v>
      </c>
    </row>
    <row r="20" spans="1:13" ht="30" customHeight="1">
      <c r="A20" s="126"/>
      <c r="B20" s="146" t="s">
        <v>70</v>
      </c>
      <c r="C20" s="172">
        <v>3.5450000000000002E-2</v>
      </c>
      <c r="D20" s="7">
        <v>1</v>
      </c>
      <c r="E20" s="6" t="s">
        <v>5</v>
      </c>
      <c r="F20" s="219" t="s">
        <v>310</v>
      </c>
      <c r="G20" s="220"/>
      <c r="H20" s="220"/>
      <c r="I20" s="220"/>
      <c r="J20" s="218">
        <v>0</v>
      </c>
      <c r="K20" s="30">
        <f>'기성총괄표(2025열수송관_시티_건가)'!M22</f>
        <v>0</v>
      </c>
      <c r="L20" s="30">
        <f t="shared" si="1"/>
        <v>0</v>
      </c>
      <c r="M20" s="54" t="s">
        <v>309</v>
      </c>
    </row>
    <row r="21" spans="1:13" ht="30" customHeight="1">
      <c r="A21" s="126"/>
      <c r="B21" s="146" t="s">
        <v>71</v>
      </c>
      <c r="C21" s="33">
        <v>0.1295</v>
      </c>
      <c r="D21" s="7">
        <v>1</v>
      </c>
      <c r="E21" s="6" t="s">
        <v>5</v>
      </c>
      <c r="F21" s="219" t="s">
        <v>72</v>
      </c>
      <c r="G21" s="220"/>
      <c r="H21" s="220"/>
      <c r="I21" s="220"/>
      <c r="J21" s="218">
        <v>0</v>
      </c>
      <c r="K21" s="30">
        <f>'기성총괄표(2025열수송관_시티_건가)'!M23</f>
        <v>0</v>
      </c>
      <c r="L21" s="30">
        <f t="shared" si="1"/>
        <v>0</v>
      </c>
      <c r="M21" s="54" t="s">
        <v>64</v>
      </c>
    </row>
    <row r="22" spans="1:13" ht="30" customHeight="1">
      <c r="A22" s="126"/>
      <c r="B22" s="145" t="s">
        <v>203</v>
      </c>
      <c r="C22" s="35">
        <v>2.3E-2</v>
      </c>
      <c r="D22" s="7">
        <v>1</v>
      </c>
      <c r="E22" s="6" t="s">
        <v>5</v>
      </c>
      <c r="F22" s="219" t="s">
        <v>311</v>
      </c>
      <c r="G22" s="220"/>
      <c r="H22" s="220"/>
      <c r="I22" s="220"/>
      <c r="J22" s="218">
        <v>0</v>
      </c>
      <c r="K22" s="30">
        <f>'기성총괄표(2025열수송관_시티_건가)'!M24</f>
        <v>0</v>
      </c>
      <c r="L22" s="30">
        <f t="shared" si="1"/>
        <v>0</v>
      </c>
      <c r="M22" s="54" t="s">
        <v>309</v>
      </c>
    </row>
    <row r="23" spans="1:13" s="52" customFormat="1" ht="30" customHeight="1">
      <c r="A23" s="126"/>
      <c r="B23" s="145" t="s">
        <v>312</v>
      </c>
      <c r="C23" s="33">
        <v>1.9900000000000001E-2</v>
      </c>
      <c r="D23" s="7">
        <v>1</v>
      </c>
      <c r="E23" s="6" t="s">
        <v>5</v>
      </c>
      <c r="F23" s="153" t="s">
        <v>313</v>
      </c>
      <c r="G23" s="222"/>
      <c r="H23" s="222"/>
      <c r="I23" s="222"/>
      <c r="J23" s="218">
        <v>0</v>
      </c>
      <c r="K23" s="30">
        <f>'기성총괄표(2025열수송관_시티_건가)'!M25</f>
        <v>0</v>
      </c>
      <c r="L23" s="30">
        <f t="shared" si="1"/>
        <v>0</v>
      </c>
      <c r="M23" s="54" t="s">
        <v>64</v>
      </c>
    </row>
    <row r="24" spans="1:13" ht="30" customHeight="1">
      <c r="A24" s="126"/>
      <c r="B24" s="145" t="s">
        <v>314</v>
      </c>
      <c r="C24" s="35">
        <v>4.8000000000000001E-2</v>
      </c>
      <c r="D24" s="7">
        <v>1</v>
      </c>
      <c r="E24" s="6" t="s">
        <v>5</v>
      </c>
      <c r="F24" s="219" t="s">
        <v>73</v>
      </c>
      <c r="G24" s="220"/>
      <c r="H24" s="220"/>
      <c r="I24" s="220"/>
      <c r="J24" s="218">
        <v>0</v>
      </c>
      <c r="K24" s="30">
        <f>'기성총괄표(2025열수송관_시티_건가)'!M26</f>
        <v>11473710</v>
      </c>
      <c r="L24" s="30">
        <f t="shared" si="1"/>
        <v>11473710</v>
      </c>
      <c r="M24" s="8"/>
    </row>
    <row r="25" spans="1:13" ht="30" customHeight="1">
      <c r="A25" s="126"/>
      <c r="B25" s="145" t="s">
        <v>315</v>
      </c>
      <c r="C25" s="35">
        <v>5.0000000000000001E-3</v>
      </c>
      <c r="D25" s="7">
        <v>1</v>
      </c>
      <c r="E25" s="6" t="s">
        <v>5</v>
      </c>
      <c r="F25" s="219" t="s">
        <v>74</v>
      </c>
      <c r="G25" s="220"/>
      <c r="H25" s="220"/>
      <c r="I25" s="220"/>
      <c r="J25" s="218">
        <v>0</v>
      </c>
      <c r="K25" s="30">
        <f>'기성총괄표(2025열수송관_시티_건가)'!M27</f>
        <v>0</v>
      </c>
      <c r="L25" s="30">
        <f t="shared" si="1"/>
        <v>0</v>
      </c>
      <c r="M25" s="49" t="s">
        <v>309</v>
      </c>
    </row>
    <row r="26" spans="1:13" ht="30" customHeight="1">
      <c r="A26" s="148"/>
      <c r="B26" s="149" t="s">
        <v>316</v>
      </c>
      <c r="C26" s="150"/>
      <c r="D26" s="64"/>
      <c r="E26" s="61"/>
      <c r="F26" s="219"/>
      <c r="G26" s="220"/>
      <c r="H26" s="220"/>
      <c r="I26" s="220"/>
      <c r="J26" s="218">
        <v>0</v>
      </c>
      <c r="K26" s="30">
        <f>'기성총괄표(2025열수송관_시티_건가)'!M28</f>
        <v>0</v>
      </c>
      <c r="L26" s="30">
        <f t="shared" si="1"/>
        <v>0</v>
      </c>
      <c r="M26" s="151"/>
    </row>
    <row r="27" spans="1:13" ht="30" customHeight="1">
      <c r="A27" s="148"/>
      <c r="B27" s="146" t="s">
        <v>317</v>
      </c>
      <c r="C27" s="152">
        <v>8.0999999999999996E-4</v>
      </c>
      <c r="D27" s="64">
        <v>1</v>
      </c>
      <c r="E27" s="61" t="s">
        <v>5</v>
      </c>
      <c r="F27" s="219" t="s">
        <v>318</v>
      </c>
      <c r="G27" s="220"/>
      <c r="H27" s="220"/>
      <c r="I27" s="220"/>
      <c r="J27" s="218">
        <v>0</v>
      </c>
      <c r="K27" s="30">
        <f>'기성총괄표(2025열수송관_시티_건가)'!M29</f>
        <v>0</v>
      </c>
      <c r="L27" s="30">
        <f t="shared" si="1"/>
        <v>0</v>
      </c>
      <c r="M27" s="151" t="s">
        <v>309</v>
      </c>
    </row>
    <row r="28" spans="1:13" ht="30" customHeight="1">
      <c r="A28" s="126"/>
      <c r="B28" s="146" t="s">
        <v>76</v>
      </c>
      <c r="C28" s="33">
        <v>3.2000000000000002E-3</v>
      </c>
      <c r="D28" s="7">
        <v>1</v>
      </c>
      <c r="E28" s="6" t="s">
        <v>5</v>
      </c>
      <c r="F28" s="219" t="s">
        <v>318</v>
      </c>
      <c r="G28" s="220"/>
      <c r="H28" s="220"/>
      <c r="I28" s="220"/>
      <c r="J28" s="218">
        <v>0</v>
      </c>
      <c r="K28" s="30">
        <f>'기성총괄표(2025열수송관_시티_건가)'!M30</f>
        <v>0</v>
      </c>
      <c r="L28" s="30">
        <f t="shared" si="1"/>
        <v>0</v>
      </c>
      <c r="M28" s="49" t="s">
        <v>64</v>
      </c>
    </row>
    <row r="29" spans="1:13" s="57" customFormat="1" ht="30" customHeight="1">
      <c r="A29" s="154"/>
      <c r="B29" s="155" t="s">
        <v>319</v>
      </c>
      <c r="C29" s="75"/>
      <c r="D29" s="76"/>
      <c r="E29" s="75"/>
      <c r="F29" s="224"/>
      <c r="G29" s="225"/>
      <c r="H29" s="225"/>
      <c r="I29" s="225"/>
      <c r="J29" s="227">
        <v>0</v>
      </c>
      <c r="K29" s="228">
        <f>'기성총괄표(2025열수송관_시티_건가)'!M31</f>
        <v>302472992</v>
      </c>
      <c r="L29" s="228">
        <f t="shared" si="1"/>
        <v>302472992</v>
      </c>
      <c r="M29" s="81"/>
    </row>
    <row r="30" spans="1:13" ht="30" customHeight="1">
      <c r="A30" s="144" t="s">
        <v>320</v>
      </c>
      <c r="B30" s="146" t="s">
        <v>321</v>
      </c>
      <c r="C30" s="35">
        <v>0.04</v>
      </c>
      <c r="D30" s="7">
        <v>1</v>
      </c>
      <c r="E30" s="6" t="s">
        <v>5</v>
      </c>
      <c r="F30" s="219" t="s">
        <v>322</v>
      </c>
      <c r="G30" s="220"/>
      <c r="H30" s="220"/>
      <c r="I30" s="220"/>
      <c r="J30" s="218">
        <v>0</v>
      </c>
      <c r="K30" s="30">
        <f>'기성총괄표(2025열수송관_시티_건가)'!M32</f>
        <v>10586554</v>
      </c>
      <c r="L30" s="30">
        <f t="shared" si="1"/>
        <v>10586554</v>
      </c>
      <c r="M30" s="8"/>
    </row>
    <row r="31" spans="1:13" ht="30" customHeight="1">
      <c r="A31" s="144" t="s">
        <v>323</v>
      </c>
      <c r="B31" s="146" t="s">
        <v>324</v>
      </c>
      <c r="C31" s="35">
        <v>0.05</v>
      </c>
      <c r="D31" s="7">
        <v>1</v>
      </c>
      <c r="E31" s="6" t="s">
        <v>5</v>
      </c>
      <c r="F31" s="219" t="s">
        <v>325</v>
      </c>
      <c r="G31" s="220"/>
      <c r="H31" s="220"/>
      <c r="I31" s="220"/>
      <c r="J31" s="218">
        <v>0</v>
      </c>
      <c r="K31" s="30">
        <f>'기성총괄표(2025열수송관_시티_건가)'!M33</f>
        <v>3440454</v>
      </c>
      <c r="L31" s="30">
        <f t="shared" si="1"/>
        <v>3440454</v>
      </c>
      <c r="M31" s="49"/>
    </row>
    <row r="32" spans="1:13" s="57" customFormat="1" ht="30" customHeight="1">
      <c r="A32" s="154"/>
      <c r="B32" s="155" t="s">
        <v>326</v>
      </c>
      <c r="C32" s="75"/>
      <c r="D32" s="76"/>
      <c r="E32" s="75"/>
      <c r="F32" s="224"/>
      <c r="G32" s="225"/>
      <c r="H32" s="225"/>
      <c r="I32" s="225"/>
      <c r="J32" s="227">
        <v>0</v>
      </c>
      <c r="K32" s="228">
        <f>'기성총괄표(2025열수송관_시티_건가)'!M34</f>
        <v>316500000</v>
      </c>
      <c r="L32" s="228">
        <f t="shared" si="1"/>
        <v>316500000</v>
      </c>
      <c r="M32" s="81"/>
    </row>
    <row r="33" spans="1:118" s="57" customFormat="1" ht="30" customHeight="1">
      <c r="A33" s="229"/>
      <c r="B33" s="230" t="s">
        <v>327</v>
      </c>
      <c r="C33" s="231"/>
      <c r="D33" s="232"/>
      <c r="E33" s="231"/>
      <c r="F33" s="224"/>
      <c r="G33" s="225"/>
      <c r="H33" s="225"/>
      <c r="I33" s="225"/>
      <c r="J33" s="227">
        <v>0</v>
      </c>
      <c r="K33" s="228">
        <f>'기성총괄표(2025열수송관_시티_건가)'!M35</f>
        <v>316500000</v>
      </c>
      <c r="L33" s="228">
        <f t="shared" si="1"/>
        <v>316500000</v>
      </c>
      <c r="M33" s="233"/>
    </row>
    <row r="34" spans="1:118" s="57" customFormat="1" ht="30" customHeight="1">
      <c r="A34" s="154"/>
      <c r="B34" s="155" t="s">
        <v>328</v>
      </c>
      <c r="C34" s="75"/>
      <c r="D34" s="76"/>
      <c r="E34" s="75"/>
      <c r="F34" s="224"/>
      <c r="G34" s="225"/>
      <c r="H34" s="225"/>
      <c r="I34" s="225"/>
      <c r="J34" s="227">
        <v>0</v>
      </c>
      <c r="K34" s="228">
        <f>'기성총괄표(2025열수송관_시티_건가)'!M36</f>
        <v>31650000</v>
      </c>
      <c r="L34" s="228">
        <f t="shared" si="1"/>
        <v>31650000</v>
      </c>
      <c r="M34" s="81"/>
    </row>
    <row r="35" spans="1:118" s="57" customFormat="1" ht="30" customHeight="1" thickBot="1">
      <c r="A35" s="156"/>
      <c r="B35" s="157" t="s">
        <v>329</v>
      </c>
      <c r="C35" s="158"/>
      <c r="D35" s="159"/>
      <c r="E35" s="158"/>
      <c r="F35" s="234"/>
      <c r="G35" s="235"/>
      <c r="H35" s="235"/>
      <c r="I35" s="235"/>
      <c r="J35" s="237">
        <v>0</v>
      </c>
      <c r="K35" s="228">
        <f>'기성총괄표(2025열수송관_시티_건가)'!M37</f>
        <v>348150000</v>
      </c>
      <c r="L35" s="238">
        <f t="shared" si="1"/>
        <v>348150000</v>
      </c>
      <c r="M35" s="164"/>
    </row>
    <row r="36" spans="1:118" s="2" customFormat="1" ht="33" customHeight="1">
      <c r="A36" s="1"/>
      <c r="B36" s="1"/>
      <c r="D36" s="38"/>
      <c r="E36" s="5"/>
      <c r="F36" s="39"/>
      <c r="G36" s="38"/>
      <c r="H36" s="40"/>
      <c r="I36" s="38"/>
      <c r="J36" s="38"/>
      <c r="K36" s="40"/>
      <c r="L36" s="40"/>
      <c r="M36" s="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</row>
    <row r="37" spans="1:118" s="2" customFormat="1" ht="30" customHeight="1">
      <c r="A37" s="1"/>
      <c r="B37" s="1"/>
      <c r="D37" s="38"/>
      <c r="E37" s="5"/>
      <c r="F37" s="39"/>
      <c r="G37" s="38"/>
      <c r="H37" s="40"/>
      <c r="I37" s="38"/>
      <c r="J37" s="38"/>
      <c r="K37" s="40"/>
      <c r="L37" s="40"/>
      <c r="M37" s="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</row>
    <row r="41" spans="1:118" s="2" customFormat="1" ht="34.700000000000003" customHeight="1">
      <c r="A41" s="1"/>
      <c r="B41" s="1"/>
      <c r="D41" s="38"/>
      <c r="E41" s="5"/>
      <c r="F41" s="39"/>
      <c r="G41" s="38"/>
      <c r="H41" s="40"/>
      <c r="I41" s="38"/>
      <c r="J41" s="38"/>
      <c r="K41" s="40"/>
      <c r="L41" s="40"/>
      <c r="M41" s="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</row>
  </sheetData>
  <mergeCells count="9">
    <mergeCell ref="F6:I6"/>
    <mergeCell ref="F7:I7"/>
    <mergeCell ref="F8:I8"/>
    <mergeCell ref="A1:M1"/>
    <mergeCell ref="A2:E2"/>
    <mergeCell ref="F2:I2"/>
    <mergeCell ref="F3:I3"/>
    <mergeCell ref="F4:I4"/>
    <mergeCell ref="F5:I5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r:id="rId1"/>
  <headerFooter alignWithMargins="0">
    <oddFooter>&amp;C&amp;"굴림체,보통"한 국 지 역 난 방 공 사&amp;R- &amp;P -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DS45"/>
  <sheetViews>
    <sheetView view="pageBreakPreview" topLeftCell="A26" zoomScale="85" zoomScaleNormal="85" zoomScaleSheetLayoutView="85" workbookViewId="0">
      <selection activeCell="P35" sqref="P35"/>
    </sheetView>
  </sheetViews>
  <sheetFormatPr defaultRowHeight="34.700000000000003" customHeight="1"/>
  <cols>
    <col min="1" max="1" width="4.625" style="1" customWidth="1"/>
    <col min="2" max="2" width="34.62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6.5" style="38" bestFit="1" customWidth="1"/>
    <col min="8" max="8" width="10.625" style="40" customWidth="1"/>
    <col min="9" max="9" width="14.625" style="38" customWidth="1"/>
    <col min="10" max="10" width="10.625" style="40" customWidth="1"/>
    <col min="11" max="11" width="14.625" style="38" customWidth="1"/>
    <col min="12" max="12" width="10.625" style="40" customWidth="1"/>
    <col min="13" max="13" width="18.625" style="40" customWidth="1"/>
    <col min="14" max="14" width="13" style="5" bestFit="1" customWidth="1"/>
    <col min="15" max="15" width="10.5" style="5" customWidth="1"/>
    <col min="16" max="16" width="20" style="1" customWidth="1"/>
    <col min="17" max="238" width="9" style="1"/>
    <col min="239" max="239" width="4.625" style="1" customWidth="1"/>
    <col min="240" max="240" width="34.625" style="1" customWidth="1"/>
    <col min="241" max="241" width="11.625" style="1" customWidth="1"/>
    <col min="242" max="243" width="6.625" style="1" customWidth="1"/>
    <col min="244" max="244" width="10.625" style="1" customWidth="1"/>
    <col min="245" max="245" width="14.625" style="1" customWidth="1"/>
    <col min="246" max="246" width="10.625" style="1" customWidth="1"/>
    <col min="247" max="247" width="14.625" style="1" customWidth="1"/>
    <col min="248" max="248" width="10.625" style="1" customWidth="1"/>
    <col min="249" max="249" width="14.625" style="1" customWidth="1"/>
    <col min="250" max="250" width="10.625" style="1" customWidth="1"/>
    <col min="251" max="251" width="18.625" style="1" customWidth="1"/>
    <col min="252" max="252" width="9.625" style="1" customWidth="1"/>
    <col min="253" max="253" width="10.5" style="1" customWidth="1"/>
    <col min="254" max="254" width="20.375" style="1" bestFit="1" customWidth="1"/>
    <col min="255" max="255" width="12.5" style="1" customWidth="1"/>
    <col min="256" max="256" width="13.125" style="1" customWidth="1"/>
    <col min="257" max="261" width="9" style="1"/>
    <col min="262" max="262" width="11.25" style="1" bestFit="1" customWidth="1"/>
    <col min="263" max="263" width="11.625" style="1" bestFit="1" customWidth="1"/>
    <col min="264" max="494" width="9" style="1"/>
    <col min="495" max="495" width="4.625" style="1" customWidth="1"/>
    <col min="496" max="496" width="34.625" style="1" customWidth="1"/>
    <col min="497" max="497" width="11.625" style="1" customWidth="1"/>
    <col min="498" max="499" width="6.625" style="1" customWidth="1"/>
    <col min="500" max="500" width="10.625" style="1" customWidth="1"/>
    <col min="501" max="501" width="14.625" style="1" customWidth="1"/>
    <col min="502" max="502" width="10.625" style="1" customWidth="1"/>
    <col min="503" max="503" width="14.625" style="1" customWidth="1"/>
    <col min="504" max="504" width="10.625" style="1" customWidth="1"/>
    <col min="505" max="505" width="14.625" style="1" customWidth="1"/>
    <col min="506" max="506" width="10.625" style="1" customWidth="1"/>
    <col min="507" max="507" width="18.625" style="1" customWidth="1"/>
    <col min="508" max="508" width="9.625" style="1" customWidth="1"/>
    <col min="509" max="509" width="10.5" style="1" customWidth="1"/>
    <col min="510" max="510" width="20.375" style="1" bestFit="1" customWidth="1"/>
    <col min="511" max="511" width="12.5" style="1" customWidth="1"/>
    <col min="512" max="512" width="13.125" style="1" customWidth="1"/>
    <col min="513" max="517" width="9" style="1"/>
    <col min="518" max="518" width="11.25" style="1" bestFit="1" customWidth="1"/>
    <col min="519" max="519" width="11.625" style="1" bestFit="1" customWidth="1"/>
    <col min="520" max="750" width="9" style="1"/>
    <col min="751" max="751" width="4.625" style="1" customWidth="1"/>
    <col min="752" max="752" width="34.625" style="1" customWidth="1"/>
    <col min="753" max="753" width="11.625" style="1" customWidth="1"/>
    <col min="754" max="755" width="6.625" style="1" customWidth="1"/>
    <col min="756" max="756" width="10.625" style="1" customWidth="1"/>
    <col min="757" max="757" width="14.625" style="1" customWidth="1"/>
    <col min="758" max="758" width="10.625" style="1" customWidth="1"/>
    <col min="759" max="759" width="14.625" style="1" customWidth="1"/>
    <col min="760" max="760" width="10.625" style="1" customWidth="1"/>
    <col min="761" max="761" width="14.625" style="1" customWidth="1"/>
    <col min="762" max="762" width="10.625" style="1" customWidth="1"/>
    <col min="763" max="763" width="18.625" style="1" customWidth="1"/>
    <col min="764" max="764" width="9.625" style="1" customWidth="1"/>
    <col min="765" max="765" width="10.5" style="1" customWidth="1"/>
    <col min="766" max="766" width="20.375" style="1" bestFit="1" customWidth="1"/>
    <col min="767" max="767" width="12.5" style="1" customWidth="1"/>
    <col min="768" max="768" width="13.125" style="1" customWidth="1"/>
    <col min="769" max="773" width="9" style="1"/>
    <col min="774" max="774" width="11.25" style="1" bestFit="1" customWidth="1"/>
    <col min="775" max="775" width="11.625" style="1" bestFit="1" customWidth="1"/>
    <col min="776" max="1006" width="9" style="1"/>
    <col min="1007" max="1007" width="4.625" style="1" customWidth="1"/>
    <col min="1008" max="1008" width="34.625" style="1" customWidth="1"/>
    <col min="1009" max="1009" width="11.625" style="1" customWidth="1"/>
    <col min="1010" max="1011" width="6.625" style="1" customWidth="1"/>
    <col min="1012" max="1012" width="10.625" style="1" customWidth="1"/>
    <col min="1013" max="1013" width="14.625" style="1" customWidth="1"/>
    <col min="1014" max="1014" width="10.625" style="1" customWidth="1"/>
    <col min="1015" max="1015" width="14.625" style="1" customWidth="1"/>
    <col min="1016" max="1016" width="10.625" style="1" customWidth="1"/>
    <col min="1017" max="1017" width="14.625" style="1" customWidth="1"/>
    <col min="1018" max="1018" width="10.625" style="1" customWidth="1"/>
    <col min="1019" max="1019" width="18.625" style="1" customWidth="1"/>
    <col min="1020" max="1020" width="9.625" style="1" customWidth="1"/>
    <col min="1021" max="1021" width="10.5" style="1" customWidth="1"/>
    <col min="1022" max="1022" width="20.375" style="1" bestFit="1" customWidth="1"/>
    <col min="1023" max="1023" width="12.5" style="1" customWidth="1"/>
    <col min="1024" max="1024" width="13.125" style="1" customWidth="1"/>
    <col min="1025" max="1029" width="9" style="1"/>
    <col min="1030" max="1030" width="11.25" style="1" bestFit="1" customWidth="1"/>
    <col min="1031" max="1031" width="11.625" style="1" bestFit="1" customWidth="1"/>
    <col min="1032" max="1262" width="9" style="1"/>
    <col min="1263" max="1263" width="4.625" style="1" customWidth="1"/>
    <col min="1264" max="1264" width="34.625" style="1" customWidth="1"/>
    <col min="1265" max="1265" width="11.625" style="1" customWidth="1"/>
    <col min="1266" max="1267" width="6.625" style="1" customWidth="1"/>
    <col min="1268" max="1268" width="10.625" style="1" customWidth="1"/>
    <col min="1269" max="1269" width="14.625" style="1" customWidth="1"/>
    <col min="1270" max="1270" width="10.625" style="1" customWidth="1"/>
    <col min="1271" max="1271" width="14.625" style="1" customWidth="1"/>
    <col min="1272" max="1272" width="10.625" style="1" customWidth="1"/>
    <col min="1273" max="1273" width="14.625" style="1" customWidth="1"/>
    <col min="1274" max="1274" width="10.625" style="1" customWidth="1"/>
    <col min="1275" max="1275" width="18.625" style="1" customWidth="1"/>
    <col min="1276" max="1276" width="9.625" style="1" customWidth="1"/>
    <col min="1277" max="1277" width="10.5" style="1" customWidth="1"/>
    <col min="1278" max="1278" width="20.375" style="1" bestFit="1" customWidth="1"/>
    <col min="1279" max="1279" width="12.5" style="1" customWidth="1"/>
    <col min="1280" max="1280" width="13.125" style="1" customWidth="1"/>
    <col min="1281" max="1285" width="9" style="1"/>
    <col min="1286" max="1286" width="11.25" style="1" bestFit="1" customWidth="1"/>
    <col min="1287" max="1287" width="11.625" style="1" bestFit="1" customWidth="1"/>
    <col min="1288" max="1518" width="9" style="1"/>
    <col min="1519" max="1519" width="4.625" style="1" customWidth="1"/>
    <col min="1520" max="1520" width="34.625" style="1" customWidth="1"/>
    <col min="1521" max="1521" width="11.625" style="1" customWidth="1"/>
    <col min="1522" max="1523" width="6.625" style="1" customWidth="1"/>
    <col min="1524" max="1524" width="10.625" style="1" customWidth="1"/>
    <col min="1525" max="1525" width="14.625" style="1" customWidth="1"/>
    <col min="1526" max="1526" width="10.625" style="1" customWidth="1"/>
    <col min="1527" max="1527" width="14.625" style="1" customWidth="1"/>
    <col min="1528" max="1528" width="10.625" style="1" customWidth="1"/>
    <col min="1529" max="1529" width="14.625" style="1" customWidth="1"/>
    <col min="1530" max="1530" width="10.625" style="1" customWidth="1"/>
    <col min="1531" max="1531" width="18.625" style="1" customWidth="1"/>
    <col min="1532" max="1532" width="9.625" style="1" customWidth="1"/>
    <col min="1533" max="1533" width="10.5" style="1" customWidth="1"/>
    <col min="1534" max="1534" width="20.375" style="1" bestFit="1" customWidth="1"/>
    <col min="1535" max="1535" width="12.5" style="1" customWidth="1"/>
    <col min="1536" max="1536" width="13.125" style="1" customWidth="1"/>
    <col min="1537" max="1541" width="9" style="1"/>
    <col min="1542" max="1542" width="11.25" style="1" bestFit="1" customWidth="1"/>
    <col min="1543" max="1543" width="11.625" style="1" bestFit="1" customWidth="1"/>
    <col min="1544" max="1774" width="9" style="1"/>
    <col min="1775" max="1775" width="4.625" style="1" customWidth="1"/>
    <col min="1776" max="1776" width="34.625" style="1" customWidth="1"/>
    <col min="1777" max="1777" width="11.625" style="1" customWidth="1"/>
    <col min="1778" max="1779" width="6.625" style="1" customWidth="1"/>
    <col min="1780" max="1780" width="10.625" style="1" customWidth="1"/>
    <col min="1781" max="1781" width="14.625" style="1" customWidth="1"/>
    <col min="1782" max="1782" width="10.625" style="1" customWidth="1"/>
    <col min="1783" max="1783" width="14.625" style="1" customWidth="1"/>
    <col min="1784" max="1784" width="10.625" style="1" customWidth="1"/>
    <col min="1785" max="1785" width="14.625" style="1" customWidth="1"/>
    <col min="1786" max="1786" width="10.625" style="1" customWidth="1"/>
    <col min="1787" max="1787" width="18.625" style="1" customWidth="1"/>
    <col min="1788" max="1788" width="9.625" style="1" customWidth="1"/>
    <col min="1789" max="1789" width="10.5" style="1" customWidth="1"/>
    <col min="1790" max="1790" width="20.375" style="1" bestFit="1" customWidth="1"/>
    <col min="1791" max="1791" width="12.5" style="1" customWidth="1"/>
    <col min="1792" max="1792" width="13.125" style="1" customWidth="1"/>
    <col min="1793" max="1797" width="9" style="1"/>
    <col min="1798" max="1798" width="11.25" style="1" bestFit="1" customWidth="1"/>
    <col min="1799" max="1799" width="11.625" style="1" bestFit="1" customWidth="1"/>
    <col min="1800" max="2030" width="9" style="1"/>
    <col min="2031" max="2031" width="4.625" style="1" customWidth="1"/>
    <col min="2032" max="2032" width="34.625" style="1" customWidth="1"/>
    <col min="2033" max="2033" width="11.625" style="1" customWidth="1"/>
    <col min="2034" max="2035" width="6.625" style="1" customWidth="1"/>
    <col min="2036" max="2036" width="10.625" style="1" customWidth="1"/>
    <col min="2037" max="2037" width="14.625" style="1" customWidth="1"/>
    <col min="2038" max="2038" width="10.625" style="1" customWidth="1"/>
    <col min="2039" max="2039" width="14.625" style="1" customWidth="1"/>
    <col min="2040" max="2040" width="10.625" style="1" customWidth="1"/>
    <col min="2041" max="2041" width="14.625" style="1" customWidth="1"/>
    <col min="2042" max="2042" width="10.625" style="1" customWidth="1"/>
    <col min="2043" max="2043" width="18.625" style="1" customWidth="1"/>
    <col min="2044" max="2044" width="9.625" style="1" customWidth="1"/>
    <col min="2045" max="2045" width="10.5" style="1" customWidth="1"/>
    <col min="2046" max="2046" width="20.375" style="1" bestFit="1" customWidth="1"/>
    <col min="2047" max="2047" width="12.5" style="1" customWidth="1"/>
    <col min="2048" max="2048" width="13.125" style="1" customWidth="1"/>
    <col min="2049" max="2053" width="9" style="1"/>
    <col min="2054" max="2054" width="11.25" style="1" bestFit="1" customWidth="1"/>
    <col min="2055" max="2055" width="11.625" style="1" bestFit="1" customWidth="1"/>
    <col min="2056" max="2286" width="9" style="1"/>
    <col min="2287" max="2287" width="4.625" style="1" customWidth="1"/>
    <col min="2288" max="2288" width="34.625" style="1" customWidth="1"/>
    <col min="2289" max="2289" width="11.625" style="1" customWidth="1"/>
    <col min="2290" max="2291" width="6.625" style="1" customWidth="1"/>
    <col min="2292" max="2292" width="10.625" style="1" customWidth="1"/>
    <col min="2293" max="2293" width="14.625" style="1" customWidth="1"/>
    <col min="2294" max="2294" width="10.625" style="1" customWidth="1"/>
    <col min="2295" max="2295" width="14.625" style="1" customWidth="1"/>
    <col min="2296" max="2296" width="10.625" style="1" customWidth="1"/>
    <col min="2297" max="2297" width="14.625" style="1" customWidth="1"/>
    <col min="2298" max="2298" width="10.625" style="1" customWidth="1"/>
    <col min="2299" max="2299" width="18.625" style="1" customWidth="1"/>
    <col min="2300" max="2300" width="9.625" style="1" customWidth="1"/>
    <col min="2301" max="2301" width="10.5" style="1" customWidth="1"/>
    <col min="2302" max="2302" width="20.375" style="1" bestFit="1" customWidth="1"/>
    <col min="2303" max="2303" width="12.5" style="1" customWidth="1"/>
    <col min="2304" max="2304" width="13.125" style="1" customWidth="1"/>
    <col min="2305" max="2309" width="9" style="1"/>
    <col min="2310" max="2310" width="11.25" style="1" bestFit="1" customWidth="1"/>
    <col min="2311" max="2311" width="11.625" style="1" bestFit="1" customWidth="1"/>
    <col min="2312" max="2542" width="9" style="1"/>
    <col min="2543" max="2543" width="4.625" style="1" customWidth="1"/>
    <col min="2544" max="2544" width="34.625" style="1" customWidth="1"/>
    <col min="2545" max="2545" width="11.625" style="1" customWidth="1"/>
    <col min="2546" max="2547" width="6.625" style="1" customWidth="1"/>
    <col min="2548" max="2548" width="10.625" style="1" customWidth="1"/>
    <col min="2549" max="2549" width="14.625" style="1" customWidth="1"/>
    <col min="2550" max="2550" width="10.625" style="1" customWidth="1"/>
    <col min="2551" max="2551" width="14.625" style="1" customWidth="1"/>
    <col min="2552" max="2552" width="10.625" style="1" customWidth="1"/>
    <col min="2553" max="2553" width="14.625" style="1" customWidth="1"/>
    <col min="2554" max="2554" width="10.625" style="1" customWidth="1"/>
    <col min="2555" max="2555" width="18.625" style="1" customWidth="1"/>
    <col min="2556" max="2556" width="9.625" style="1" customWidth="1"/>
    <col min="2557" max="2557" width="10.5" style="1" customWidth="1"/>
    <col min="2558" max="2558" width="20.375" style="1" bestFit="1" customWidth="1"/>
    <col min="2559" max="2559" width="12.5" style="1" customWidth="1"/>
    <col min="2560" max="2560" width="13.125" style="1" customWidth="1"/>
    <col min="2561" max="2565" width="9" style="1"/>
    <col min="2566" max="2566" width="11.25" style="1" bestFit="1" customWidth="1"/>
    <col min="2567" max="2567" width="11.625" style="1" bestFit="1" customWidth="1"/>
    <col min="2568" max="2798" width="9" style="1"/>
    <col min="2799" max="2799" width="4.625" style="1" customWidth="1"/>
    <col min="2800" max="2800" width="34.625" style="1" customWidth="1"/>
    <col min="2801" max="2801" width="11.625" style="1" customWidth="1"/>
    <col min="2802" max="2803" width="6.625" style="1" customWidth="1"/>
    <col min="2804" max="2804" width="10.625" style="1" customWidth="1"/>
    <col min="2805" max="2805" width="14.625" style="1" customWidth="1"/>
    <col min="2806" max="2806" width="10.625" style="1" customWidth="1"/>
    <col min="2807" max="2807" width="14.625" style="1" customWidth="1"/>
    <col min="2808" max="2808" width="10.625" style="1" customWidth="1"/>
    <col min="2809" max="2809" width="14.625" style="1" customWidth="1"/>
    <col min="2810" max="2810" width="10.625" style="1" customWidth="1"/>
    <col min="2811" max="2811" width="18.625" style="1" customWidth="1"/>
    <col min="2812" max="2812" width="9.625" style="1" customWidth="1"/>
    <col min="2813" max="2813" width="10.5" style="1" customWidth="1"/>
    <col min="2814" max="2814" width="20.375" style="1" bestFit="1" customWidth="1"/>
    <col min="2815" max="2815" width="12.5" style="1" customWidth="1"/>
    <col min="2816" max="2816" width="13.125" style="1" customWidth="1"/>
    <col min="2817" max="2821" width="9" style="1"/>
    <col min="2822" max="2822" width="11.25" style="1" bestFit="1" customWidth="1"/>
    <col min="2823" max="2823" width="11.625" style="1" bestFit="1" customWidth="1"/>
    <col min="2824" max="3054" width="9" style="1"/>
    <col min="3055" max="3055" width="4.625" style="1" customWidth="1"/>
    <col min="3056" max="3056" width="34.625" style="1" customWidth="1"/>
    <col min="3057" max="3057" width="11.625" style="1" customWidth="1"/>
    <col min="3058" max="3059" width="6.625" style="1" customWidth="1"/>
    <col min="3060" max="3060" width="10.625" style="1" customWidth="1"/>
    <col min="3061" max="3061" width="14.625" style="1" customWidth="1"/>
    <col min="3062" max="3062" width="10.625" style="1" customWidth="1"/>
    <col min="3063" max="3063" width="14.625" style="1" customWidth="1"/>
    <col min="3064" max="3064" width="10.625" style="1" customWidth="1"/>
    <col min="3065" max="3065" width="14.625" style="1" customWidth="1"/>
    <col min="3066" max="3066" width="10.625" style="1" customWidth="1"/>
    <col min="3067" max="3067" width="18.625" style="1" customWidth="1"/>
    <col min="3068" max="3068" width="9.625" style="1" customWidth="1"/>
    <col min="3069" max="3069" width="10.5" style="1" customWidth="1"/>
    <col min="3070" max="3070" width="20.375" style="1" bestFit="1" customWidth="1"/>
    <col min="3071" max="3071" width="12.5" style="1" customWidth="1"/>
    <col min="3072" max="3072" width="13.125" style="1" customWidth="1"/>
    <col min="3073" max="3077" width="9" style="1"/>
    <col min="3078" max="3078" width="11.25" style="1" bestFit="1" customWidth="1"/>
    <col min="3079" max="3079" width="11.625" style="1" bestFit="1" customWidth="1"/>
    <col min="3080" max="3310" width="9" style="1"/>
    <col min="3311" max="3311" width="4.625" style="1" customWidth="1"/>
    <col min="3312" max="3312" width="34.625" style="1" customWidth="1"/>
    <col min="3313" max="3313" width="11.625" style="1" customWidth="1"/>
    <col min="3314" max="3315" width="6.625" style="1" customWidth="1"/>
    <col min="3316" max="3316" width="10.625" style="1" customWidth="1"/>
    <col min="3317" max="3317" width="14.625" style="1" customWidth="1"/>
    <col min="3318" max="3318" width="10.625" style="1" customWidth="1"/>
    <col min="3319" max="3319" width="14.625" style="1" customWidth="1"/>
    <col min="3320" max="3320" width="10.625" style="1" customWidth="1"/>
    <col min="3321" max="3321" width="14.625" style="1" customWidth="1"/>
    <col min="3322" max="3322" width="10.625" style="1" customWidth="1"/>
    <col min="3323" max="3323" width="18.625" style="1" customWidth="1"/>
    <col min="3324" max="3324" width="9.625" style="1" customWidth="1"/>
    <col min="3325" max="3325" width="10.5" style="1" customWidth="1"/>
    <col min="3326" max="3326" width="20.375" style="1" bestFit="1" customWidth="1"/>
    <col min="3327" max="3327" width="12.5" style="1" customWidth="1"/>
    <col min="3328" max="3328" width="13.125" style="1" customWidth="1"/>
    <col min="3329" max="3333" width="9" style="1"/>
    <col min="3334" max="3334" width="11.25" style="1" bestFit="1" customWidth="1"/>
    <col min="3335" max="3335" width="11.625" style="1" bestFit="1" customWidth="1"/>
    <col min="3336" max="3566" width="9" style="1"/>
    <col min="3567" max="3567" width="4.625" style="1" customWidth="1"/>
    <col min="3568" max="3568" width="34.625" style="1" customWidth="1"/>
    <col min="3569" max="3569" width="11.625" style="1" customWidth="1"/>
    <col min="3570" max="3571" width="6.625" style="1" customWidth="1"/>
    <col min="3572" max="3572" width="10.625" style="1" customWidth="1"/>
    <col min="3573" max="3573" width="14.625" style="1" customWidth="1"/>
    <col min="3574" max="3574" width="10.625" style="1" customWidth="1"/>
    <col min="3575" max="3575" width="14.625" style="1" customWidth="1"/>
    <col min="3576" max="3576" width="10.625" style="1" customWidth="1"/>
    <col min="3577" max="3577" width="14.625" style="1" customWidth="1"/>
    <col min="3578" max="3578" width="10.625" style="1" customWidth="1"/>
    <col min="3579" max="3579" width="18.625" style="1" customWidth="1"/>
    <col min="3580" max="3580" width="9.625" style="1" customWidth="1"/>
    <col min="3581" max="3581" width="10.5" style="1" customWidth="1"/>
    <col min="3582" max="3582" width="20.375" style="1" bestFit="1" customWidth="1"/>
    <col min="3583" max="3583" width="12.5" style="1" customWidth="1"/>
    <col min="3584" max="3584" width="13.125" style="1" customWidth="1"/>
    <col min="3585" max="3589" width="9" style="1"/>
    <col min="3590" max="3590" width="11.25" style="1" bestFit="1" customWidth="1"/>
    <col min="3591" max="3591" width="11.625" style="1" bestFit="1" customWidth="1"/>
    <col min="3592" max="3822" width="9" style="1"/>
    <col min="3823" max="3823" width="4.625" style="1" customWidth="1"/>
    <col min="3824" max="3824" width="34.625" style="1" customWidth="1"/>
    <col min="3825" max="3825" width="11.625" style="1" customWidth="1"/>
    <col min="3826" max="3827" width="6.625" style="1" customWidth="1"/>
    <col min="3828" max="3828" width="10.625" style="1" customWidth="1"/>
    <col min="3829" max="3829" width="14.625" style="1" customWidth="1"/>
    <col min="3830" max="3830" width="10.625" style="1" customWidth="1"/>
    <col min="3831" max="3831" width="14.625" style="1" customWidth="1"/>
    <col min="3832" max="3832" width="10.625" style="1" customWidth="1"/>
    <col min="3833" max="3833" width="14.625" style="1" customWidth="1"/>
    <col min="3834" max="3834" width="10.625" style="1" customWidth="1"/>
    <col min="3835" max="3835" width="18.625" style="1" customWidth="1"/>
    <col min="3836" max="3836" width="9.625" style="1" customWidth="1"/>
    <col min="3837" max="3837" width="10.5" style="1" customWidth="1"/>
    <col min="3838" max="3838" width="20.375" style="1" bestFit="1" customWidth="1"/>
    <col min="3839" max="3839" width="12.5" style="1" customWidth="1"/>
    <col min="3840" max="3840" width="13.125" style="1" customWidth="1"/>
    <col min="3841" max="3845" width="9" style="1"/>
    <col min="3846" max="3846" width="11.25" style="1" bestFit="1" customWidth="1"/>
    <col min="3847" max="3847" width="11.625" style="1" bestFit="1" customWidth="1"/>
    <col min="3848" max="4078" width="9" style="1"/>
    <col min="4079" max="4079" width="4.625" style="1" customWidth="1"/>
    <col min="4080" max="4080" width="34.625" style="1" customWidth="1"/>
    <col min="4081" max="4081" width="11.625" style="1" customWidth="1"/>
    <col min="4082" max="4083" width="6.625" style="1" customWidth="1"/>
    <col min="4084" max="4084" width="10.625" style="1" customWidth="1"/>
    <col min="4085" max="4085" width="14.625" style="1" customWidth="1"/>
    <col min="4086" max="4086" width="10.625" style="1" customWidth="1"/>
    <col min="4087" max="4087" width="14.625" style="1" customWidth="1"/>
    <col min="4088" max="4088" width="10.625" style="1" customWidth="1"/>
    <col min="4089" max="4089" width="14.625" style="1" customWidth="1"/>
    <col min="4090" max="4090" width="10.625" style="1" customWidth="1"/>
    <col min="4091" max="4091" width="18.625" style="1" customWidth="1"/>
    <col min="4092" max="4092" width="9.625" style="1" customWidth="1"/>
    <col min="4093" max="4093" width="10.5" style="1" customWidth="1"/>
    <col min="4094" max="4094" width="20.375" style="1" bestFit="1" customWidth="1"/>
    <col min="4095" max="4095" width="12.5" style="1" customWidth="1"/>
    <col min="4096" max="4096" width="13.125" style="1" customWidth="1"/>
    <col min="4097" max="4101" width="9" style="1"/>
    <col min="4102" max="4102" width="11.25" style="1" bestFit="1" customWidth="1"/>
    <col min="4103" max="4103" width="11.625" style="1" bestFit="1" customWidth="1"/>
    <col min="4104" max="4334" width="9" style="1"/>
    <col min="4335" max="4335" width="4.625" style="1" customWidth="1"/>
    <col min="4336" max="4336" width="34.625" style="1" customWidth="1"/>
    <col min="4337" max="4337" width="11.625" style="1" customWidth="1"/>
    <col min="4338" max="4339" width="6.625" style="1" customWidth="1"/>
    <col min="4340" max="4340" width="10.625" style="1" customWidth="1"/>
    <col min="4341" max="4341" width="14.625" style="1" customWidth="1"/>
    <col min="4342" max="4342" width="10.625" style="1" customWidth="1"/>
    <col min="4343" max="4343" width="14.625" style="1" customWidth="1"/>
    <col min="4344" max="4344" width="10.625" style="1" customWidth="1"/>
    <col min="4345" max="4345" width="14.625" style="1" customWidth="1"/>
    <col min="4346" max="4346" width="10.625" style="1" customWidth="1"/>
    <col min="4347" max="4347" width="18.625" style="1" customWidth="1"/>
    <col min="4348" max="4348" width="9.625" style="1" customWidth="1"/>
    <col min="4349" max="4349" width="10.5" style="1" customWidth="1"/>
    <col min="4350" max="4350" width="20.375" style="1" bestFit="1" customWidth="1"/>
    <col min="4351" max="4351" width="12.5" style="1" customWidth="1"/>
    <col min="4352" max="4352" width="13.125" style="1" customWidth="1"/>
    <col min="4353" max="4357" width="9" style="1"/>
    <col min="4358" max="4358" width="11.25" style="1" bestFit="1" customWidth="1"/>
    <col min="4359" max="4359" width="11.625" style="1" bestFit="1" customWidth="1"/>
    <col min="4360" max="4590" width="9" style="1"/>
    <col min="4591" max="4591" width="4.625" style="1" customWidth="1"/>
    <col min="4592" max="4592" width="34.625" style="1" customWidth="1"/>
    <col min="4593" max="4593" width="11.625" style="1" customWidth="1"/>
    <col min="4594" max="4595" width="6.625" style="1" customWidth="1"/>
    <col min="4596" max="4596" width="10.625" style="1" customWidth="1"/>
    <col min="4597" max="4597" width="14.625" style="1" customWidth="1"/>
    <col min="4598" max="4598" width="10.625" style="1" customWidth="1"/>
    <col min="4599" max="4599" width="14.625" style="1" customWidth="1"/>
    <col min="4600" max="4600" width="10.625" style="1" customWidth="1"/>
    <col min="4601" max="4601" width="14.625" style="1" customWidth="1"/>
    <col min="4602" max="4602" width="10.625" style="1" customWidth="1"/>
    <col min="4603" max="4603" width="18.625" style="1" customWidth="1"/>
    <col min="4604" max="4604" width="9.625" style="1" customWidth="1"/>
    <col min="4605" max="4605" width="10.5" style="1" customWidth="1"/>
    <col min="4606" max="4606" width="20.375" style="1" bestFit="1" customWidth="1"/>
    <col min="4607" max="4607" width="12.5" style="1" customWidth="1"/>
    <col min="4608" max="4608" width="13.125" style="1" customWidth="1"/>
    <col min="4609" max="4613" width="9" style="1"/>
    <col min="4614" max="4614" width="11.25" style="1" bestFit="1" customWidth="1"/>
    <col min="4615" max="4615" width="11.625" style="1" bestFit="1" customWidth="1"/>
    <col min="4616" max="4846" width="9" style="1"/>
    <col min="4847" max="4847" width="4.625" style="1" customWidth="1"/>
    <col min="4848" max="4848" width="34.625" style="1" customWidth="1"/>
    <col min="4849" max="4849" width="11.625" style="1" customWidth="1"/>
    <col min="4850" max="4851" width="6.625" style="1" customWidth="1"/>
    <col min="4852" max="4852" width="10.625" style="1" customWidth="1"/>
    <col min="4853" max="4853" width="14.625" style="1" customWidth="1"/>
    <col min="4854" max="4854" width="10.625" style="1" customWidth="1"/>
    <col min="4855" max="4855" width="14.625" style="1" customWidth="1"/>
    <col min="4856" max="4856" width="10.625" style="1" customWidth="1"/>
    <col min="4857" max="4857" width="14.625" style="1" customWidth="1"/>
    <col min="4858" max="4858" width="10.625" style="1" customWidth="1"/>
    <col min="4859" max="4859" width="18.625" style="1" customWidth="1"/>
    <col min="4860" max="4860" width="9.625" style="1" customWidth="1"/>
    <col min="4861" max="4861" width="10.5" style="1" customWidth="1"/>
    <col min="4862" max="4862" width="20.375" style="1" bestFit="1" customWidth="1"/>
    <col min="4863" max="4863" width="12.5" style="1" customWidth="1"/>
    <col min="4864" max="4864" width="13.125" style="1" customWidth="1"/>
    <col min="4865" max="4869" width="9" style="1"/>
    <col min="4870" max="4870" width="11.25" style="1" bestFit="1" customWidth="1"/>
    <col min="4871" max="4871" width="11.625" style="1" bestFit="1" customWidth="1"/>
    <col min="4872" max="5102" width="9" style="1"/>
    <col min="5103" max="5103" width="4.625" style="1" customWidth="1"/>
    <col min="5104" max="5104" width="34.625" style="1" customWidth="1"/>
    <col min="5105" max="5105" width="11.625" style="1" customWidth="1"/>
    <col min="5106" max="5107" width="6.625" style="1" customWidth="1"/>
    <col min="5108" max="5108" width="10.625" style="1" customWidth="1"/>
    <col min="5109" max="5109" width="14.625" style="1" customWidth="1"/>
    <col min="5110" max="5110" width="10.625" style="1" customWidth="1"/>
    <col min="5111" max="5111" width="14.625" style="1" customWidth="1"/>
    <col min="5112" max="5112" width="10.625" style="1" customWidth="1"/>
    <col min="5113" max="5113" width="14.625" style="1" customWidth="1"/>
    <col min="5114" max="5114" width="10.625" style="1" customWidth="1"/>
    <col min="5115" max="5115" width="18.625" style="1" customWidth="1"/>
    <col min="5116" max="5116" width="9.625" style="1" customWidth="1"/>
    <col min="5117" max="5117" width="10.5" style="1" customWidth="1"/>
    <col min="5118" max="5118" width="20.375" style="1" bestFit="1" customWidth="1"/>
    <col min="5119" max="5119" width="12.5" style="1" customWidth="1"/>
    <col min="5120" max="5120" width="13.125" style="1" customWidth="1"/>
    <col min="5121" max="5125" width="9" style="1"/>
    <col min="5126" max="5126" width="11.25" style="1" bestFit="1" customWidth="1"/>
    <col min="5127" max="5127" width="11.625" style="1" bestFit="1" customWidth="1"/>
    <col min="5128" max="5358" width="9" style="1"/>
    <col min="5359" max="5359" width="4.625" style="1" customWidth="1"/>
    <col min="5360" max="5360" width="34.625" style="1" customWidth="1"/>
    <col min="5361" max="5361" width="11.625" style="1" customWidth="1"/>
    <col min="5362" max="5363" width="6.625" style="1" customWidth="1"/>
    <col min="5364" max="5364" width="10.625" style="1" customWidth="1"/>
    <col min="5365" max="5365" width="14.625" style="1" customWidth="1"/>
    <col min="5366" max="5366" width="10.625" style="1" customWidth="1"/>
    <col min="5367" max="5367" width="14.625" style="1" customWidth="1"/>
    <col min="5368" max="5368" width="10.625" style="1" customWidth="1"/>
    <col min="5369" max="5369" width="14.625" style="1" customWidth="1"/>
    <col min="5370" max="5370" width="10.625" style="1" customWidth="1"/>
    <col min="5371" max="5371" width="18.625" style="1" customWidth="1"/>
    <col min="5372" max="5372" width="9.625" style="1" customWidth="1"/>
    <col min="5373" max="5373" width="10.5" style="1" customWidth="1"/>
    <col min="5374" max="5374" width="20.375" style="1" bestFit="1" customWidth="1"/>
    <col min="5375" max="5375" width="12.5" style="1" customWidth="1"/>
    <col min="5376" max="5376" width="13.125" style="1" customWidth="1"/>
    <col min="5377" max="5381" width="9" style="1"/>
    <col min="5382" max="5382" width="11.25" style="1" bestFit="1" customWidth="1"/>
    <col min="5383" max="5383" width="11.625" style="1" bestFit="1" customWidth="1"/>
    <col min="5384" max="5614" width="9" style="1"/>
    <col min="5615" max="5615" width="4.625" style="1" customWidth="1"/>
    <col min="5616" max="5616" width="34.625" style="1" customWidth="1"/>
    <col min="5617" max="5617" width="11.625" style="1" customWidth="1"/>
    <col min="5618" max="5619" width="6.625" style="1" customWidth="1"/>
    <col min="5620" max="5620" width="10.625" style="1" customWidth="1"/>
    <col min="5621" max="5621" width="14.625" style="1" customWidth="1"/>
    <col min="5622" max="5622" width="10.625" style="1" customWidth="1"/>
    <col min="5623" max="5623" width="14.625" style="1" customWidth="1"/>
    <col min="5624" max="5624" width="10.625" style="1" customWidth="1"/>
    <col min="5625" max="5625" width="14.625" style="1" customWidth="1"/>
    <col min="5626" max="5626" width="10.625" style="1" customWidth="1"/>
    <col min="5627" max="5627" width="18.625" style="1" customWidth="1"/>
    <col min="5628" max="5628" width="9.625" style="1" customWidth="1"/>
    <col min="5629" max="5629" width="10.5" style="1" customWidth="1"/>
    <col min="5630" max="5630" width="20.375" style="1" bestFit="1" customWidth="1"/>
    <col min="5631" max="5631" width="12.5" style="1" customWidth="1"/>
    <col min="5632" max="5632" width="13.125" style="1" customWidth="1"/>
    <col min="5633" max="5637" width="9" style="1"/>
    <col min="5638" max="5638" width="11.25" style="1" bestFit="1" customWidth="1"/>
    <col min="5639" max="5639" width="11.625" style="1" bestFit="1" customWidth="1"/>
    <col min="5640" max="5870" width="9" style="1"/>
    <col min="5871" max="5871" width="4.625" style="1" customWidth="1"/>
    <col min="5872" max="5872" width="34.625" style="1" customWidth="1"/>
    <col min="5873" max="5873" width="11.625" style="1" customWidth="1"/>
    <col min="5874" max="5875" width="6.625" style="1" customWidth="1"/>
    <col min="5876" max="5876" width="10.625" style="1" customWidth="1"/>
    <col min="5877" max="5877" width="14.625" style="1" customWidth="1"/>
    <col min="5878" max="5878" width="10.625" style="1" customWidth="1"/>
    <col min="5879" max="5879" width="14.625" style="1" customWidth="1"/>
    <col min="5880" max="5880" width="10.625" style="1" customWidth="1"/>
    <col min="5881" max="5881" width="14.625" style="1" customWidth="1"/>
    <col min="5882" max="5882" width="10.625" style="1" customWidth="1"/>
    <col min="5883" max="5883" width="18.625" style="1" customWidth="1"/>
    <col min="5884" max="5884" width="9.625" style="1" customWidth="1"/>
    <col min="5885" max="5885" width="10.5" style="1" customWidth="1"/>
    <col min="5886" max="5886" width="20.375" style="1" bestFit="1" customWidth="1"/>
    <col min="5887" max="5887" width="12.5" style="1" customWidth="1"/>
    <col min="5888" max="5888" width="13.125" style="1" customWidth="1"/>
    <col min="5889" max="5893" width="9" style="1"/>
    <col min="5894" max="5894" width="11.25" style="1" bestFit="1" customWidth="1"/>
    <col min="5895" max="5895" width="11.625" style="1" bestFit="1" customWidth="1"/>
    <col min="5896" max="6126" width="9" style="1"/>
    <col min="6127" max="6127" width="4.625" style="1" customWidth="1"/>
    <col min="6128" max="6128" width="34.625" style="1" customWidth="1"/>
    <col min="6129" max="6129" width="11.625" style="1" customWidth="1"/>
    <col min="6130" max="6131" width="6.625" style="1" customWidth="1"/>
    <col min="6132" max="6132" width="10.625" style="1" customWidth="1"/>
    <col min="6133" max="6133" width="14.625" style="1" customWidth="1"/>
    <col min="6134" max="6134" width="10.625" style="1" customWidth="1"/>
    <col min="6135" max="6135" width="14.625" style="1" customWidth="1"/>
    <col min="6136" max="6136" width="10.625" style="1" customWidth="1"/>
    <col min="6137" max="6137" width="14.625" style="1" customWidth="1"/>
    <col min="6138" max="6138" width="10.625" style="1" customWidth="1"/>
    <col min="6139" max="6139" width="18.625" style="1" customWidth="1"/>
    <col min="6140" max="6140" width="9.625" style="1" customWidth="1"/>
    <col min="6141" max="6141" width="10.5" style="1" customWidth="1"/>
    <col min="6142" max="6142" width="20.375" style="1" bestFit="1" customWidth="1"/>
    <col min="6143" max="6143" width="12.5" style="1" customWidth="1"/>
    <col min="6144" max="6144" width="13.125" style="1" customWidth="1"/>
    <col min="6145" max="6149" width="9" style="1"/>
    <col min="6150" max="6150" width="11.25" style="1" bestFit="1" customWidth="1"/>
    <col min="6151" max="6151" width="11.625" style="1" bestFit="1" customWidth="1"/>
    <col min="6152" max="6382" width="9" style="1"/>
    <col min="6383" max="6383" width="4.625" style="1" customWidth="1"/>
    <col min="6384" max="6384" width="34.625" style="1" customWidth="1"/>
    <col min="6385" max="6385" width="11.625" style="1" customWidth="1"/>
    <col min="6386" max="6387" width="6.625" style="1" customWidth="1"/>
    <col min="6388" max="6388" width="10.625" style="1" customWidth="1"/>
    <col min="6389" max="6389" width="14.625" style="1" customWidth="1"/>
    <col min="6390" max="6390" width="10.625" style="1" customWidth="1"/>
    <col min="6391" max="6391" width="14.625" style="1" customWidth="1"/>
    <col min="6392" max="6392" width="10.625" style="1" customWidth="1"/>
    <col min="6393" max="6393" width="14.625" style="1" customWidth="1"/>
    <col min="6394" max="6394" width="10.625" style="1" customWidth="1"/>
    <col min="6395" max="6395" width="18.625" style="1" customWidth="1"/>
    <col min="6396" max="6396" width="9.625" style="1" customWidth="1"/>
    <col min="6397" max="6397" width="10.5" style="1" customWidth="1"/>
    <col min="6398" max="6398" width="20.375" style="1" bestFit="1" customWidth="1"/>
    <col min="6399" max="6399" width="12.5" style="1" customWidth="1"/>
    <col min="6400" max="6400" width="13.125" style="1" customWidth="1"/>
    <col min="6401" max="6405" width="9" style="1"/>
    <col min="6406" max="6406" width="11.25" style="1" bestFit="1" customWidth="1"/>
    <col min="6407" max="6407" width="11.625" style="1" bestFit="1" customWidth="1"/>
    <col min="6408" max="6638" width="9" style="1"/>
    <col min="6639" max="6639" width="4.625" style="1" customWidth="1"/>
    <col min="6640" max="6640" width="34.625" style="1" customWidth="1"/>
    <col min="6641" max="6641" width="11.625" style="1" customWidth="1"/>
    <col min="6642" max="6643" width="6.625" style="1" customWidth="1"/>
    <col min="6644" max="6644" width="10.625" style="1" customWidth="1"/>
    <col min="6645" max="6645" width="14.625" style="1" customWidth="1"/>
    <col min="6646" max="6646" width="10.625" style="1" customWidth="1"/>
    <col min="6647" max="6647" width="14.625" style="1" customWidth="1"/>
    <col min="6648" max="6648" width="10.625" style="1" customWidth="1"/>
    <col min="6649" max="6649" width="14.625" style="1" customWidth="1"/>
    <col min="6650" max="6650" width="10.625" style="1" customWidth="1"/>
    <col min="6651" max="6651" width="18.625" style="1" customWidth="1"/>
    <col min="6652" max="6652" width="9.625" style="1" customWidth="1"/>
    <col min="6653" max="6653" width="10.5" style="1" customWidth="1"/>
    <col min="6654" max="6654" width="20.375" style="1" bestFit="1" customWidth="1"/>
    <col min="6655" max="6655" width="12.5" style="1" customWidth="1"/>
    <col min="6656" max="6656" width="13.125" style="1" customWidth="1"/>
    <col min="6657" max="6661" width="9" style="1"/>
    <col min="6662" max="6662" width="11.25" style="1" bestFit="1" customWidth="1"/>
    <col min="6663" max="6663" width="11.625" style="1" bestFit="1" customWidth="1"/>
    <col min="6664" max="6894" width="9" style="1"/>
    <col min="6895" max="6895" width="4.625" style="1" customWidth="1"/>
    <col min="6896" max="6896" width="34.625" style="1" customWidth="1"/>
    <col min="6897" max="6897" width="11.625" style="1" customWidth="1"/>
    <col min="6898" max="6899" width="6.625" style="1" customWidth="1"/>
    <col min="6900" max="6900" width="10.625" style="1" customWidth="1"/>
    <col min="6901" max="6901" width="14.625" style="1" customWidth="1"/>
    <col min="6902" max="6902" width="10.625" style="1" customWidth="1"/>
    <col min="6903" max="6903" width="14.625" style="1" customWidth="1"/>
    <col min="6904" max="6904" width="10.625" style="1" customWidth="1"/>
    <col min="6905" max="6905" width="14.625" style="1" customWidth="1"/>
    <col min="6906" max="6906" width="10.625" style="1" customWidth="1"/>
    <col min="6907" max="6907" width="18.625" style="1" customWidth="1"/>
    <col min="6908" max="6908" width="9.625" style="1" customWidth="1"/>
    <col min="6909" max="6909" width="10.5" style="1" customWidth="1"/>
    <col min="6910" max="6910" width="20.375" style="1" bestFit="1" customWidth="1"/>
    <col min="6911" max="6911" width="12.5" style="1" customWidth="1"/>
    <col min="6912" max="6912" width="13.125" style="1" customWidth="1"/>
    <col min="6913" max="6917" width="9" style="1"/>
    <col min="6918" max="6918" width="11.25" style="1" bestFit="1" customWidth="1"/>
    <col min="6919" max="6919" width="11.625" style="1" bestFit="1" customWidth="1"/>
    <col min="6920" max="7150" width="9" style="1"/>
    <col min="7151" max="7151" width="4.625" style="1" customWidth="1"/>
    <col min="7152" max="7152" width="34.625" style="1" customWidth="1"/>
    <col min="7153" max="7153" width="11.625" style="1" customWidth="1"/>
    <col min="7154" max="7155" width="6.625" style="1" customWidth="1"/>
    <col min="7156" max="7156" width="10.625" style="1" customWidth="1"/>
    <col min="7157" max="7157" width="14.625" style="1" customWidth="1"/>
    <col min="7158" max="7158" width="10.625" style="1" customWidth="1"/>
    <col min="7159" max="7159" width="14.625" style="1" customWidth="1"/>
    <col min="7160" max="7160" width="10.625" style="1" customWidth="1"/>
    <col min="7161" max="7161" width="14.625" style="1" customWidth="1"/>
    <col min="7162" max="7162" width="10.625" style="1" customWidth="1"/>
    <col min="7163" max="7163" width="18.625" style="1" customWidth="1"/>
    <col min="7164" max="7164" width="9.625" style="1" customWidth="1"/>
    <col min="7165" max="7165" width="10.5" style="1" customWidth="1"/>
    <col min="7166" max="7166" width="20.375" style="1" bestFit="1" customWidth="1"/>
    <col min="7167" max="7167" width="12.5" style="1" customWidth="1"/>
    <col min="7168" max="7168" width="13.125" style="1" customWidth="1"/>
    <col min="7169" max="7173" width="9" style="1"/>
    <col min="7174" max="7174" width="11.25" style="1" bestFit="1" customWidth="1"/>
    <col min="7175" max="7175" width="11.625" style="1" bestFit="1" customWidth="1"/>
    <col min="7176" max="7406" width="9" style="1"/>
    <col min="7407" max="7407" width="4.625" style="1" customWidth="1"/>
    <col min="7408" max="7408" width="34.625" style="1" customWidth="1"/>
    <col min="7409" max="7409" width="11.625" style="1" customWidth="1"/>
    <col min="7410" max="7411" width="6.625" style="1" customWidth="1"/>
    <col min="7412" max="7412" width="10.625" style="1" customWidth="1"/>
    <col min="7413" max="7413" width="14.625" style="1" customWidth="1"/>
    <col min="7414" max="7414" width="10.625" style="1" customWidth="1"/>
    <col min="7415" max="7415" width="14.625" style="1" customWidth="1"/>
    <col min="7416" max="7416" width="10.625" style="1" customWidth="1"/>
    <col min="7417" max="7417" width="14.625" style="1" customWidth="1"/>
    <col min="7418" max="7418" width="10.625" style="1" customWidth="1"/>
    <col min="7419" max="7419" width="18.625" style="1" customWidth="1"/>
    <col min="7420" max="7420" width="9.625" style="1" customWidth="1"/>
    <col min="7421" max="7421" width="10.5" style="1" customWidth="1"/>
    <col min="7422" max="7422" width="20.375" style="1" bestFit="1" customWidth="1"/>
    <col min="7423" max="7423" width="12.5" style="1" customWidth="1"/>
    <col min="7424" max="7424" width="13.125" style="1" customWidth="1"/>
    <col min="7425" max="7429" width="9" style="1"/>
    <col min="7430" max="7430" width="11.25" style="1" bestFit="1" customWidth="1"/>
    <col min="7431" max="7431" width="11.625" style="1" bestFit="1" customWidth="1"/>
    <col min="7432" max="7662" width="9" style="1"/>
    <col min="7663" max="7663" width="4.625" style="1" customWidth="1"/>
    <col min="7664" max="7664" width="34.625" style="1" customWidth="1"/>
    <col min="7665" max="7665" width="11.625" style="1" customWidth="1"/>
    <col min="7666" max="7667" width="6.625" style="1" customWidth="1"/>
    <col min="7668" max="7668" width="10.625" style="1" customWidth="1"/>
    <col min="7669" max="7669" width="14.625" style="1" customWidth="1"/>
    <col min="7670" max="7670" width="10.625" style="1" customWidth="1"/>
    <col min="7671" max="7671" width="14.625" style="1" customWidth="1"/>
    <col min="7672" max="7672" width="10.625" style="1" customWidth="1"/>
    <col min="7673" max="7673" width="14.625" style="1" customWidth="1"/>
    <col min="7674" max="7674" width="10.625" style="1" customWidth="1"/>
    <col min="7675" max="7675" width="18.625" style="1" customWidth="1"/>
    <col min="7676" max="7676" width="9.625" style="1" customWidth="1"/>
    <col min="7677" max="7677" width="10.5" style="1" customWidth="1"/>
    <col min="7678" max="7678" width="20.375" style="1" bestFit="1" customWidth="1"/>
    <col min="7679" max="7679" width="12.5" style="1" customWidth="1"/>
    <col min="7680" max="7680" width="13.125" style="1" customWidth="1"/>
    <col min="7681" max="7685" width="9" style="1"/>
    <col min="7686" max="7686" width="11.25" style="1" bestFit="1" customWidth="1"/>
    <col min="7687" max="7687" width="11.625" style="1" bestFit="1" customWidth="1"/>
    <col min="7688" max="7918" width="9" style="1"/>
    <col min="7919" max="7919" width="4.625" style="1" customWidth="1"/>
    <col min="7920" max="7920" width="34.625" style="1" customWidth="1"/>
    <col min="7921" max="7921" width="11.625" style="1" customWidth="1"/>
    <col min="7922" max="7923" width="6.625" style="1" customWidth="1"/>
    <col min="7924" max="7924" width="10.625" style="1" customWidth="1"/>
    <col min="7925" max="7925" width="14.625" style="1" customWidth="1"/>
    <col min="7926" max="7926" width="10.625" style="1" customWidth="1"/>
    <col min="7927" max="7927" width="14.625" style="1" customWidth="1"/>
    <col min="7928" max="7928" width="10.625" style="1" customWidth="1"/>
    <col min="7929" max="7929" width="14.625" style="1" customWidth="1"/>
    <col min="7930" max="7930" width="10.625" style="1" customWidth="1"/>
    <col min="7931" max="7931" width="18.625" style="1" customWidth="1"/>
    <col min="7932" max="7932" width="9.625" style="1" customWidth="1"/>
    <col min="7933" max="7933" width="10.5" style="1" customWidth="1"/>
    <col min="7934" max="7934" width="20.375" style="1" bestFit="1" customWidth="1"/>
    <col min="7935" max="7935" width="12.5" style="1" customWidth="1"/>
    <col min="7936" max="7936" width="13.125" style="1" customWidth="1"/>
    <col min="7937" max="7941" width="9" style="1"/>
    <col min="7942" max="7942" width="11.25" style="1" bestFit="1" customWidth="1"/>
    <col min="7943" max="7943" width="11.625" style="1" bestFit="1" customWidth="1"/>
    <col min="7944" max="8174" width="9" style="1"/>
    <col min="8175" max="8175" width="4.625" style="1" customWidth="1"/>
    <col min="8176" max="8176" width="34.625" style="1" customWidth="1"/>
    <col min="8177" max="8177" width="11.625" style="1" customWidth="1"/>
    <col min="8178" max="8179" width="6.625" style="1" customWidth="1"/>
    <col min="8180" max="8180" width="10.625" style="1" customWidth="1"/>
    <col min="8181" max="8181" width="14.625" style="1" customWidth="1"/>
    <col min="8182" max="8182" width="10.625" style="1" customWidth="1"/>
    <col min="8183" max="8183" width="14.625" style="1" customWidth="1"/>
    <col min="8184" max="8184" width="10.625" style="1" customWidth="1"/>
    <col min="8185" max="8185" width="14.625" style="1" customWidth="1"/>
    <col min="8186" max="8186" width="10.625" style="1" customWidth="1"/>
    <col min="8187" max="8187" width="18.625" style="1" customWidth="1"/>
    <col min="8188" max="8188" width="9.625" style="1" customWidth="1"/>
    <col min="8189" max="8189" width="10.5" style="1" customWidth="1"/>
    <col min="8190" max="8190" width="20.375" style="1" bestFit="1" customWidth="1"/>
    <col min="8191" max="8191" width="12.5" style="1" customWidth="1"/>
    <col min="8192" max="8192" width="13.125" style="1" customWidth="1"/>
    <col min="8193" max="8197" width="9" style="1"/>
    <col min="8198" max="8198" width="11.25" style="1" bestFit="1" customWidth="1"/>
    <col min="8199" max="8199" width="11.625" style="1" bestFit="1" customWidth="1"/>
    <col min="8200" max="8430" width="9" style="1"/>
    <col min="8431" max="8431" width="4.625" style="1" customWidth="1"/>
    <col min="8432" max="8432" width="34.625" style="1" customWidth="1"/>
    <col min="8433" max="8433" width="11.625" style="1" customWidth="1"/>
    <col min="8434" max="8435" width="6.625" style="1" customWidth="1"/>
    <col min="8436" max="8436" width="10.625" style="1" customWidth="1"/>
    <col min="8437" max="8437" width="14.625" style="1" customWidth="1"/>
    <col min="8438" max="8438" width="10.625" style="1" customWidth="1"/>
    <col min="8439" max="8439" width="14.625" style="1" customWidth="1"/>
    <col min="8440" max="8440" width="10.625" style="1" customWidth="1"/>
    <col min="8441" max="8441" width="14.625" style="1" customWidth="1"/>
    <col min="8442" max="8442" width="10.625" style="1" customWidth="1"/>
    <col min="8443" max="8443" width="18.625" style="1" customWidth="1"/>
    <col min="8444" max="8444" width="9.625" style="1" customWidth="1"/>
    <col min="8445" max="8445" width="10.5" style="1" customWidth="1"/>
    <col min="8446" max="8446" width="20.375" style="1" bestFit="1" customWidth="1"/>
    <col min="8447" max="8447" width="12.5" style="1" customWidth="1"/>
    <col min="8448" max="8448" width="13.125" style="1" customWidth="1"/>
    <col min="8449" max="8453" width="9" style="1"/>
    <col min="8454" max="8454" width="11.25" style="1" bestFit="1" customWidth="1"/>
    <col min="8455" max="8455" width="11.625" style="1" bestFit="1" customWidth="1"/>
    <col min="8456" max="8686" width="9" style="1"/>
    <col min="8687" max="8687" width="4.625" style="1" customWidth="1"/>
    <col min="8688" max="8688" width="34.625" style="1" customWidth="1"/>
    <col min="8689" max="8689" width="11.625" style="1" customWidth="1"/>
    <col min="8690" max="8691" width="6.625" style="1" customWidth="1"/>
    <col min="8692" max="8692" width="10.625" style="1" customWidth="1"/>
    <col min="8693" max="8693" width="14.625" style="1" customWidth="1"/>
    <col min="8694" max="8694" width="10.625" style="1" customWidth="1"/>
    <col min="8695" max="8695" width="14.625" style="1" customWidth="1"/>
    <col min="8696" max="8696" width="10.625" style="1" customWidth="1"/>
    <col min="8697" max="8697" width="14.625" style="1" customWidth="1"/>
    <col min="8698" max="8698" width="10.625" style="1" customWidth="1"/>
    <col min="8699" max="8699" width="18.625" style="1" customWidth="1"/>
    <col min="8700" max="8700" width="9.625" style="1" customWidth="1"/>
    <col min="8701" max="8701" width="10.5" style="1" customWidth="1"/>
    <col min="8702" max="8702" width="20.375" style="1" bestFit="1" customWidth="1"/>
    <col min="8703" max="8703" width="12.5" style="1" customWidth="1"/>
    <col min="8704" max="8704" width="13.125" style="1" customWidth="1"/>
    <col min="8705" max="8709" width="9" style="1"/>
    <col min="8710" max="8710" width="11.25" style="1" bestFit="1" customWidth="1"/>
    <col min="8711" max="8711" width="11.625" style="1" bestFit="1" customWidth="1"/>
    <col min="8712" max="8942" width="9" style="1"/>
    <col min="8943" max="8943" width="4.625" style="1" customWidth="1"/>
    <col min="8944" max="8944" width="34.625" style="1" customWidth="1"/>
    <col min="8945" max="8945" width="11.625" style="1" customWidth="1"/>
    <col min="8946" max="8947" width="6.625" style="1" customWidth="1"/>
    <col min="8948" max="8948" width="10.625" style="1" customWidth="1"/>
    <col min="8949" max="8949" width="14.625" style="1" customWidth="1"/>
    <col min="8950" max="8950" width="10.625" style="1" customWidth="1"/>
    <col min="8951" max="8951" width="14.625" style="1" customWidth="1"/>
    <col min="8952" max="8952" width="10.625" style="1" customWidth="1"/>
    <col min="8953" max="8953" width="14.625" style="1" customWidth="1"/>
    <col min="8954" max="8954" width="10.625" style="1" customWidth="1"/>
    <col min="8955" max="8955" width="18.625" style="1" customWidth="1"/>
    <col min="8956" max="8956" width="9.625" style="1" customWidth="1"/>
    <col min="8957" max="8957" width="10.5" style="1" customWidth="1"/>
    <col min="8958" max="8958" width="20.375" style="1" bestFit="1" customWidth="1"/>
    <col min="8959" max="8959" width="12.5" style="1" customWidth="1"/>
    <col min="8960" max="8960" width="13.125" style="1" customWidth="1"/>
    <col min="8961" max="8965" width="9" style="1"/>
    <col min="8966" max="8966" width="11.25" style="1" bestFit="1" customWidth="1"/>
    <col min="8967" max="8967" width="11.625" style="1" bestFit="1" customWidth="1"/>
    <col min="8968" max="9198" width="9" style="1"/>
    <col min="9199" max="9199" width="4.625" style="1" customWidth="1"/>
    <col min="9200" max="9200" width="34.625" style="1" customWidth="1"/>
    <col min="9201" max="9201" width="11.625" style="1" customWidth="1"/>
    <col min="9202" max="9203" width="6.625" style="1" customWidth="1"/>
    <col min="9204" max="9204" width="10.625" style="1" customWidth="1"/>
    <col min="9205" max="9205" width="14.625" style="1" customWidth="1"/>
    <col min="9206" max="9206" width="10.625" style="1" customWidth="1"/>
    <col min="9207" max="9207" width="14.625" style="1" customWidth="1"/>
    <col min="9208" max="9208" width="10.625" style="1" customWidth="1"/>
    <col min="9209" max="9209" width="14.625" style="1" customWidth="1"/>
    <col min="9210" max="9210" width="10.625" style="1" customWidth="1"/>
    <col min="9211" max="9211" width="18.625" style="1" customWidth="1"/>
    <col min="9212" max="9212" width="9.625" style="1" customWidth="1"/>
    <col min="9213" max="9213" width="10.5" style="1" customWidth="1"/>
    <col min="9214" max="9214" width="20.375" style="1" bestFit="1" customWidth="1"/>
    <col min="9215" max="9215" width="12.5" style="1" customWidth="1"/>
    <col min="9216" max="9216" width="13.125" style="1" customWidth="1"/>
    <col min="9217" max="9221" width="9" style="1"/>
    <col min="9222" max="9222" width="11.25" style="1" bestFit="1" customWidth="1"/>
    <col min="9223" max="9223" width="11.625" style="1" bestFit="1" customWidth="1"/>
    <col min="9224" max="9454" width="9" style="1"/>
    <col min="9455" max="9455" width="4.625" style="1" customWidth="1"/>
    <col min="9456" max="9456" width="34.625" style="1" customWidth="1"/>
    <col min="9457" max="9457" width="11.625" style="1" customWidth="1"/>
    <col min="9458" max="9459" width="6.625" style="1" customWidth="1"/>
    <col min="9460" max="9460" width="10.625" style="1" customWidth="1"/>
    <col min="9461" max="9461" width="14.625" style="1" customWidth="1"/>
    <col min="9462" max="9462" width="10.625" style="1" customWidth="1"/>
    <col min="9463" max="9463" width="14.625" style="1" customWidth="1"/>
    <col min="9464" max="9464" width="10.625" style="1" customWidth="1"/>
    <col min="9465" max="9465" width="14.625" style="1" customWidth="1"/>
    <col min="9466" max="9466" width="10.625" style="1" customWidth="1"/>
    <col min="9467" max="9467" width="18.625" style="1" customWidth="1"/>
    <col min="9468" max="9468" width="9.625" style="1" customWidth="1"/>
    <col min="9469" max="9469" width="10.5" style="1" customWidth="1"/>
    <col min="9470" max="9470" width="20.375" style="1" bestFit="1" customWidth="1"/>
    <col min="9471" max="9471" width="12.5" style="1" customWidth="1"/>
    <col min="9472" max="9472" width="13.125" style="1" customWidth="1"/>
    <col min="9473" max="9477" width="9" style="1"/>
    <col min="9478" max="9478" width="11.25" style="1" bestFit="1" customWidth="1"/>
    <col min="9479" max="9479" width="11.625" style="1" bestFit="1" customWidth="1"/>
    <col min="9480" max="9710" width="9" style="1"/>
    <col min="9711" max="9711" width="4.625" style="1" customWidth="1"/>
    <col min="9712" max="9712" width="34.625" style="1" customWidth="1"/>
    <col min="9713" max="9713" width="11.625" style="1" customWidth="1"/>
    <col min="9714" max="9715" width="6.625" style="1" customWidth="1"/>
    <col min="9716" max="9716" width="10.625" style="1" customWidth="1"/>
    <col min="9717" max="9717" width="14.625" style="1" customWidth="1"/>
    <col min="9718" max="9718" width="10.625" style="1" customWidth="1"/>
    <col min="9719" max="9719" width="14.625" style="1" customWidth="1"/>
    <col min="9720" max="9720" width="10.625" style="1" customWidth="1"/>
    <col min="9721" max="9721" width="14.625" style="1" customWidth="1"/>
    <col min="9722" max="9722" width="10.625" style="1" customWidth="1"/>
    <col min="9723" max="9723" width="18.625" style="1" customWidth="1"/>
    <col min="9724" max="9724" width="9.625" style="1" customWidth="1"/>
    <col min="9725" max="9725" width="10.5" style="1" customWidth="1"/>
    <col min="9726" max="9726" width="20.375" style="1" bestFit="1" customWidth="1"/>
    <col min="9727" max="9727" width="12.5" style="1" customWidth="1"/>
    <col min="9728" max="9728" width="13.125" style="1" customWidth="1"/>
    <col min="9729" max="9733" width="9" style="1"/>
    <col min="9734" max="9734" width="11.25" style="1" bestFit="1" customWidth="1"/>
    <col min="9735" max="9735" width="11.625" style="1" bestFit="1" customWidth="1"/>
    <col min="9736" max="9966" width="9" style="1"/>
    <col min="9967" max="9967" width="4.625" style="1" customWidth="1"/>
    <col min="9968" max="9968" width="34.625" style="1" customWidth="1"/>
    <col min="9969" max="9969" width="11.625" style="1" customWidth="1"/>
    <col min="9970" max="9971" width="6.625" style="1" customWidth="1"/>
    <col min="9972" max="9972" width="10.625" style="1" customWidth="1"/>
    <col min="9973" max="9973" width="14.625" style="1" customWidth="1"/>
    <col min="9974" max="9974" width="10.625" style="1" customWidth="1"/>
    <col min="9975" max="9975" width="14.625" style="1" customWidth="1"/>
    <col min="9976" max="9976" width="10.625" style="1" customWidth="1"/>
    <col min="9977" max="9977" width="14.625" style="1" customWidth="1"/>
    <col min="9978" max="9978" width="10.625" style="1" customWidth="1"/>
    <col min="9979" max="9979" width="18.625" style="1" customWidth="1"/>
    <col min="9980" max="9980" width="9.625" style="1" customWidth="1"/>
    <col min="9981" max="9981" width="10.5" style="1" customWidth="1"/>
    <col min="9982" max="9982" width="20.375" style="1" bestFit="1" customWidth="1"/>
    <col min="9983" max="9983" width="12.5" style="1" customWidth="1"/>
    <col min="9984" max="9984" width="13.125" style="1" customWidth="1"/>
    <col min="9985" max="9989" width="9" style="1"/>
    <col min="9990" max="9990" width="11.25" style="1" bestFit="1" customWidth="1"/>
    <col min="9991" max="9991" width="11.625" style="1" bestFit="1" customWidth="1"/>
    <col min="9992" max="10222" width="9" style="1"/>
    <col min="10223" max="10223" width="4.625" style="1" customWidth="1"/>
    <col min="10224" max="10224" width="34.625" style="1" customWidth="1"/>
    <col min="10225" max="10225" width="11.625" style="1" customWidth="1"/>
    <col min="10226" max="10227" width="6.625" style="1" customWidth="1"/>
    <col min="10228" max="10228" width="10.625" style="1" customWidth="1"/>
    <col min="10229" max="10229" width="14.625" style="1" customWidth="1"/>
    <col min="10230" max="10230" width="10.625" style="1" customWidth="1"/>
    <col min="10231" max="10231" width="14.625" style="1" customWidth="1"/>
    <col min="10232" max="10232" width="10.625" style="1" customWidth="1"/>
    <col min="10233" max="10233" width="14.625" style="1" customWidth="1"/>
    <col min="10234" max="10234" width="10.625" style="1" customWidth="1"/>
    <col min="10235" max="10235" width="18.625" style="1" customWidth="1"/>
    <col min="10236" max="10236" width="9.625" style="1" customWidth="1"/>
    <col min="10237" max="10237" width="10.5" style="1" customWidth="1"/>
    <col min="10238" max="10238" width="20.375" style="1" bestFit="1" customWidth="1"/>
    <col min="10239" max="10239" width="12.5" style="1" customWidth="1"/>
    <col min="10240" max="10240" width="13.125" style="1" customWidth="1"/>
    <col min="10241" max="10245" width="9" style="1"/>
    <col min="10246" max="10246" width="11.25" style="1" bestFit="1" customWidth="1"/>
    <col min="10247" max="10247" width="11.625" style="1" bestFit="1" customWidth="1"/>
    <col min="10248" max="10478" width="9" style="1"/>
    <col min="10479" max="10479" width="4.625" style="1" customWidth="1"/>
    <col min="10480" max="10480" width="34.625" style="1" customWidth="1"/>
    <col min="10481" max="10481" width="11.625" style="1" customWidth="1"/>
    <col min="10482" max="10483" width="6.625" style="1" customWidth="1"/>
    <col min="10484" max="10484" width="10.625" style="1" customWidth="1"/>
    <col min="10485" max="10485" width="14.625" style="1" customWidth="1"/>
    <col min="10486" max="10486" width="10.625" style="1" customWidth="1"/>
    <col min="10487" max="10487" width="14.625" style="1" customWidth="1"/>
    <col min="10488" max="10488" width="10.625" style="1" customWidth="1"/>
    <col min="10489" max="10489" width="14.625" style="1" customWidth="1"/>
    <col min="10490" max="10490" width="10.625" style="1" customWidth="1"/>
    <col min="10491" max="10491" width="18.625" style="1" customWidth="1"/>
    <col min="10492" max="10492" width="9.625" style="1" customWidth="1"/>
    <col min="10493" max="10493" width="10.5" style="1" customWidth="1"/>
    <col min="10494" max="10494" width="20.375" style="1" bestFit="1" customWidth="1"/>
    <col min="10495" max="10495" width="12.5" style="1" customWidth="1"/>
    <col min="10496" max="10496" width="13.125" style="1" customWidth="1"/>
    <col min="10497" max="10501" width="9" style="1"/>
    <col min="10502" max="10502" width="11.25" style="1" bestFit="1" customWidth="1"/>
    <col min="10503" max="10503" width="11.625" style="1" bestFit="1" customWidth="1"/>
    <col min="10504" max="10734" width="9" style="1"/>
    <col min="10735" max="10735" width="4.625" style="1" customWidth="1"/>
    <col min="10736" max="10736" width="34.625" style="1" customWidth="1"/>
    <col min="10737" max="10737" width="11.625" style="1" customWidth="1"/>
    <col min="10738" max="10739" width="6.625" style="1" customWidth="1"/>
    <col min="10740" max="10740" width="10.625" style="1" customWidth="1"/>
    <col min="10741" max="10741" width="14.625" style="1" customWidth="1"/>
    <col min="10742" max="10742" width="10.625" style="1" customWidth="1"/>
    <col min="10743" max="10743" width="14.625" style="1" customWidth="1"/>
    <col min="10744" max="10744" width="10.625" style="1" customWidth="1"/>
    <col min="10745" max="10745" width="14.625" style="1" customWidth="1"/>
    <col min="10746" max="10746" width="10.625" style="1" customWidth="1"/>
    <col min="10747" max="10747" width="18.625" style="1" customWidth="1"/>
    <col min="10748" max="10748" width="9.625" style="1" customWidth="1"/>
    <col min="10749" max="10749" width="10.5" style="1" customWidth="1"/>
    <col min="10750" max="10750" width="20.375" style="1" bestFit="1" customWidth="1"/>
    <col min="10751" max="10751" width="12.5" style="1" customWidth="1"/>
    <col min="10752" max="10752" width="13.125" style="1" customWidth="1"/>
    <col min="10753" max="10757" width="9" style="1"/>
    <col min="10758" max="10758" width="11.25" style="1" bestFit="1" customWidth="1"/>
    <col min="10759" max="10759" width="11.625" style="1" bestFit="1" customWidth="1"/>
    <col min="10760" max="10990" width="9" style="1"/>
    <col min="10991" max="10991" width="4.625" style="1" customWidth="1"/>
    <col min="10992" max="10992" width="34.625" style="1" customWidth="1"/>
    <col min="10993" max="10993" width="11.625" style="1" customWidth="1"/>
    <col min="10994" max="10995" width="6.625" style="1" customWidth="1"/>
    <col min="10996" max="10996" width="10.625" style="1" customWidth="1"/>
    <col min="10997" max="10997" width="14.625" style="1" customWidth="1"/>
    <col min="10998" max="10998" width="10.625" style="1" customWidth="1"/>
    <col min="10999" max="10999" width="14.625" style="1" customWidth="1"/>
    <col min="11000" max="11000" width="10.625" style="1" customWidth="1"/>
    <col min="11001" max="11001" width="14.625" style="1" customWidth="1"/>
    <col min="11002" max="11002" width="10.625" style="1" customWidth="1"/>
    <col min="11003" max="11003" width="18.625" style="1" customWidth="1"/>
    <col min="11004" max="11004" width="9.625" style="1" customWidth="1"/>
    <col min="11005" max="11005" width="10.5" style="1" customWidth="1"/>
    <col min="11006" max="11006" width="20.375" style="1" bestFit="1" customWidth="1"/>
    <col min="11007" max="11007" width="12.5" style="1" customWidth="1"/>
    <col min="11008" max="11008" width="13.125" style="1" customWidth="1"/>
    <col min="11009" max="11013" width="9" style="1"/>
    <col min="11014" max="11014" width="11.25" style="1" bestFit="1" customWidth="1"/>
    <col min="11015" max="11015" width="11.625" style="1" bestFit="1" customWidth="1"/>
    <col min="11016" max="11246" width="9" style="1"/>
    <col min="11247" max="11247" width="4.625" style="1" customWidth="1"/>
    <col min="11248" max="11248" width="34.625" style="1" customWidth="1"/>
    <col min="11249" max="11249" width="11.625" style="1" customWidth="1"/>
    <col min="11250" max="11251" width="6.625" style="1" customWidth="1"/>
    <col min="11252" max="11252" width="10.625" style="1" customWidth="1"/>
    <col min="11253" max="11253" width="14.625" style="1" customWidth="1"/>
    <col min="11254" max="11254" width="10.625" style="1" customWidth="1"/>
    <col min="11255" max="11255" width="14.625" style="1" customWidth="1"/>
    <col min="11256" max="11256" width="10.625" style="1" customWidth="1"/>
    <col min="11257" max="11257" width="14.625" style="1" customWidth="1"/>
    <col min="11258" max="11258" width="10.625" style="1" customWidth="1"/>
    <col min="11259" max="11259" width="18.625" style="1" customWidth="1"/>
    <col min="11260" max="11260" width="9.625" style="1" customWidth="1"/>
    <col min="11261" max="11261" width="10.5" style="1" customWidth="1"/>
    <col min="11262" max="11262" width="20.375" style="1" bestFit="1" customWidth="1"/>
    <col min="11263" max="11263" width="12.5" style="1" customWidth="1"/>
    <col min="11264" max="11264" width="13.125" style="1" customWidth="1"/>
    <col min="11265" max="11269" width="9" style="1"/>
    <col min="11270" max="11270" width="11.25" style="1" bestFit="1" customWidth="1"/>
    <col min="11271" max="11271" width="11.625" style="1" bestFit="1" customWidth="1"/>
    <col min="11272" max="11502" width="9" style="1"/>
    <col min="11503" max="11503" width="4.625" style="1" customWidth="1"/>
    <col min="11504" max="11504" width="34.625" style="1" customWidth="1"/>
    <col min="11505" max="11505" width="11.625" style="1" customWidth="1"/>
    <col min="11506" max="11507" width="6.625" style="1" customWidth="1"/>
    <col min="11508" max="11508" width="10.625" style="1" customWidth="1"/>
    <col min="11509" max="11509" width="14.625" style="1" customWidth="1"/>
    <col min="11510" max="11510" width="10.625" style="1" customWidth="1"/>
    <col min="11511" max="11511" width="14.625" style="1" customWidth="1"/>
    <col min="11512" max="11512" width="10.625" style="1" customWidth="1"/>
    <col min="11513" max="11513" width="14.625" style="1" customWidth="1"/>
    <col min="11514" max="11514" width="10.625" style="1" customWidth="1"/>
    <col min="11515" max="11515" width="18.625" style="1" customWidth="1"/>
    <col min="11516" max="11516" width="9.625" style="1" customWidth="1"/>
    <col min="11517" max="11517" width="10.5" style="1" customWidth="1"/>
    <col min="11518" max="11518" width="20.375" style="1" bestFit="1" customWidth="1"/>
    <col min="11519" max="11519" width="12.5" style="1" customWidth="1"/>
    <col min="11520" max="11520" width="13.125" style="1" customWidth="1"/>
    <col min="11521" max="11525" width="9" style="1"/>
    <col min="11526" max="11526" width="11.25" style="1" bestFit="1" customWidth="1"/>
    <col min="11527" max="11527" width="11.625" style="1" bestFit="1" customWidth="1"/>
    <col min="11528" max="11758" width="9" style="1"/>
    <col min="11759" max="11759" width="4.625" style="1" customWidth="1"/>
    <col min="11760" max="11760" width="34.625" style="1" customWidth="1"/>
    <col min="11761" max="11761" width="11.625" style="1" customWidth="1"/>
    <col min="11762" max="11763" width="6.625" style="1" customWidth="1"/>
    <col min="11764" max="11764" width="10.625" style="1" customWidth="1"/>
    <col min="11765" max="11765" width="14.625" style="1" customWidth="1"/>
    <col min="11766" max="11766" width="10.625" style="1" customWidth="1"/>
    <col min="11767" max="11767" width="14.625" style="1" customWidth="1"/>
    <col min="11768" max="11768" width="10.625" style="1" customWidth="1"/>
    <col min="11769" max="11769" width="14.625" style="1" customWidth="1"/>
    <col min="11770" max="11770" width="10.625" style="1" customWidth="1"/>
    <col min="11771" max="11771" width="18.625" style="1" customWidth="1"/>
    <col min="11772" max="11772" width="9.625" style="1" customWidth="1"/>
    <col min="11773" max="11773" width="10.5" style="1" customWidth="1"/>
    <col min="11774" max="11774" width="20.375" style="1" bestFit="1" customWidth="1"/>
    <col min="11775" max="11775" width="12.5" style="1" customWidth="1"/>
    <col min="11776" max="11776" width="13.125" style="1" customWidth="1"/>
    <col min="11777" max="11781" width="9" style="1"/>
    <col min="11782" max="11782" width="11.25" style="1" bestFit="1" customWidth="1"/>
    <col min="11783" max="11783" width="11.625" style="1" bestFit="1" customWidth="1"/>
    <col min="11784" max="12014" width="9" style="1"/>
    <col min="12015" max="12015" width="4.625" style="1" customWidth="1"/>
    <col min="12016" max="12016" width="34.625" style="1" customWidth="1"/>
    <col min="12017" max="12017" width="11.625" style="1" customWidth="1"/>
    <col min="12018" max="12019" width="6.625" style="1" customWidth="1"/>
    <col min="12020" max="12020" width="10.625" style="1" customWidth="1"/>
    <col min="12021" max="12021" width="14.625" style="1" customWidth="1"/>
    <col min="12022" max="12022" width="10.625" style="1" customWidth="1"/>
    <col min="12023" max="12023" width="14.625" style="1" customWidth="1"/>
    <col min="12024" max="12024" width="10.625" style="1" customWidth="1"/>
    <col min="12025" max="12025" width="14.625" style="1" customWidth="1"/>
    <col min="12026" max="12026" width="10.625" style="1" customWidth="1"/>
    <col min="12027" max="12027" width="18.625" style="1" customWidth="1"/>
    <col min="12028" max="12028" width="9.625" style="1" customWidth="1"/>
    <col min="12029" max="12029" width="10.5" style="1" customWidth="1"/>
    <col min="12030" max="12030" width="20.375" style="1" bestFit="1" customWidth="1"/>
    <col min="12031" max="12031" width="12.5" style="1" customWidth="1"/>
    <col min="12032" max="12032" width="13.125" style="1" customWidth="1"/>
    <col min="12033" max="12037" width="9" style="1"/>
    <col min="12038" max="12038" width="11.25" style="1" bestFit="1" customWidth="1"/>
    <col min="12039" max="12039" width="11.625" style="1" bestFit="1" customWidth="1"/>
    <col min="12040" max="12270" width="9" style="1"/>
    <col min="12271" max="12271" width="4.625" style="1" customWidth="1"/>
    <col min="12272" max="12272" width="34.625" style="1" customWidth="1"/>
    <col min="12273" max="12273" width="11.625" style="1" customWidth="1"/>
    <col min="12274" max="12275" width="6.625" style="1" customWidth="1"/>
    <col min="12276" max="12276" width="10.625" style="1" customWidth="1"/>
    <col min="12277" max="12277" width="14.625" style="1" customWidth="1"/>
    <col min="12278" max="12278" width="10.625" style="1" customWidth="1"/>
    <col min="12279" max="12279" width="14.625" style="1" customWidth="1"/>
    <col min="12280" max="12280" width="10.625" style="1" customWidth="1"/>
    <col min="12281" max="12281" width="14.625" style="1" customWidth="1"/>
    <col min="12282" max="12282" width="10.625" style="1" customWidth="1"/>
    <col min="12283" max="12283" width="18.625" style="1" customWidth="1"/>
    <col min="12284" max="12284" width="9.625" style="1" customWidth="1"/>
    <col min="12285" max="12285" width="10.5" style="1" customWidth="1"/>
    <col min="12286" max="12286" width="20.375" style="1" bestFit="1" customWidth="1"/>
    <col min="12287" max="12287" width="12.5" style="1" customWidth="1"/>
    <col min="12288" max="12288" width="13.125" style="1" customWidth="1"/>
    <col min="12289" max="12293" width="9" style="1"/>
    <col min="12294" max="12294" width="11.25" style="1" bestFit="1" customWidth="1"/>
    <col min="12295" max="12295" width="11.625" style="1" bestFit="1" customWidth="1"/>
    <col min="12296" max="12526" width="9" style="1"/>
    <col min="12527" max="12527" width="4.625" style="1" customWidth="1"/>
    <col min="12528" max="12528" width="34.625" style="1" customWidth="1"/>
    <col min="12529" max="12529" width="11.625" style="1" customWidth="1"/>
    <col min="12530" max="12531" width="6.625" style="1" customWidth="1"/>
    <col min="12532" max="12532" width="10.625" style="1" customWidth="1"/>
    <col min="12533" max="12533" width="14.625" style="1" customWidth="1"/>
    <col min="12534" max="12534" width="10.625" style="1" customWidth="1"/>
    <col min="12535" max="12535" width="14.625" style="1" customWidth="1"/>
    <col min="12536" max="12536" width="10.625" style="1" customWidth="1"/>
    <col min="12537" max="12537" width="14.625" style="1" customWidth="1"/>
    <col min="12538" max="12538" width="10.625" style="1" customWidth="1"/>
    <col min="12539" max="12539" width="18.625" style="1" customWidth="1"/>
    <col min="12540" max="12540" width="9.625" style="1" customWidth="1"/>
    <col min="12541" max="12541" width="10.5" style="1" customWidth="1"/>
    <col min="12542" max="12542" width="20.375" style="1" bestFit="1" customWidth="1"/>
    <col min="12543" max="12543" width="12.5" style="1" customWidth="1"/>
    <col min="12544" max="12544" width="13.125" style="1" customWidth="1"/>
    <col min="12545" max="12549" width="9" style="1"/>
    <col min="12550" max="12550" width="11.25" style="1" bestFit="1" customWidth="1"/>
    <col min="12551" max="12551" width="11.625" style="1" bestFit="1" customWidth="1"/>
    <col min="12552" max="12782" width="9" style="1"/>
    <col min="12783" max="12783" width="4.625" style="1" customWidth="1"/>
    <col min="12784" max="12784" width="34.625" style="1" customWidth="1"/>
    <col min="12785" max="12785" width="11.625" style="1" customWidth="1"/>
    <col min="12786" max="12787" width="6.625" style="1" customWidth="1"/>
    <col min="12788" max="12788" width="10.625" style="1" customWidth="1"/>
    <col min="12789" max="12789" width="14.625" style="1" customWidth="1"/>
    <col min="12790" max="12790" width="10.625" style="1" customWidth="1"/>
    <col min="12791" max="12791" width="14.625" style="1" customWidth="1"/>
    <col min="12792" max="12792" width="10.625" style="1" customWidth="1"/>
    <col min="12793" max="12793" width="14.625" style="1" customWidth="1"/>
    <col min="12794" max="12794" width="10.625" style="1" customWidth="1"/>
    <col min="12795" max="12795" width="18.625" style="1" customWidth="1"/>
    <col min="12796" max="12796" width="9.625" style="1" customWidth="1"/>
    <col min="12797" max="12797" width="10.5" style="1" customWidth="1"/>
    <col min="12798" max="12798" width="20.375" style="1" bestFit="1" customWidth="1"/>
    <col min="12799" max="12799" width="12.5" style="1" customWidth="1"/>
    <col min="12800" max="12800" width="13.125" style="1" customWidth="1"/>
    <col min="12801" max="12805" width="9" style="1"/>
    <col min="12806" max="12806" width="11.25" style="1" bestFit="1" customWidth="1"/>
    <col min="12807" max="12807" width="11.625" style="1" bestFit="1" customWidth="1"/>
    <col min="12808" max="13038" width="9" style="1"/>
    <col min="13039" max="13039" width="4.625" style="1" customWidth="1"/>
    <col min="13040" max="13040" width="34.625" style="1" customWidth="1"/>
    <col min="13041" max="13041" width="11.625" style="1" customWidth="1"/>
    <col min="13042" max="13043" width="6.625" style="1" customWidth="1"/>
    <col min="13044" max="13044" width="10.625" style="1" customWidth="1"/>
    <col min="13045" max="13045" width="14.625" style="1" customWidth="1"/>
    <col min="13046" max="13046" width="10.625" style="1" customWidth="1"/>
    <col min="13047" max="13047" width="14.625" style="1" customWidth="1"/>
    <col min="13048" max="13048" width="10.625" style="1" customWidth="1"/>
    <col min="13049" max="13049" width="14.625" style="1" customWidth="1"/>
    <col min="13050" max="13050" width="10.625" style="1" customWidth="1"/>
    <col min="13051" max="13051" width="18.625" style="1" customWidth="1"/>
    <col min="13052" max="13052" width="9.625" style="1" customWidth="1"/>
    <col min="13053" max="13053" width="10.5" style="1" customWidth="1"/>
    <col min="13054" max="13054" width="20.375" style="1" bestFit="1" customWidth="1"/>
    <col min="13055" max="13055" width="12.5" style="1" customWidth="1"/>
    <col min="13056" max="13056" width="13.125" style="1" customWidth="1"/>
    <col min="13057" max="13061" width="9" style="1"/>
    <col min="13062" max="13062" width="11.25" style="1" bestFit="1" customWidth="1"/>
    <col min="13063" max="13063" width="11.625" style="1" bestFit="1" customWidth="1"/>
    <col min="13064" max="13294" width="9" style="1"/>
    <col min="13295" max="13295" width="4.625" style="1" customWidth="1"/>
    <col min="13296" max="13296" width="34.625" style="1" customWidth="1"/>
    <col min="13297" max="13297" width="11.625" style="1" customWidth="1"/>
    <col min="13298" max="13299" width="6.625" style="1" customWidth="1"/>
    <col min="13300" max="13300" width="10.625" style="1" customWidth="1"/>
    <col min="13301" max="13301" width="14.625" style="1" customWidth="1"/>
    <col min="13302" max="13302" width="10.625" style="1" customWidth="1"/>
    <col min="13303" max="13303" width="14.625" style="1" customWidth="1"/>
    <col min="13304" max="13304" width="10.625" style="1" customWidth="1"/>
    <col min="13305" max="13305" width="14.625" style="1" customWidth="1"/>
    <col min="13306" max="13306" width="10.625" style="1" customWidth="1"/>
    <col min="13307" max="13307" width="18.625" style="1" customWidth="1"/>
    <col min="13308" max="13308" width="9.625" style="1" customWidth="1"/>
    <col min="13309" max="13309" width="10.5" style="1" customWidth="1"/>
    <col min="13310" max="13310" width="20.375" style="1" bestFit="1" customWidth="1"/>
    <col min="13311" max="13311" width="12.5" style="1" customWidth="1"/>
    <col min="13312" max="13312" width="13.125" style="1" customWidth="1"/>
    <col min="13313" max="13317" width="9" style="1"/>
    <col min="13318" max="13318" width="11.25" style="1" bestFit="1" customWidth="1"/>
    <col min="13319" max="13319" width="11.625" style="1" bestFit="1" customWidth="1"/>
    <col min="13320" max="13550" width="9" style="1"/>
    <col min="13551" max="13551" width="4.625" style="1" customWidth="1"/>
    <col min="13552" max="13552" width="34.625" style="1" customWidth="1"/>
    <col min="13553" max="13553" width="11.625" style="1" customWidth="1"/>
    <col min="13554" max="13555" width="6.625" style="1" customWidth="1"/>
    <col min="13556" max="13556" width="10.625" style="1" customWidth="1"/>
    <col min="13557" max="13557" width="14.625" style="1" customWidth="1"/>
    <col min="13558" max="13558" width="10.625" style="1" customWidth="1"/>
    <col min="13559" max="13559" width="14.625" style="1" customWidth="1"/>
    <col min="13560" max="13560" width="10.625" style="1" customWidth="1"/>
    <col min="13561" max="13561" width="14.625" style="1" customWidth="1"/>
    <col min="13562" max="13562" width="10.625" style="1" customWidth="1"/>
    <col min="13563" max="13563" width="18.625" style="1" customWidth="1"/>
    <col min="13564" max="13564" width="9.625" style="1" customWidth="1"/>
    <col min="13565" max="13565" width="10.5" style="1" customWidth="1"/>
    <col min="13566" max="13566" width="20.375" style="1" bestFit="1" customWidth="1"/>
    <col min="13567" max="13567" width="12.5" style="1" customWidth="1"/>
    <col min="13568" max="13568" width="13.125" style="1" customWidth="1"/>
    <col min="13569" max="13573" width="9" style="1"/>
    <col min="13574" max="13574" width="11.25" style="1" bestFit="1" customWidth="1"/>
    <col min="13575" max="13575" width="11.625" style="1" bestFit="1" customWidth="1"/>
    <col min="13576" max="13806" width="9" style="1"/>
    <col min="13807" max="13807" width="4.625" style="1" customWidth="1"/>
    <col min="13808" max="13808" width="34.625" style="1" customWidth="1"/>
    <col min="13809" max="13809" width="11.625" style="1" customWidth="1"/>
    <col min="13810" max="13811" width="6.625" style="1" customWidth="1"/>
    <col min="13812" max="13812" width="10.625" style="1" customWidth="1"/>
    <col min="13813" max="13813" width="14.625" style="1" customWidth="1"/>
    <col min="13814" max="13814" width="10.625" style="1" customWidth="1"/>
    <col min="13815" max="13815" width="14.625" style="1" customWidth="1"/>
    <col min="13816" max="13816" width="10.625" style="1" customWidth="1"/>
    <col min="13817" max="13817" width="14.625" style="1" customWidth="1"/>
    <col min="13818" max="13818" width="10.625" style="1" customWidth="1"/>
    <col min="13819" max="13819" width="18.625" style="1" customWidth="1"/>
    <col min="13820" max="13820" width="9.625" style="1" customWidth="1"/>
    <col min="13821" max="13821" width="10.5" style="1" customWidth="1"/>
    <col min="13822" max="13822" width="20.375" style="1" bestFit="1" customWidth="1"/>
    <col min="13823" max="13823" width="12.5" style="1" customWidth="1"/>
    <col min="13824" max="13824" width="13.125" style="1" customWidth="1"/>
    <col min="13825" max="13829" width="9" style="1"/>
    <col min="13830" max="13830" width="11.25" style="1" bestFit="1" customWidth="1"/>
    <col min="13831" max="13831" width="11.625" style="1" bestFit="1" customWidth="1"/>
    <col min="13832" max="14062" width="9" style="1"/>
    <col min="14063" max="14063" width="4.625" style="1" customWidth="1"/>
    <col min="14064" max="14064" width="34.625" style="1" customWidth="1"/>
    <col min="14065" max="14065" width="11.625" style="1" customWidth="1"/>
    <col min="14066" max="14067" width="6.625" style="1" customWidth="1"/>
    <col min="14068" max="14068" width="10.625" style="1" customWidth="1"/>
    <col min="14069" max="14069" width="14.625" style="1" customWidth="1"/>
    <col min="14070" max="14070" width="10.625" style="1" customWidth="1"/>
    <col min="14071" max="14071" width="14.625" style="1" customWidth="1"/>
    <col min="14072" max="14072" width="10.625" style="1" customWidth="1"/>
    <col min="14073" max="14073" width="14.625" style="1" customWidth="1"/>
    <col min="14074" max="14074" width="10.625" style="1" customWidth="1"/>
    <col min="14075" max="14075" width="18.625" style="1" customWidth="1"/>
    <col min="14076" max="14076" width="9.625" style="1" customWidth="1"/>
    <col min="14077" max="14077" width="10.5" style="1" customWidth="1"/>
    <col min="14078" max="14078" width="20.375" style="1" bestFit="1" customWidth="1"/>
    <col min="14079" max="14079" width="12.5" style="1" customWidth="1"/>
    <col min="14080" max="14080" width="13.125" style="1" customWidth="1"/>
    <col min="14081" max="14085" width="9" style="1"/>
    <col min="14086" max="14086" width="11.25" style="1" bestFit="1" customWidth="1"/>
    <col min="14087" max="14087" width="11.625" style="1" bestFit="1" customWidth="1"/>
    <col min="14088" max="14318" width="9" style="1"/>
    <col min="14319" max="14319" width="4.625" style="1" customWidth="1"/>
    <col min="14320" max="14320" width="34.625" style="1" customWidth="1"/>
    <col min="14321" max="14321" width="11.625" style="1" customWidth="1"/>
    <col min="14322" max="14323" width="6.625" style="1" customWidth="1"/>
    <col min="14324" max="14324" width="10.625" style="1" customWidth="1"/>
    <col min="14325" max="14325" width="14.625" style="1" customWidth="1"/>
    <col min="14326" max="14326" width="10.625" style="1" customWidth="1"/>
    <col min="14327" max="14327" width="14.625" style="1" customWidth="1"/>
    <col min="14328" max="14328" width="10.625" style="1" customWidth="1"/>
    <col min="14329" max="14329" width="14.625" style="1" customWidth="1"/>
    <col min="14330" max="14330" width="10.625" style="1" customWidth="1"/>
    <col min="14331" max="14331" width="18.625" style="1" customWidth="1"/>
    <col min="14332" max="14332" width="9.625" style="1" customWidth="1"/>
    <col min="14333" max="14333" width="10.5" style="1" customWidth="1"/>
    <col min="14334" max="14334" width="20.375" style="1" bestFit="1" customWidth="1"/>
    <col min="14335" max="14335" width="12.5" style="1" customWidth="1"/>
    <col min="14336" max="14336" width="13.125" style="1" customWidth="1"/>
    <col min="14337" max="14341" width="9" style="1"/>
    <col min="14342" max="14342" width="11.25" style="1" bestFit="1" customWidth="1"/>
    <col min="14343" max="14343" width="11.625" style="1" bestFit="1" customWidth="1"/>
    <col min="14344" max="14574" width="9" style="1"/>
    <col min="14575" max="14575" width="4.625" style="1" customWidth="1"/>
    <col min="14576" max="14576" width="34.625" style="1" customWidth="1"/>
    <col min="14577" max="14577" width="11.625" style="1" customWidth="1"/>
    <col min="14578" max="14579" width="6.625" style="1" customWidth="1"/>
    <col min="14580" max="14580" width="10.625" style="1" customWidth="1"/>
    <col min="14581" max="14581" width="14.625" style="1" customWidth="1"/>
    <col min="14582" max="14582" width="10.625" style="1" customWidth="1"/>
    <col min="14583" max="14583" width="14.625" style="1" customWidth="1"/>
    <col min="14584" max="14584" width="10.625" style="1" customWidth="1"/>
    <col min="14585" max="14585" width="14.625" style="1" customWidth="1"/>
    <col min="14586" max="14586" width="10.625" style="1" customWidth="1"/>
    <col min="14587" max="14587" width="18.625" style="1" customWidth="1"/>
    <col min="14588" max="14588" width="9.625" style="1" customWidth="1"/>
    <col min="14589" max="14589" width="10.5" style="1" customWidth="1"/>
    <col min="14590" max="14590" width="20.375" style="1" bestFit="1" customWidth="1"/>
    <col min="14591" max="14591" width="12.5" style="1" customWidth="1"/>
    <col min="14592" max="14592" width="13.125" style="1" customWidth="1"/>
    <col min="14593" max="14597" width="9" style="1"/>
    <col min="14598" max="14598" width="11.25" style="1" bestFit="1" customWidth="1"/>
    <col min="14599" max="14599" width="11.625" style="1" bestFit="1" customWidth="1"/>
    <col min="14600" max="14830" width="9" style="1"/>
    <col min="14831" max="14831" width="4.625" style="1" customWidth="1"/>
    <col min="14832" max="14832" width="34.625" style="1" customWidth="1"/>
    <col min="14833" max="14833" width="11.625" style="1" customWidth="1"/>
    <col min="14834" max="14835" width="6.625" style="1" customWidth="1"/>
    <col min="14836" max="14836" width="10.625" style="1" customWidth="1"/>
    <col min="14837" max="14837" width="14.625" style="1" customWidth="1"/>
    <col min="14838" max="14838" width="10.625" style="1" customWidth="1"/>
    <col min="14839" max="14839" width="14.625" style="1" customWidth="1"/>
    <col min="14840" max="14840" width="10.625" style="1" customWidth="1"/>
    <col min="14841" max="14841" width="14.625" style="1" customWidth="1"/>
    <col min="14842" max="14842" width="10.625" style="1" customWidth="1"/>
    <col min="14843" max="14843" width="18.625" style="1" customWidth="1"/>
    <col min="14844" max="14844" width="9.625" style="1" customWidth="1"/>
    <col min="14845" max="14845" width="10.5" style="1" customWidth="1"/>
    <col min="14846" max="14846" width="20.375" style="1" bestFit="1" customWidth="1"/>
    <col min="14847" max="14847" width="12.5" style="1" customWidth="1"/>
    <col min="14848" max="14848" width="13.125" style="1" customWidth="1"/>
    <col min="14849" max="14853" width="9" style="1"/>
    <col min="14854" max="14854" width="11.25" style="1" bestFit="1" customWidth="1"/>
    <col min="14855" max="14855" width="11.625" style="1" bestFit="1" customWidth="1"/>
    <col min="14856" max="15086" width="9" style="1"/>
    <col min="15087" max="15087" width="4.625" style="1" customWidth="1"/>
    <col min="15088" max="15088" width="34.625" style="1" customWidth="1"/>
    <col min="15089" max="15089" width="11.625" style="1" customWidth="1"/>
    <col min="15090" max="15091" width="6.625" style="1" customWidth="1"/>
    <col min="15092" max="15092" width="10.625" style="1" customWidth="1"/>
    <col min="15093" max="15093" width="14.625" style="1" customWidth="1"/>
    <col min="15094" max="15094" width="10.625" style="1" customWidth="1"/>
    <col min="15095" max="15095" width="14.625" style="1" customWidth="1"/>
    <col min="15096" max="15096" width="10.625" style="1" customWidth="1"/>
    <col min="15097" max="15097" width="14.625" style="1" customWidth="1"/>
    <col min="15098" max="15098" width="10.625" style="1" customWidth="1"/>
    <col min="15099" max="15099" width="18.625" style="1" customWidth="1"/>
    <col min="15100" max="15100" width="9.625" style="1" customWidth="1"/>
    <col min="15101" max="15101" width="10.5" style="1" customWidth="1"/>
    <col min="15102" max="15102" width="20.375" style="1" bestFit="1" customWidth="1"/>
    <col min="15103" max="15103" width="12.5" style="1" customWidth="1"/>
    <col min="15104" max="15104" width="13.125" style="1" customWidth="1"/>
    <col min="15105" max="15109" width="9" style="1"/>
    <col min="15110" max="15110" width="11.25" style="1" bestFit="1" customWidth="1"/>
    <col min="15111" max="15111" width="11.625" style="1" bestFit="1" customWidth="1"/>
    <col min="15112" max="15342" width="9" style="1"/>
    <col min="15343" max="15343" width="4.625" style="1" customWidth="1"/>
    <col min="15344" max="15344" width="34.625" style="1" customWidth="1"/>
    <col min="15345" max="15345" width="11.625" style="1" customWidth="1"/>
    <col min="15346" max="15347" width="6.625" style="1" customWidth="1"/>
    <col min="15348" max="15348" width="10.625" style="1" customWidth="1"/>
    <col min="15349" max="15349" width="14.625" style="1" customWidth="1"/>
    <col min="15350" max="15350" width="10.625" style="1" customWidth="1"/>
    <col min="15351" max="15351" width="14.625" style="1" customWidth="1"/>
    <col min="15352" max="15352" width="10.625" style="1" customWidth="1"/>
    <col min="15353" max="15353" width="14.625" style="1" customWidth="1"/>
    <col min="15354" max="15354" width="10.625" style="1" customWidth="1"/>
    <col min="15355" max="15355" width="18.625" style="1" customWidth="1"/>
    <col min="15356" max="15356" width="9.625" style="1" customWidth="1"/>
    <col min="15357" max="15357" width="10.5" style="1" customWidth="1"/>
    <col min="15358" max="15358" width="20.375" style="1" bestFit="1" customWidth="1"/>
    <col min="15359" max="15359" width="12.5" style="1" customWidth="1"/>
    <col min="15360" max="15360" width="13.125" style="1" customWidth="1"/>
    <col min="15361" max="15365" width="9" style="1"/>
    <col min="15366" max="15366" width="11.25" style="1" bestFit="1" customWidth="1"/>
    <col min="15367" max="15367" width="11.625" style="1" bestFit="1" customWidth="1"/>
    <col min="15368" max="15598" width="9" style="1"/>
    <col min="15599" max="15599" width="4.625" style="1" customWidth="1"/>
    <col min="15600" max="15600" width="34.625" style="1" customWidth="1"/>
    <col min="15601" max="15601" width="11.625" style="1" customWidth="1"/>
    <col min="15602" max="15603" width="6.625" style="1" customWidth="1"/>
    <col min="15604" max="15604" width="10.625" style="1" customWidth="1"/>
    <col min="15605" max="15605" width="14.625" style="1" customWidth="1"/>
    <col min="15606" max="15606" width="10.625" style="1" customWidth="1"/>
    <col min="15607" max="15607" width="14.625" style="1" customWidth="1"/>
    <col min="15608" max="15608" width="10.625" style="1" customWidth="1"/>
    <col min="15609" max="15609" width="14.625" style="1" customWidth="1"/>
    <col min="15610" max="15610" width="10.625" style="1" customWidth="1"/>
    <col min="15611" max="15611" width="18.625" style="1" customWidth="1"/>
    <col min="15612" max="15612" width="9.625" style="1" customWidth="1"/>
    <col min="15613" max="15613" width="10.5" style="1" customWidth="1"/>
    <col min="15614" max="15614" width="20.375" style="1" bestFit="1" customWidth="1"/>
    <col min="15615" max="15615" width="12.5" style="1" customWidth="1"/>
    <col min="15616" max="15616" width="13.125" style="1" customWidth="1"/>
    <col min="15617" max="15621" width="9" style="1"/>
    <col min="15622" max="15622" width="11.25" style="1" bestFit="1" customWidth="1"/>
    <col min="15623" max="15623" width="11.625" style="1" bestFit="1" customWidth="1"/>
    <col min="15624" max="15854" width="9" style="1"/>
    <col min="15855" max="15855" width="4.625" style="1" customWidth="1"/>
    <col min="15856" max="15856" width="34.625" style="1" customWidth="1"/>
    <col min="15857" max="15857" width="11.625" style="1" customWidth="1"/>
    <col min="15858" max="15859" width="6.625" style="1" customWidth="1"/>
    <col min="15860" max="15860" width="10.625" style="1" customWidth="1"/>
    <col min="15861" max="15861" width="14.625" style="1" customWidth="1"/>
    <col min="15862" max="15862" width="10.625" style="1" customWidth="1"/>
    <col min="15863" max="15863" width="14.625" style="1" customWidth="1"/>
    <col min="15864" max="15864" width="10.625" style="1" customWidth="1"/>
    <col min="15865" max="15865" width="14.625" style="1" customWidth="1"/>
    <col min="15866" max="15866" width="10.625" style="1" customWidth="1"/>
    <col min="15867" max="15867" width="18.625" style="1" customWidth="1"/>
    <col min="15868" max="15868" width="9.625" style="1" customWidth="1"/>
    <col min="15869" max="15869" width="10.5" style="1" customWidth="1"/>
    <col min="15870" max="15870" width="20.375" style="1" bestFit="1" customWidth="1"/>
    <col min="15871" max="15871" width="12.5" style="1" customWidth="1"/>
    <col min="15872" max="15872" width="13.125" style="1" customWidth="1"/>
    <col min="15873" max="15877" width="9" style="1"/>
    <col min="15878" max="15878" width="11.25" style="1" bestFit="1" customWidth="1"/>
    <col min="15879" max="15879" width="11.625" style="1" bestFit="1" customWidth="1"/>
    <col min="15880" max="16110" width="9" style="1"/>
    <col min="16111" max="16111" width="4.625" style="1" customWidth="1"/>
    <col min="16112" max="16112" width="34.625" style="1" customWidth="1"/>
    <col min="16113" max="16113" width="11.625" style="1" customWidth="1"/>
    <col min="16114" max="16115" width="6.625" style="1" customWidth="1"/>
    <col min="16116" max="16116" width="10.625" style="1" customWidth="1"/>
    <col min="16117" max="16117" width="14.625" style="1" customWidth="1"/>
    <col min="16118" max="16118" width="10.625" style="1" customWidth="1"/>
    <col min="16119" max="16119" width="14.625" style="1" customWidth="1"/>
    <col min="16120" max="16120" width="10.625" style="1" customWidth="1"/>
    <col min="16121" max="16121" width="14.625" style="1" customWidth="1"/>
    <col min="16122" max="16122" width="10.625" style="1" customWidth="1"/>
    <col min="16123" max="16123" width="18.625" style="1" customWidth="1"/>
    <col min="16124" max="16124" width="9.625" style="1" customWidth="1"/>
    <col min="16125" max="16125" width="10.5" style="1" customWidth="1"/>
    <col min="16126" max="16126" width="20.375" style="1" bestFit="1" customWidth="1"/>
    <col min="16127" max="16127" width="12.5" style="1" customWidth="1"/>
    <col min="16128" max="16128" width="13.125" style="1" customWidth="1"/>
    <col min="16129" max="16133" width="9" style="1"/>
    <col min="16134" max="16134" width="11.25" style="1" bestFit="1" customWidth="1"/>
    <col min="16135" max="16135" width="11.625" style="1" bestFit="1" customWidth="1"/>
    <col min="16136" max="16384" width="9" style="1"/>
  </cols>
  <sheetData>
    <row r="1" spans="1:123" ht="35.1" customHeight="1">
      <c r="A1" s="330" t="s">
        <v>403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2"/>
    </row>
    <row r="2" spans="1:123" customFormat="1" ht="19.5" customHeight="1" thickBot="1">
      <c r="A2" s="356" t="s">
        <v>289</v>
      </c>
      <c r="B2" s="356"/>
      <c r="C2" s="356"/>
      <c r="D2" s="356"/>
      <c r="E2" s="356"/>
      <c r="F2" s="60"/>
      <c r="G2" s="60"/>
      <c r="H2" s="60"/>
      <c r="I2" s="60"/>
      <c r="J2" s="60"/>
      <c r="K2" s="60"/>
      <c r="L2" s="60"/>
      <c r="M2" s="60"/>
      <c r="N2" s="284" t="s">
        <v>442</v>
      </c>
    </row>
    <row r="3" spans="1:123" ht="30" customHeight="1">
      <c r="A3" s="121"/>
      <c r="B3" s="346" t="s">
        <v>56</v>
      </c>
      <c r="C3" s="348" t="s">
        <v>39</v>
      </c>
      <c r="D3" s="348" t="s">
        <v>38</v>
      </c>
      <c r="E3" s="348" t="s">
        <v>37</v>
      </c>
      <c r="F3" s="350" t="s">
        <v>40</v>
      </c>
      <c r="G3" s="351"/>
      <c r="H3" s="350" t="s">
        <v>57</v>
      </c>
      <c r="I3" s="351"/>
      <c r="J3" s="350" t="s">
        <v>41</v>
      </c>
      <c r="K3" s="351"/>
      <c r="L3" s="350" t="s">
        <v>4</v>
      </c>
      <c r="M3" s="351"/>
      <c r="N3" s="352" t="s">
        <v>0</v>
      </c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</row>
    <row r="4" spans="1:123" s="5" customFormat="1" ht="30" customHeight="1" thickBot="1">
      <c r="A4" s="122"/>
      <c r="B4" s="347"/>
      <c r="C4" s="349"/>
      <c r="D4" s="349"/>
      <c r="E4" s="349"/>
      <c r="F4" s="74" t="s">
        <v>58</v>
      </c>
      <c r="G4" s="74" t="s">
        <v>59</v>
      </c>
      <c r="H4" s="74" t="s">
        <v>58</v>
      </c>
      <c r="I4" s="74" t="s">
        <v>59</v>
      </c>
      <c r="J4" s="74" t="s">
        <v>58</v>
      </c>
      <c r="K4" s="74" t="s">
        <v>59</v>
      </c>
      <c r="L4" s="74" t="s">
        <v>58</v>
      </c>
      <c r="M4" s="74" t="s">
        <v>59</v>
      </c>
      <c r="N4" s="353"/>
      <c r="O4" s="2"/>
    </row>
    <row r="5" spans="1:123" s="2" customFormat="1" ht="30" hidden="1" customHeight="1">
      <c r="A5" s="123"/>
      <c r="B5" s="342" t="s">
        <v>60</v>
      </c>
      <c r="C5" s="342"/>
      <c r="D5" s="342"/>
      <c r="E5" s="343"/>
      <c r="F5" s="124"/>
      <c r="G5" s="124"/>
      <c r="H5" s="124"/>
      <c r="I5" s="124"/>
      <c r="J5" s="124"/>
      <c r="K5" s="124"/>
      <c r="L5" s="124"/>
      <c r="M5" s="124"/>
      <c r="N5" s="125"/>
    </row>
    <row r="6" spans="1:123" ht="30" customHeight="1">
      <c r="A6" s="165" t="s">
        <v>54</v>
      </c>
      <c r="B6" s="44"/>
      <c r="C6" s="44"/>
      <c r="D6" s="44"/>
      <c r="E6" s="47"/>
      <c r="F6" s="48"/>
      <c r="G6" s="48">
        <f>'기성내역서(2025열수송관_시티_건가)'!G61</f>
        <v>232893288</v>
      </c>
      <c r="H6" s="48"/>
      <c r="I6" s="48">
        <f>'기성내역서(2025열수송관_시티_건가)'!I61</f>
        <v>35560728</v>
      </c>
      <c r="J6" s="48"/>
      <c r="K6" s="48">
        <f>'기성내역서(2025열수송관_시티_건가)'!K61</f>
        <v>15974424</v>
      </c>
      <c r="L6" s="46"/>
      <c r="M6" s="45">
        <f>G6+I6+K6</f>
        <v>284428440</v>
      </c>
      <c r="N6" s="166"/>
      <c r="O6" s="2"/>
    </row>
    <row r="7" spans="1:123" s="3" customFormat="1" ht="30" customHeight="1">
      <c r="A7" s="127"/>
      <c r="B7" s="132"/>
      <c r="C7" s="129"/>
      <c r="D7" s="130"/>
      <c r="E7" s="128"/>
      <c r="F7" s="131"/>
      <c r="G7" s="80"/>
      <c r="H7" s="80"/>
      <c r="I7" s="80"/>
      <c r="J7" s="80"/>
      <c r="K7" s="80"/>
      <c r="L7" s="80"/>
      <c r="M7" s="80"/>
      <c r="N7" s="8"/>
      <c r="O7" s="2"/>
    </row>
    <row r="8" spans="1:123" s="3" customFormat="1" ht="30" customHeight="1">
      <c r="A8" s="127"/>
      <c r="B8" s="132"/>
      <c r="C8" s="129"/>
      <c r="D8" s="130"/>
      <c r="E8" s="128"/>
      <c r="F8" s="131"/>
      <c r="G8" s="80"/>
      <c r="H8" s="80"/>
      <c r="I8" s="80"/>
      <c r="J8" s="80"/>
      <c r="K8" s="80"/>
      <c r="L8" s="80"/>
      <c r="M8" s="80"/>
      <c r="N8" s="8"/>
      <c r="O8" s="2"/>
    </row>
    <row r="9" spans="1:123" s="3" customFormat="1" ht="30" customHeight="1" thickBot="1">
      <c r="A9" s="133"/>
      <c r="B9" s="134"/>
      <c r="C9" s="135"/>
      <c r="D9" s="62"/>
      <c r="E9" s="62"/>
      <c r="F9" s="22"/>
      <c r="G9" s="23"/>
      <c r="H9" s="23"/>
      <c r="I9" s="23"/>
      <c r="J9" s="23"/>
      <c r="K9" s="23"/>
      <c r="L9" s="23"/>
      <c r="M9" s="23"/>
      <c r="N9" s="63"/>
      <c r="O9" s="2"/>
    </row>
    <row r="10" spans="1:123" s="52" customFormat="1" ht="30" customHeight="1" thickBot="1">
      <c r="A10" s="136"/>
      <c r="B10" s="137" t="s">
        <v>46</v>
      </c>
      <c r="C10" s="138"/>
      <c r="D10" s="139"/>
      <c r="E10" s="138"/>
      <c r="F10" s="140"/>
      <c r="G10" s="140">
        <f>SUM(G6:G9)</f>
        <v>232893288</v>
      </c>
      <c r="H10" s="140"/>
      <c r="I10" s="140">
        <f>SUM(I6:I9)</f>
        <v>35560728</v>
      </c>
      <c r="J10" s="140"/>
      <c r="K10" s="140">
        <f>SUM(K6:K9)</f>
        <v>15974424</v>
      </c>
      <c r="L10" s="140"/>
      <c r="M10" s="140">
        <f>SUM(M6:M9)</f>
        <v>284428440</v>
      </c>
      <c r="N10" s="141"/>
      <c r="O10" s="51"/>
    </row>
    <row r="11" spans="1:123" s="92" customFormat="1" ht="30" customHeight="1">
      <c r="A11" s="142"/>
      <c r="B11" s="143" t="s">
        <v>1</v>
      </c>
      <c r="C11" s="82"/>
      <c r="D11" s="83"/>
      <c r="E11" s="84"/>
      <c r="F11" s="85"/>
      <c r="G11" s="86"/>
      <c r="H11" s="87"/>
      <c r="I11" s="86"/>
      <c r="J11" s="87"/>
      <c r="K11" s="86"/>
      <c r="L11" s="88"/>
      <c r="M11" s="89"/>
      <c r="N11" s="90"/>
      <c r="O11" s="91"/>
    </row>
    <row r="12" spans="1:123" s="3" customFormat="1" ht="30" customHeight="1">
      <c r="A12" s="144" t="s">
        <v>36</v>
      </c>
      <c r="B12" s="145" t="s">
        <v>61</v>
      </c>
      <c r="C12" s="6"/>
      <c r="D12" s="7">
        <v>1</v>
      </c>
      <c r="E12" s="6" t="s">
        <v>5</v>
      </c>
      <c r="F12" s="27"/>
      <c r="G12" s="28"/>
      <c r="H12" s="29"/>
      <c r="I12" s="28"/>
      <c r="J12" s="29"/>
      <c r="K12" s="28"/>
      <c r="L12" s="29"/>
      <c r="M12" s="30">
        <f>G10</f>
        <v>232893288</v>
      </c>
      <c r="N12" s="8"/>
      <c r="O12" s="2"/>
    </row>
    <row r="13" spans="1:123" s="3" customFormat="1" ht="30" customHeight="1">
      <c r="A13" s="144" t="s">
        <v>34</v>
      </c>
      <c r="B13" s="146" t="s">
        <v>47</v>
      </c>
      <c r="C13" s="6"/>
      <c r="D13" s="31"/>
      <c r="E13" s="32"/>
      <c r="F13" s="27"/>
      <c r="G13" s="28"/>
      <c r="H13" s="29"/>
      <c r="I13" s="28"/>
      <c r="J13" s="29"/>
      <c r="K13" s="28"/>
      <c r="L13" s="29"/>
      <c r="M13" s="30">
        <f>SUM(M14:M15)</f>
        <v>40290304</v>
      </c>
      <c r="N13" s="8"/>
      <c r="O13" s="2"/>
    </row>
    <row r="14" spans="1:123" ht="30" customHeight="1">
      <c r="A14" s="126"/>
      <c r="B14" s="145" t="s">
        <v>42</v>
      </c>
      <c r="C14" s="33"/>
      <c r="D14" s="7">
        <v>1</v>
      </c>
      <c r="E14" s="6" t="s">
        <v>5</v>
      </c>
      <c r="F14" s="34"/>
      <c r="G14" s="25"/>
      <c r="H14" s="25"/>
      <c r="I14" s="25"/>
      <c r="J14" s="25"/>
      <c r="K14" s="25"/>
      <c r="L14" s="26"/>
      <c r="M14" s="24">
        <f>I10</f>
        <v>35560728</v>
      </c>
      <c r="N14" s="8"/>
    </row>
    <row r="15" spans="1:123" ht="30" customHeight="1">
      <c r="A15" s="126"/>
      <c r="B15" s="145" t="s">
        <v>43</v>
      </c>
      <c r="C15" s="35">
        <v>0.13300000000000001</v>
      </c>
      <c r="D15" s="7">
        <v>1</v>
      </c>
      <c r="E15" s="6" t="s">
        <v>5</v>
      </c>
      <c r="F15" s="34" t="s">
        <v>2</v>
      </c>
      <c r="G15" s="25"/>
      <c r="H15" s="25"/>
      <c r="I15" s="25"/>
      <c r="J15" s="25"/>
      <c r="K15" s="25"/>
      <c r="L15" s="26"/>
      <c r="M15" s="24">
        <f>INT(I10*C15)</f>
        <v>4729576</v>
      </c>
      <c r="N15" s="8"/>
      <c r="O15" s="41"/>
    </row>
    <row r="16" spans="1:123" ht="30" customHeight="1">
      <c r="A16" s="144" t="s">
        <v>35</v>
      </c>
      <c r="B16" s="146" t="s">
        <v>62</v>
      </c>
      <c r="C16" s="33"/>
      <c r="D16" s="7"/>
      <c r="E16" s="6"/>
      <c r="F16" s="34"/>
      <c r="G16" s="25"/>
      <c r="H16" s="25"/>
      <c r="I16" s="25"/>
      <c r="J16" s="25"/>
      <c r="K16" s="25"/>
      <c r="L16" s="26"/>
      <c r="M16" s="24">
        <f>SUM(M17:M30)</f>
        <v>29289400</v>
      </c>
      <c r="N16" s="8"/>
    </row>
    <row r="17" spans="1:16" ht="30" customHeight="1">
      <c r="A17" s="126"/>
      <c r="B17" s="145" t="s">
        <v>63</v>
      </c>
      <c r="C17" s="33"/>
      <c r="D17" s="7">
        <v>1</v>
      </c>
      <c r="E17" s="6" t="s">
        <v>5</v>
      </c>
      <c r="F17" s="34"/>
      <c r="G17" s="25"/>
      <c r="H17" s="25"/>
      <c r="I17" s="25"/>
      <c r="J17" s="25"/>
      <c r="K17" s="25"/>
      <c r="L17" s="26"/>
      <c r="M17" s="24">
        <f>K10</f>
        <v>15974424</v>
      </c>
      <c r="N17" s="8"/>
    </row>
    <row r="18" spans="1:16" ht="30" customHeight="1">
      <c r="A18" s="126"/>
      <c r="B18" s="145" t="s">
        <v>87</v>
      </c>
      <c r="C18" s="36"/>
      <c r="D18" s="7"/>
      <c r="E18" s="6"/>
      <c r="F18" s="34"/>
      <c r="G18" s="25"/>
      <c r="H18" s="25"/>
      <c r="I18" s="25"/>
      <c r="J18" s="25"/>
      <c r="K18" s="25"/>
      <c r="L18" s="26"/>
      <c r="M18" s="24"/>
      <c r="N18" s="49"/>
      <c r="P18" s="5"/>
    </row>
    <row r="19" spans="1:16" ht="30" customHeight="1">
      <c r="A19" s="126"/>
      <c r="B19" s="146" t="s">
        <v>65</v>
      </c>
      <c r="C19" s="33">
        <v>3.56E-2</v>
      </c>
      <c r="D19" s="7">
        <v>1</v>
      </c>
      <c r="E19" s="6" t="s">
        <v>5</v>
      </c>
      <c r="F19" s="34" t="s">
        <v>66</v>
      </c>
      <c r="G19" s="25"/>
      <c r="H19" s="25"/>
      <c r="I19" s="25"/>
      <c r="J19" s="25"/>
      <c r="K19" s="25"/>
      <c r="L19" s="26"/>
      <c r="M19" s="24">
        <f>INT((I10+M15)*C19)</f>
        <v>1434334</v>
      </c>
      <c r="N19" s="8"/>
      <c r="O19" s="42"/>
      <c r="P19" s="52"/>
    </row>
    <row r="20" spans="1:16" ht="30" customHeight="1">
      <c r="A20" s="126"/>
      <c r="B20" s="146" t="s">
        <v>67</v>
      </c>
      <c r="C20" s="33">
        <v>1.01E-2</v>
      </c>
      <c r="D20" s="7">
        <v>1</v>
      </c>
      <c r="E20" s="6" t="s">
        <v>5</v>
      </c>
      <c r="F20" s="34" t="s">
        <v>66</v>
      </c>
      <c r="G20" s="25"/>
      <c r="H20" s="25"/>
      <c r="I20" s="25"/>
      <c r="J20" s="25"/>
      <c r="K20" s="25"/>
      <c r="L20" s="26"/>
      <c r="M20" s="24">
        <f>INT((M15+I10)*C20)</f>
        <v>406932</v>
      </c>
      <c r="N20" s="8"/>
      <c r="O20" s="42"/>
      <c r="P20" s="52"/>
    </row>
    <row r="21" spans="1:16" ht="30" customHeight="1">
      <c r="A21" s="126"/>
      <c r="B21" s="146" t="s">
        <v>68</v>
      </c>
      <c r="C21" s="33">
        <v>4.4999999999999998E-2</v>
      </c>
      <c r="D21" s="7">
        <v>1</v>
      </c>
      <c r="E21" s="6" t="s">
        <v>5</v>
      </c>
      <c r="F21" s="34" t="s">
        <v>2</v>
      </c>
      <c r="G21" s="25"/>
      <c r="H21" s="25"/>
      <c r="I21" s="25"/>
      <c r="J21" s="25"/>
      <c r="K21" s="25"/>
      <c r="L21" s="26"/>
      <c r="M21" s="50">
        <v>0</v>
      </c>
      <c r="N21" s="54" t="s">
        <v>64</v>
      </c>
      <c r="O21" s="42"/>
    </row>
    <row r="22" spans="1:16" ht="30" customHeight="1">
      <c r="A22" s="126"/>
      <c r="B22" s="146" t="s">
        <v>70</v>
      </c>
      <c r="C22" s="172">
        <v>3.5450000000000002E-2</v>
      </c>
      <c r="D22" s="7">
        <v>1</v>
      </c>
      <c r="E22" s="6" t="s">
        <v>5</v>
      </c>
      <c r="F22" s="34" t="s">
        <v>2</v>
      </c>
      <c r="G22" s="25"/>
      <c r="H22" s="25"/>
      <c r="I22" s="25"/>
      <c r="J22" s="25"/>
      <c r="K22" s="25"/>
      <c r="L22" s="26"/>
      <c r="M22" s="50">
        <v>0</v>
      </c>
      <c r="N22" s="54" t="s">
        <v>64</v>
      </c>
      <c r="O22" s="42"/>
    </row>
    <row r="23" spans="1:16" ht="30" customHeight="1">
      <c r="A23" s="126"/>
      <c r="B23" s="146" t="s">
        <v>71</v>
      </c>
      <c r="C23" s="33">
        <v>0.1295</v>
      </c>
      <c r="D23" s="7">
        <v>1</v>
      </c>
      <c r="E23" s="6" t="s">
        <v>5</v>
      </c>
      <c r="F23" s="34" t="s">
        <v>72</v>
      </c>
      <c r="G23" s="25"/>
      <c r="H23" s="25"/>
      <c r="I23" s="25"/>
      <c r="J23" s="25"/>
      <c r="K23" s="25"/>
      <c r="L23" s="26"/>
      <c r="M23" s="50">
        <v>0</v>
      </c>
      <c r="N23" s="54" t="s">
        <v>64</v>
      </c>
      <c r="O23" s="42"/>
    </row>
    <row r="24" spans="1:16" ht="30" customHeight="1">
      <c r="A24" s="126"/>
      <c r="B24" s="145" t="s">
        <v>88</v>
      </c>
      <c r="C24" s="35">
        <v>2.3E-2</v>
      </c>
      <c r="D24" s="7">
        <v>1</v>
      </c>
      <c r="E24" s="6" t="s">
        <v>5</v>
      </c>
      <c r="F24" s="34" t="s">
        <v>2</v>
      </c>
      <c r="G24" s="25"/>
      <c r="H24" s="25"/>
      <c r="I24" s="25"/>
      <c r="J24" s="25"/>
      <c r="K24" s="25"/>
      <c r="L24" s="26"/>
      <c r="M24" s="50">
        <v>0</v>
      </c>
      <c r="N24" s="54" t="s">
        <v>64</v>
      </c>
      <c r="O24" s="41"/>
    </row>
    <row r="25" spans="1:16" s="52" customFormat="1" ht="30" customHeight="1">
      <c r="A25" s="126"/>
      <c r="B25" s="145" t="s">
        <v>89</v>
      </c>
      <c r="C25" s="33">
        <v>2.5999999999999999E-2</v>
      </c>
      <c r="D25" s="7">
        <v>1</v>
      </c>
      <c r="E25" s="6" t="s">
        <v>5</v>
      </c>
      <c r="F25" s="153" t="s">
        <v>145</v>
      </c>
      <c r="G25" s="167"/>
      <c r="H25" s="167"/>
      <c r="I25" s="167"/>
      <c r="J25" s="167"/>
      <c r="K25" s="25"/>
      <c r="L25" s="26"/>
      <c r="M25" s="50">
        <v>0</v>
      </c>
      <c r="N25" s="54" t="s">
        <v>64</v>
      </c>
      <c r="O25" s="53"/>
    </row>
    <row r="26" spans="1:16" ht="30" customHeight="1">
      <c r="A26" s="126"/>
      <c r="B26" s="145" t="s">
        <v>90</v>
      </c>
      <c r="C26" s="33">
        <v>4.2000000000000003E-2</v>
      </c>
      <c r="D26" s="7">
        <v>1</v>
      </c>
      <c r="E26" s="6" t="s">
        <v>5</v>
      </c>
      <c r="F26" s="34" t="s">
        <v>73</v>
      </c>
      <c r="G26" s="25"/>
      <c r="H26" s="25"/>
      <c r="I26" s="25"/>
      <c r="J26" s="25"/>
      <c r="K26" s="25"/>
      <c r="L26" s="147"/>
      <c r="M26" s="24">
        <f>INT(($G$10+$I$10+$M$15)*C26)</f>
        <v>11473710</v>
      </c>
      <c r="N26" s="8"/>
      <c r="O26" s="41"/>
    </row>
    <row r="27" spans="1:16" ht="30" customHeight="1">
      <c r="A27" s="126"/>
      <c r="B27" s="145" t="s">
        <v>91</v>
      </c>
      <c r="C27" s="35">
        <v>5.0000000000000001E-3</v>
      </c>
      <c r="D27" s="7">
        <v>1</v>
      </c>
      <c r="E27" s="6" t="s">
        <v>5</v>
      </c>
      <c r="F27" s="34" t="s">
        <v>74</v>
      </c>
      <c r="G27" s="25"/>
      <c r="H27" s="25"/>
      <c r="I27" s="25"/>
      <c r="J27" s="25"/>
      <c r="K27" s="25"/>
      <c r="L27" s="26"/>
      <c r="M27" s="50">
        <v>0</v>
      </c>
      <c r="N27" s="54" t="s">
        <v>64</v>
      </c>
      <c r="O27" s="41"/>
    </row>
    <row r="28" spans="1:16" ht="30" customHeight="1">
      <c r="A28" s="148"/>
      <c r="B28" s="149" t="s">
        <v>92</v>
      </c>
      <c r="C28" s="150"/>
      <c r="D28" s="64"/>
      <c r="E28" s="61"/>
      <c r="F28" s="65"/>
      <c r="G28" s="66"/>
      <c r="H28" s="66"/>
      <c r="I28" s="66"/>
      <c r="J28" s="66"/>
      <c r="K28" s="66"/>
      <c r="L28" s="67"/>
      <c r="M28" s="68"/>
      <c r="N28" s="151"/>
    </row>
    <row r="29" spans="1:16" ht="30" customHeight="1">
      <c r="A29" s="148"/>
      <c r="B29" s="146" t="s">
        <v>75</v>
      </c>
      <c r="C29" s="152">
        <v>8.0000000000000004E-4</v>
      </c>
      <c r="D29" s="64">
        <v>1</v>
      </c>
      <c r="E29" s="61" t="s">
        <v>5</v>
      </c>
      <c r="F29" s="65" t="s">
        <v>74</v>
      </c>
      <c r="G29" s="66"/>
      <c r="H29" s="66"/>
      <c r="I29" s="66"/>
      <c r="J29" s="66"/>
      <c r="K29" s="66"/>
      <c r="L29" s="67"/>
      <c r="M29" s="205">
        <v>0</v>
      </c>
      <c r="N29" s="206" t="s">
        <v>64</v>
      </c>
      <c r="O29" s="43"/>
    </row>
    <row r="30" spans="1:16" ht="30" customHeight="1">
      <c r="A30" s="126"/>
      <c r="B30" s="146" t="s">
        <v>76</v>
      </c>
      <c r="C30" s="33">
        <v>3.2000000000000002E-3</v>
      </c>
      <c r="D30" s="7">
        <v>1</v>
      </c>
      <c r="E30" s="6" t="s">
        <v>5</v>
      </c>
      <c r="F30" s="34" t="s">
        <v>74</v>
      </c>
      <c r="G30" s="25"/>
      <c r="H30" s="25"/>
      <c r="I30" s="25"/>
      <c r="J30" s="25"/>
      <c r="K30" s="25"/>
      <c r="L30" s="26"/>
      <c r="M30" s="50">
        <v>0</v>
      </c>
      <c r="N30" s="54" t="s">
        <v>64</v>
      </c>
      <c r="O30" s="42"/>
    </row>
    <row r="31" spans="1:16" s="57" customFormat="1" ht="30" customHeight="1">
      <c r="A31" s="154"/>
      <c r="B31" s="155" t="s">
        <v>77</v>
      </c>
      <c r="C31" s="75"/>
      <c r="D31" s="76"/>
      <c r="E31" s="75"/>
      <c r="F31" s="77"/>
      <c r="G31" s="78"/>
      <c r="H31" s="78"/>
      <c r="I31" s="78"/>
      <c r="J31" s="78"/>
      <c r="K31" s="78"/>
      <c r="L31" s="79"/>
      <c r="M31" s="80">
        <f>M12+M13+M16</f>
        <v>302472992</v>
      </c>
      <c r="N31" s="81"/>
      <c r="O31" s="120"/>
    </row>
    <row r="32" spans="1:16" ht="30" customHeight="1">
      <c r="A32" s="144" t="s">
        <v>78</v>
      </c>
      <c r="B32" s="146" t="s">
        <v>79</v>
      </c>
      <c r="C32" s="33">
        <v>3.5000000000000003E-2</v>
      </c>
      <c r="D32" s="7">
        <v>1</v>
      </c>
      <c r="E32" s="6" t="s">
        <v>5</v>
      </c>
      <c r="F32" s="34" t="s">
        <v>80</v>
      </c>
      <c r="G32" s="25"/>
      <c r="H32" s="25"/>
      <c r="I32" s="25"/>
      <c r="J32" s="25"/>
      <c r="K32" s="25"/>
      <c r="L32" s="26"/>
      <c r="M32" s="24">
        <f>INT((M12+M13+M16)*C32)</f>
        <v>10586554</v>
      </c>
      <c r="N32" s="8"/>
      <c r="O32" s="41"/>
    </row>
    <row r="33" spans="1:123" ht="30" customHeight="1">
      <c r="A33" s="144" t="s">
        <v>81</v>
      </c>
      <c r="B33" s="146" t="s">
        <v>82</v>
      </c>
      <c r="C33" s="33">
        <v>4.2999999999999997E-2</v>
      </c>
      <c r="D33" s="7">
        <v>1</v>
      </c>
      <c r="E33" s="6" t="s">
        <v>5</v>
      </c>
      <c r="F33" s="34" t="s">
        <v>83</v>
      </c>
      <c r="G33" s="25"/>
      <c r="H33" s="25"/>
      <c r="I33" s="25"/>
      <c r="J33" s="37" t="s">
        <v>84</v>
      </c>
      <c r="K33" s="344">
        <f>INT((M13+M16+M32)*C33)</f>
        <v>3447149</v>
      </c>
      <c r="L33" s="345"/>
      <c r="M33" s="24">
        <f>INT((M13+M16+M32)*C33)-N33</f>
        <v>3440454</v>
      </c>
      <c r="N33" s="170">
        <v>6695</v>
      </c>
      <c r="O33" s="41"/>
    </row>
    <row r="34" spans="1:123" s="57" customFormat="1" ht="30" customHeight="1">
      <c r="A34" s="154"/>
      <c r="B34" s="155" t="s">
        <v>85</v>
      </c>
      <c r="C34" s="75"/>
      <c r="D34" s="76"/>
      <c r="E34" s="75"/>
      <c r="F34" s="77"/>
      <c r="G34" s="78"/>
      <c r="H34" s="78"/>
      <c r="I34" s="78"/>
      <c r="J34" s="78"/>
      <c r="K34" s="78"/>
      <c r="L34" s="79"/>
      <c r="M34" s="80">
        <f>SUM(M31:M33)</f>
        <v>316500000</v>
      </c>
      <c r="N34" s="81"/>
      <c r="O34" s="120"/>
    </row>
    <row r="35" spans="1:123" s="55" customFormat="1" ht="30" customHeight="1">
      <c r="A35" s="154"/>
      <c r="B35" s="155" t="s">
        <v>86</v>
      </c>
      <c r="C35" s="75"/>
      <c r="D35" s="76"/>
      <c r="E35" s="75"/>
      <c r="F35" s="77"/>
      <c r="G35" s="78"/>
      <c r="H35" s="78"/>
      <c r="I35" s="78"/>
      <c r="J35" s="78"/>
      <c r="K35" s="78"/>
      <c r="L35" s="79"/>
      <c r="M35" s="80">
        <f>M34</f>
        <v>316500000</v>
      </c>
      <c r="N35" s="81"/>
      <c r="O35" s="59"/>
    </row>
    <row r="36" spans="1:123" s="55" customFormat="1" ht="30" customHeight="1">
      <c r="A36" s="154"/>
      <c r="B36" s="155" t="s">
        <v>146</v>
      </c>
      <c r="C36" s="75"/>
      <c r="D36" s="76"/>
      <c r="E36" s="75"/>
      <c r="F36" s="77"/>
      <c r="G36" s="78"/>
      <c r="H36" s="78"/>
      <c r="I36" s="78"/>
      <c r="J36" s="78"/>
      <c r="K36" s="78"/>
      <c r="L36" s="79"/>
      <c r="M36" s="80">
        <f>M35*0.1</f>
        <v>31650000</v>
      </c>
      <c r="N36" s="81"/>
      <c r="O36" s="59"/>
    </row>
    <row r="37" spans="1:123" s="57" customFormat="1" ht="30" customHeight="1" thickBot="1">
      <c r="A37" s="156"/>
      <c r="B37" s="157" t="s">
        <v>152</v>
      </c>
      <c r="C37" s="158"/>
      <c r="D37" s="159"/>
      <c r="E37" s="158"/>
      <c r="F37" s="160"/>
      <c r="G37" s="161"/>
      <c r="H37" s="161"/>
      <c r="I37" s="161"/>
      <c r="J37" s="161"/>
      <c r="K37" s="161"/>
      <c r="L37" s="162"/>
      <c r="M37" s="163">
        <f>M35+M36</f>
        <v>348150000</v>
      </c>
      <c r="N37" s="164"/>
      <c r="O37" s="120"/>
    </row>
    <row r="38" spans="1:123" s="2" customFormat="1" ht="30" customHeight="1">
      <c r="A38" s="1"/>
      <c r="B38" s="1"/>
      <c r="D38" s="38"/>
      <c r="E38" s="5"/>
      <c r="F38" s="39"/>
      <c r="G38" s="38"/>
      <c r="H38" s="40"/>
      <c r="I38" s="38"/>
      <c r="J38" s="40"/>
      <c r="K38" s="38"/>
      <c r="L38" s="40"/>
      <c r="M38" s="40"/>
      <c r="N38" s="5"/>
      <c r="O38" s="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</row>
    <row r="39" spans="1:123" s="2" customFormat="1" ht="33" customHeight="1">
      <c r="A39" s="1"/>
      <c r="B39" s="1"/>
      <c r="D39" s="38"/>
      <c r="E39" s="5"/>
      <c r="F39" s="39"/>
      <c r="G39" s="38"/>
      <c r="H39" s="40"/>
      <c r="I39" s="38"/>
      <c r="J39" s="40"/>
      <c r="K39" s="38"/>
      <c r="L39" s="40"/>
      <c r="M39" s="168">
        <f>ROUND(M37/M10,5)</f>
        <v>1.22403</v>
      </c>
      <c r="N39" s="5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</row>
    <row r="40" spans="1:123" s="2" customFormat="1" ht="33" customHeight="1">
      <c r="A40" s="1"/>
      <c r="B40" s="1"/>
      <c r="D40" s="38"/>
      <c r="E40" s="5"/>
      <c r="F40" s="39"/>
      <c r="G40" s="38"/>
      <c r="H40" s="40"/>
      <c r="I40" s="38"/>
      <c r="J40" s="40"/>
      <c r="K40" s="38"/>
      <c r="L40" s="40"/>
      <c r="M40" s="40"/>
      <c r="N40" s="5"/>
      <c r="O40" s="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</row>
    <row r="41" spans="1:123" s="2" customFormat="1" ht="30" customHeight="1">
      <c r="A41" s="1"/>
      <c r="B41" s="1"/>
      <c r="D41" s="38"/>
      <c r="E41" s="5"/>
      <c r="F41" s="39"/>
      <c r="G41" s="38"/>
      <c r="H41" s="40"/>
      <c r="I41" s="38"/>
      <c r="J41" s="40"/>
      <c r="K41" s="38"/>
      <c r="L41" s="40"/>
      <c r="M41" s="40"/>
      <c r="N41" s="5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</row>
    <row r="45" spans="1:123" s="2" customFormat="1" ht="34.700000000000003" customHeight="1">
      <c r="A45" s="1"/>
      <c r="B45" s="1"/>
      <c r="D45" s="38"/>
      <c r="E45" s="5"/>
      <c r="F45" s="39"/>
      <c r="G45" s="38"/>
      <c r="H45" s="40"/>
      <c r="I45" s="38"/>
      <c r="J45" s="40"/>
      <c r="K45" s="38"/>
      <c r="L45" s="40"/>
      <c r="M45" s="40"/>
      <c r="N45" s="5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</row>
  </sheetData>
  <mergeCells count="13">
    <mergeCell ref="N3:N4"/>
    <mergeCell ref="B5:E5"/>
    <mergeCell ref="K33:L33"/>
    <mergeCell ref="A1:N1"/>
    <mergeCell ref="A2:E2"/>
    <mergeCell ref="B3:B4"/>
    <mergeCell ref="C3:C4"/>
    <mergeCell ref="D3:D4"/>
    <mergeCell ref="E3:E4"/>
    <mergeCell ref="F3:G3"/>
    <mergeCell ref="H3:I3"/>
    <mergeCell ref="J3:K3"/>
    <mergeCell ref="L3:M3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horizontalDpi="1200" verticalDpi="1200" r:id="rId1"/>
  <headerFooter alignWithMargins="0">
    <oddHeader xml:space="preserve">&amp;C&amp;"돋움,보통"&amp;16&amp;U
</oddHead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T62"/>
  <sheetViews>
    <sheetView view="pageBreakPreview" topLeftCell="A4" zoomScaleNormal="85" zoomScaleSheetLayoutView="100" workbookViewId="0">
      <selection activeCell="D37" sqref="D37"/>
    </sheetView>
  </sheetViews>
  <sheetFormatPr defaultColWidth="8" defaultRowHeight="14.25"/>
  <cols>
    <col min="1" max="1" width="10.5" customWidth="1"/>
    <col min="2" max="2" width="29.875" customWidth="1"/>
    <col min="3" max="3" width="18.75" customWidth="1"/>
    <col min="4" max="4" width="10.5" customWidth="1"/>
    <col min="5" max="5" width="5.25" customWidth="1"/>
    <col min="6" max="6" width="12.5" customWidth="1"/>
    <col min="7" max="7" width="15" customWidth="1"/>
    <col min="8" max="8" width="12.5" customWidth="1"/>
    <col min="9" max="9" width="16.875" customWidth="1"/>
    <col min="10" max="10" width="12.5" customWidth="1"/>
    <col min="11" max="11" width="16.875" customWidth="1"/>
    <col min="12" max="12" width="12.5" customWidth="1"/>
    <col min="13" max="13" width="16.875" customWidth="1"/>
    <col min="14" max="14" width="10.5" customWidth="1"/>
    <col min="16" max="16" width="19.25" bestFit="1" customWidth="1"/>
    <col min="18" max="18" width="10.625" bestFit="1" customWidth="1"/>
  </cols>
  <sheetData>
    <row r="1" spans="1:14" ht="35.1" customHeight="1">
      <c r="A1" s="338" t="s">
        <v>407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</row>
    <row r="2" spans="1:14" ht="15.4" customHeight="1">
      <c r="A2" s="60" t="s">
        <v>144</v>
      </c>
      <c r="B2" s="93"/>
      <c r="C2" s="116"/>
      <c r="D2" s="117"/>
      <c r="E2" s="93"/>
      <c r="F2" s="93"/>
      <c r="G2" s="93"/>
      <c r="H2" s="93"/>
      <c r="I2" s="93"/>
      <c r="J2" s="93"/>
      <c r="K2" s="93"/>
      <c r="L2" s="93"/>
      <c r="M2" s="357" t="s">
        <v>442</v>
      </c>
      <c r="N2" s="358"/>
    </row>
    <row r="3" spans="1:14" ht="19.5" customHeight="1">
      <c r="A3" s="94" t="s">
        <v>11</v>
      </c>
      <c r="B3" s="94" t="s">
        <v>12</v>
      </c>
      <c r="C3" s="115" t="s">
        <v>13</v>
      </c>
      <c r="D3" s="115" t="s">
        <v>14</v>
      </c>
      <c r="E3" s="94" t="s">
        <v>6</v>
      </c>
      <c r="F3" s="95" t="s">
        <v>8</v>
      </c>
      <c r="G3" s="96"/>
      <c r="H3" s="95" t="s">
        <v>9</v>
      </c>
      <c r="I3" s="96"/>
      <c r="J3" s="95" t="s">
        <v>15</v>
      </c>
      <c r="K3" s="96"/>
      <c r="L3" s="95" t="s">
        <v>16</v>
      </c>
      <c r="M3" s="96"/>
      <c r="N3" s="94" t="s">
        <v>44</v>
      </c>
    </row>
    <row r="4" spans="1:14" ht="19.5" customHeight="1">
      <c r="A4" s="97"/>
      <c r="B4" s="97"/>
      <c r="C4" s="97"/>
      <c r="D4" s="97"/>
      <c r="E4" s="97"/>
      <c r="F4" s="98" t="s">
        <v>17</v>
      </c>
      <c r="G4" s="98" t="s">
        <v>18</v>
      </c>
      <c r="H4" s="98" t="s">
        <v>17</v>
      </c>
      <c r="I4" s="98" t="s">
        <v>18</v>
      </c>
      <c r="J4" s="98" t="s">
        <v>17</v>
      </c>
      <c r="K4" s="98" t="s">
        <v>18</v>
      </c>
      <c r="L4" s="98" t="s">
        <v>17</v>
      </c>
      <c r="M4" s="98" t="s">
        <v>18</v>
      </c>
      <c r="N4" s="97"/>
    </row>
    <row r="5" spans="1:14" ht="22.5" customHeight="1">
      <c r="A5" s="99" t="s">
        <v>10</v>
      </c>
      <c r="B5" s="99" t="s">
        <v>19</v>
      </c>
      <c r="C5" s="99" t="s">
        <v>10</v>
      </c>
      <c r="D5" s="100">
        <v>0</v>
      </c>
      <c r="E5" s="98" t="s">
        <v>10</v>
      </c>
      <c r="F5" s="107" t="s">
        <v>10</v>
      </c>
      <c r="G5" s="107" t="s">
        <v>10</v>
      </c>
      <c r="H5" s="107" t="s">
        <v>10</v>
      </c>
      <c r="I5" s="107" t="s">
        <v>10</v>
      </c>
      <c r="J5" s="107" t="s">
        <v>10</v>
      </c>
      <c r="K5" s="107" t="s">
        <v>10</v>
      </c>
      <c r="L5" s="107" t="s">
        <v>10</v>
      </c>
      <c r="M5" s="107" t="s">
        <v>10</v>
      </c>
      <c r="N5" s="110" t="s">
        <v>10</v>
      </c>
    </row>
    <row r="6" spans="1:14" ht="22.5" customHeight="1">
      <c r="A6" s="103" t="s">
        <v>20</v>
      </c>
      <c r="B6" s="102" t="s">
        <v>93</v>
      </c>
      <c r="C6" s="103" t="s">
        <v>10</v>
      </c>
      <c r="D6" s="104">
        <v>0</v>
      </c>
      <c r="E6" s="105" t="s">
        <v>10</v>
      </c>
      <c r="F6" s="111" t="s">
        <v>10</v>
      </c>
      <c r="G6" s="111" t="s">
        <v>10</v>
      </c>
      <c r="H6" s="111" t="s">
        <v>10</v>
      </c>
      <c r="I6" s="111" t="s">
        <v>10</v>
      </c>
      <c r="J6" s="111" t="s">
        <v>10</v>
      </c>
      <c r="K6" s="111" t="s">
        <v>10</v>
      </c>
      <c r="L6" s="111" t="s">
        <v>10</v>
      </c>
      <c r="M6" s="111" t="s">
        <v>10</v>
      </c>
      <c r="N6" s="112" t="s">
        <v>10</v>
      </c>
    </row>
    <row r="7" spans="1:14" ht="22.5" customHeight="1">
      <c r="A7" s="101" t="s">
        <v>115</v>
      </c>
      <c r="B7" s="56" t="s">
        <v>49</v>
      </c>
      <c r="C7" s="101" t="s">
        <v>114</v>
      </c>
      <c r="D7" s="169"/>
      <c r="E7" s="101" t="s">
        <v>53</v>
      </c>
      <c r="F7" s="107">
        <v>473488</v>
      </c>
      <c r="G7" s="107">
        <f>D7*F7</f>
        <v>0</v>
      </c>
      <c r="H7" s="107">
        <v>364249</v>
      </c>
      <c r="I7" s="107">
        <f>D7*H7</f>
        <v>0</v>
      </c>
      <c r="J7" s="107">
        <v>13214</v>
      </c>
      <c r="K7" s="107">
        <f>D7*J7</f>
        <v>0</v>
      </c>
      <c r="L7" s="107">
        <f>F7+H7+J7</f>
        <v>850951</v>
      </c>
      <c r="M7" s="107">
        <f>D7*L7</f>
        <v>0</v>
      </c>
      <c r="N7" s="110"/>
    </row>
    <row r="8" spans="1:14" ht="22.5" customHeight="1">
      <c r="A8" s="101" t="s">
        <v>94</v>
      </c>
      <c r="B8" s="56" t="s">
        <v>49</v>
      </c>
      <c r="C8" s="101" t="s">
        <v>113</v>
      </c>
      <c r="D8" s="169"/>
      <c r="E8" s="101" t="s">
        <v>53</v>
      </c>
      <c r="F8" s="107">
        <v>2096059</v>
      </c>
      <c r="G8" s="107">
        <f>D8*F8</f>
        <v>0</v>
      </c>
      <c r="H8" s="107">
        <v>651150</v>
      </c>
      <c r="I8" s="107">
        <f>D8*H8</f>
        <v>0</v>
      </c>
      <c r="J8" s="107">
        <v>61358</v>
      </c>
      <c r="K8" s="107">
        <f>D8*J8</f>
        <v>0</v>
      </c>
      <c r="L8" s="107">
        <f t="shared" ref="L8:L27" si="0">F8+H8+J8</f>
        <v>2808567</v>
      </c>
      <c r="M8" s="107">
        <f t="shared" ref="M8:M27" si="1">D8*L8</f>
        <v>0</v>
      </c>
      <c r="N8" s="110"/>
    </row>
    <row r="9" spans="1:14" ht="22.5" customHeight="1">
      <c r="A9" s="101" t="s">
        <v>95</v>
      </c>
      <c r="B9" s="56" t="s">
        <v>49</v>
      </c>
      <c r="C9" s="101" t="s">
        <v>55</v>
      </c>
      <c r="D9" s="169"/>
      <c r="E9" s="101" t="s">
        <v>53</v>
      </c>
      <c r="F9" s="119">
        <v>2525128</v>
      </c>
      <c r="G9" s="107">
        <f>D9*F9</f>
        <v>0</v>
      </c>
      <c r="H9" s="107">
        <v>732040</v>
      </c>
      <c r="I9" s="107">
        <f>D9*H9</f>
        <v>0</v>
      </c>
      <c r="J9" s="107">
        <v>65243</v>
      </c>
      <c r="K9" s="107">
        <f>D9*J9</f>
        <v>0</v>
      </c>
      <c r="L9" s="107">
        <f t="shared" si="0"/>
        <v>3322411</v>
      </c>
      <c r="M9" s="107">
        <f t="shared" si="1"/>
        <v>0</v>
      </c>
      <c r="N9" s="110" t="s">
        <v>10</v>
      </c>
    </row>
    <row r="10" spans="1:14" ht="22.5" customHeight="1">
      <c r="A10" s="101" t="s">
        <v>96</v>
      </c>
      <c r="B10" s="56" t="s">
        <v>49</v>
      </c>
      <c r="C10" s="101" t="s">
        <v>48</v>
      </c>
      <c r="D10" s="169"/>
      <c r="E10" s="101" t="s">
        <v>53</v>
      </c>
      <c r="F10" s="119">
        <v>3251378</v>
      </c>
      <c r="G10" s="107">
        <f>D10*F10</f>
        <v>0</v>
      </c>
      <c r="H10" s="107">
        <v>774354</v>
      </c>
      <c r="I10" s="107">
        <f t="shared" ref="I10:I27" si="2">D10*H10</f>
        <v>0</v>
      </c>
      <c r="J10" s="107">
        <v>77677</v>
      </c>
      <c r="K10" s="107">
        <f t="shared" ref="K10:K27" si="3">D10*J10</f>
        <v>0</v>
      </c>
      <c r="L10" s="107">
        <f t="shared" si="0"/>
        <v>4103409</v>
      </c>
      <c r="M10" s="107">
        <f t="shared" si="1"/>
        <v>0</v>
      </c>
      <c r="N10" s="110" t="s">
        <v>10</v>
      </c>
    </row>
    <row r="11" spans="1:14" ht="22.5" customHeight="1">
      <c r="A11" s="101" t="s">
        <v>97</v>
      </c>
      <c r="B11" s="56" t="s">
        <v>49</v>
      </c>
      <c r="C11" s="101" t="s">
        <v>50</v>
      </c>
      <c r="D11" s="169"/>
      <c r="E11" s="101" t="s">
        <v>53</v>
      </c>
      <c r="F11" s="119">
        <v>3767327</v>
      </c>
      <c r="G11" s="107">
        <f t="shared" ref="G11:G27" si="4">D11*F11</f>
        <v>0</v>
      </c>
      <c r="H11" s="107">
        <v>835058</v>
      </c>
      <c r="I11" s="107">
        <f t="shared" si="2"/>
        <v>0</v>
      </c>
      <c r="J11" s="107">
        <v>126235</v>
      </c>
      <c r="K11" s="107">
        <f t="shared" si="3"/>
        <v>0</v>
      </c>
      <c r="L11" s="107">
        <f t="shared" si="0"/>
        <v>4728620</v>
      </c>
      <c r="M11" s="107">
        <f t="shared" si="1"/>
        <v>0</v>
      </c>
      <c r="N11" s="110"/>
    </row>
    <row r="12" spans="1:14" ht="22.5" customHeight="1">
      <c r="A12" s="101" t="s">
        <v>98</v>
      </c>
      <c r="B12" s="56" t="s">
        <v>49</v>
      </c>
      <c r="C12" s="101" t="s">
        <v>51</v>
      </c>
      <c r="D12" s="169"/>
      <c r="E12" s="101" t="s">
        <v>53</v>
      </c>
      <c r="F12" s="119">
        <v>4688285</v>
      </c>
      <c r="G12" s="107">
        <f t="shared" si="4"/>
        <v>0</v>
      </c>
      <c r="H12" s="107">
        <v>938836</v>
      </c>
      <c r="I12" s="107">
        <f t="shared" si="2"/>
        <v>0</v>
      </c>
      <c r="J12" s="107">
        <v>133031</v>
      </c>
      <c r="K12" s="107">
        <f t="shared" si="3"/>
        <v>0</v>
      </c>
      <c r="L12" s="107">
        <f t="shared" si="0"/>
        <v>5760152</v>
      </c>
      <c r="M12" s="107">
        <f t="shared" si="1"/>
        <v>0</v>
      </c>
      <c r="N12" s="110"/>
    </row>
    <row r="13" spans="1:14" ht="22.5" customHeight="1">
      <c r="A13" s="101" t="s">
        <v>99</v>
      </c>
      <c r="B13" s="56" t="s">
        <v>49</v>
      </c>
      <c r="C13" s="101" t="s">
        <v>52</v>
      </c>
      <c r="D13" s="169"/>
      <c r="E13" s="101" t="s">
        <v>53</v>
      </c>
      <c r="F13" s="119">
        <v>7175084</v>
      </c>
      <c r="G13" s="107">
        <f t="shared" si="4"/>
        <v>0</v>
      </c>
      <c r="H13" s="107">
        <v>1344035</v>
      </c>
      <c r="I13" s="107">
        <f t="shared" si="2"/>
        <v>0</v>
      </c>
      <c r="J13" s="107">
        <v>256626</v>
      </c>
      <c r="K13" s="107">
        <f t="shared" si="3"/>
        <v>0</v>
      </c>
      <c r="L13" s="107">
        <f t="shared" si="0"/>
        <v>8775745</v>
      </c>
      <c r="M13" s="107">
        <f t="shared" si="1"/>
        <v>0</v>
      </c>
      <c r="N13" s="110" t="s">
        <v>10</v>
      </c>
    </row>
    <row r="14" spans="1:14" ht="22.5" customHeight="1">
      <c r="A14" s="101" t="s">
        <v>100</v>
      </c>
      <c r="B14" s="56" t="s">
        <v>49</v>
      </c>
      <c r="C14" s="101" t="s">
        <v>23</v>
      </c>
      <c r="D14" s="169"/>
      <c r="E14" s="101" t="s">
        <v>53</v>
      </c>
      <c r="F14" s="119">
        <v>9658162</v>
      </c>
      <c r="G14" s="107">
        <f t="shared" si="4"/>
        <v>0</v>
      </c>
      <c r="H14" s="107">
        <v>1485827</v>
      </c>
      <c r="I14" s="107">
        <f t="shared" si="2"/>
        <v>0</v>
      </c>
      <c r="J14" s="107">
        <v>308857</v>
      </c>
      <c r="K14" s="107">
        <f t="shared" si="3"/>
        <v>0</v>
      </c>
      <c r="L14" s="107">
        <f t="shared" si="0"/>
        <v>11452846</v>
      </c>
      <c r="M14" s="107">
        <f t="shared" si="1"/>
        <v>0</v>
      </c>
      <c r="N14" s="110" t="s">
        <v>10</v>
      </c>
    </row>
    <row r="15" spans="1:14" ht="22.5" customHeight="1">
      <c r="A15" s="101" t="s">
        <v>101</v>
      </c>
      <c r="B15" s="56" t="s">
        <v>49</v>
      </c>
      <c r="C15" s="101" t="s">
        <v>22</v>
      </c>
      <c r="D15" s="169"/>
      <c r="E15" s="101" t="s">
        <v>53</v>
      </c>
      <c r="F15" s="119">
        <v>12169198</v>
      </c>
      <c r="G15" s="107">
        <f t="shared" si="4"/>
        <v>0</v>
      </c>
      <c r="H15" s="107">
        <v>1649432</v>
      </c>
      <c r="I15" s="107">
        <f t="shared" si="2"/>
        <v>0</v>
      </c>
      <c r="J15" s="107">
        <v>341364</v>
      </c>
      <c r="K15" s="107">
        <f t="shared" si="3"/>
        <v>0</v>
      </c>
      <c r="L15" s="107">
        <f t="shared" si="0"/>
        <v>14159994</v>
      </c>
      <c r="M15" s="107">
        <f t="shared" si="1"/>
        <v>0</v>
      </c>
      <c r="N15" s="110" t="s">
        <v>10</v>
      </c>
    </row>
    <row r="16" spans="1:14" ht="22.5" customHeight="1">
      <c r="A16" s="101" t="s">
        <v>102</v>
      </c>
      <c r="B16" s="56" t="s">
        <v>49</v>
      </c>
      <c r="C16" s="101" t="s">
        <v>26</v>
      </c>
      <c r="D16" s="169"/>
      <c r="E16" s="101" t="s">
        <v>53</v>
      </c>
      <c r="F16" s="119">
        <v>17976469</v>
      </c>
      <c r="G16" s="107">
        <f t="shared" si="4"/>
        <v>0</v>
      </c>
      <c r="H16" s="107">
        <v>2270083</v>
      </c>
      <c r="I16" s="107">
        <f t="shared" si="2"/>
        <v>0</v>
      </c>
      <c r="J16" s="107">
        <v>594821</v>
      </c>
      <c r="K16" s="107">
        <f t="shared" si="3"/>
        <v>0</v>
      </c>
      <c r="L16" s="107">
        <f t="shared" si="0"/>
        <v>20841373</v>
      </c>
      <c r="M16" s="107">
        <f t="shared" si="1"/>
        <v>0</v>
      </c>
      <c r="N16" s="110"/>
    </row>
    <row r="17" spans="1:14" ht="22.5" customHeight="1">
      <c r="A17" s="101" t="s">
        <v>103</v>
      </c>
      <c r="B17" s="56" t="s">
        <v>49</v>
      </c>
      <c r="C17" s="101" t="s">
        <v>33</v>
      </c>
      <c r="D17" s="169"/>
      <c r="E17" s="101" t="s">
        <v>53</v>
      </c>
      <c r="F17" s="119">
        <v>18408234</v>
      </c>
      <c r="G17" s="107">
        <f t="shared" si="4"/>
        <v>0</v>
      </c>
      <c r="H17" s="107">
        <v>2676868</v>
      </c>
      <c r="I17" s="107">
        <f t="shared" si="2"/>
        <v>0</v>
      </c>
      <c r="J17" s="107">
        <v>664149</v>
      </c>
      <c r="K17" s="107">
        <f t="shared" si="3"/>
        <v>0</v>
      </c>
      <c r="L17" s="107">
        <f t="shared" si="0"/>
        <v>21749251</v>
      </c>
      <c r="M17" s="107">
        <f t="shared" si="1"/>
        <v>0</v>
      </c>
      <c r="N17" s="110" t="s">
        <v>10</v>
      </c>
    </row>
    <row r="18" spans="1:14" ht="22.5" customHeight="1">
      <c r="A18" s="101" t="s">
        <v>104</v>
      </c>
      <c r="B18" s="56" t="s">
        <v>49</v>
      </c>
      <c r="C18" s="101" t="s">
        <v>32</v>
      </c>
      <c r="D18" s="169"/>
      <c r="E18" s="101" t="s">
        <v>53</v>
      </c>
      <c r="F18" s="119">
        <v>21589104</v>
      </c>
      <c r="G18" s="107">
        <f t="shared" si="4"/>
        <v>0</v>
      </c>
      <c r="H18" s="107">
        <v>3082851</v>
      </c>
      <c r="I18" s="107">
        <f t="shared" si="2"/>
        <v>0</v>
      </c>
      <c r="J18" s="107">
        <v>906276</v>
      </c>
      <c r="K18" s="107">
        <f t="shared" si="3"/>
        <v>0</v>
      </c>
      <c r="L18" s="107">
        <f t="shared" si="0"/>
        <v>25578231</v>
      </c>
      <c r="M18" s="107">
        <f t="shared" si="1"/>
        <v>0</v>
      </c>
      <c r="N18" s="110"/>
    </row>
    <row r="19" spans="1:14" ht="22.5" customHeight="1">
      <c r="A19" s="101" t="s">
        <v>105</v>
      </c>
      <c r="B19" s="56" t="s">
        <v>49</v>
      </c>
      <c r="C19" s="101" t="s">
        <v>31</v>
      </c>
      <c r="D19" s="169"/>
      <c r="E19" s="101" t="s">
        <v>53</v>
      </c>
      <c r="F19" s="119">
        <v>24638400</v>
      </c>
      <c r="G19" s="107">
        <f t="shared" si="4"/>
        <v>0</v>
      </c>
      <c r="H19" s="107">
        <v>3861028</v>
      </c>
      <c r="I19" s="107">
        <f t="shared" si="2"/>
        <v>0</v>
      </c>
      <c r="J19" s="107">
        <v>1047466</v>
      </c>
      <c r="K19" s="107">
        <f t="shared" si="3"/>
        <v>0</v>
      </c>
      <c r="L19" s="107">
        <f t="shared" si="0"/>
        <v>29546894</v>
      </c>
      <c r="M19" s="107">
        <f t="shared" si="1"/>
        <v>0</v>
      </c>
      <c r="N19" s="110"/>
    </row>
    <row r="20" spans="1:14" ht="22.5" customHeight="1">
      <c r="A20" s="101" t="s">
        <v>106</v>
      </c>
      <c r="B20" s="56" t="s">
        <v>49</v>
      </c>
      <c r="C20" s="101" t="s">
        <v>30</v>
      </c>
      <c r="D20" s="169"/>
      <c r="E20" s="101" t="s">
        <v>53</v>
      </c>
      <c r="F20" s="119">
        <v>25877998</v>
      </c>
      <c r="G20" s="107">
        <f t="shared" si="4"/>
        <v>0</v>
      </c>
      <c r="H20" s="107">
        <v>4274693</v>
      </c>
      <c r="I20" s="107">
        <f t="shared" si="2"/>
        <v>0</v>
      </c>
      <c r="J20" s="107">
        <v>1733663</v>
      </c>
      <c r="K20" s="107">
        <f t="shared" si="3"/>
        <v>0</v>
      </c>
      <c r="L20" s="107">
        <f t="shared" si="0"/>
        <v>31886354</v>
      </c>
      <c r="M20" s="107">
        <f t="shared" si="1"/>
        <v>0</v>
      </c>
      <c r="N20" s="110"/>
    </row>
    <row r="21" spans="1:14" ht="22.5" customHeight="1">
      <c r="A21" s="101" t="s">
        <v>107</v>
      </c>
      <c r="B21" s="56" t="s">
        <v>49</v>
      </c>
      <c r="C21" s="101" t="s">
        <v>24</v>
      </c>
      <c r="D21" s="169"/>
      <c r="E21" s="101" t="s">
        <v>53</v>
      </c>
      <c r="F21" s="119">
        <v>32881624</v>
      </c>
      <c r="G21" s="107">
        <f t="shared" si="4"/>
        <v>0</v>
      </c>
      <c r="H21" s="107">
        <v>5130868</v>
      </c>
      <c r="I21" s="107">
        <f t="shared" si="2"/>
        <v>0</v>
      </c>
      <c r="J21" s="107">
        <v>1981912</v>
      </c>
      <c r="K21" s="107">
        <f t="shared" si="3"/>
        <v>0</v>
      </c>
      <c r="L21" s="107">
        <f t="shared" si="0"/>
        <v>39994404</v>
      </c>
      <c r="M21" s="107">
        <f t="shared" si="1"/>
        <v>0</v>
      </c>
      <c r="N21" s="110"/>
    </row>
    <row r="22" spans="1:14" ht="22.5" customHeight="1">
      <c r="A22" s="101" t="s">
        <v>108</v>
      </c>
      <c r="B22" s="56" t="s">
        <v>49</v>
      </c>
      <c r="C22" s="101" t="s">
        <v>29</v>
      </c>
      <c r="D22" s="169"/>
      <c r="E22" s="101" t="s">
        <v>53</v>
      </c>
      <c r="F22" s="119">
        <v>34983928</v>
      </c>
      <c r="G22" s="107">
        <f t="shared" si="4"/>
        <v>0</v>
      </c>
      <c r="H22" s="107">
        <v>5548044</v>
      </c>
      <c r="I22" s="107">
        <f t="shared" si="2"/>
        <v>0</v>
      </c>
      <c r="J22" s="107">
        <v>2455665</v>
      </c>
      <c r="K22" s="107">
        <f t="shared" si="3"/>
        <v>0</v>
      </c>
      <c r="L22" s="107">
        <f t="shared" si="0"/>
        <v>42987637</v>
      </c>
      <c r="M22" s="107">
        <f t="shared" si="1"/>
        <v>0</v>
      </c>
      <c r="N22" s="110"/>
    </row>
    <row r="23" spans="1:14" ht="22.5" customHeight="1">
      <c r="A23" s="101" t="s">
        <v>109</v>
      </c>
      <c r="B23" s="56" t="s">
        <v>49</v>
      </c>
      <c r="C23" s="101" t="s">
        <v>119</v>
      </c>
      <c r="D23" s="169">
        <v>6</v>
      </c>
      <c r="E23" s="101" t="s">
        <v>53</v>
      </c>
      <c r="F23" s="119">
        <v>38815548</v>
      </c>
      <c r="G23" s="107">
        <f t="shared" si="4"/>
        <v>232893288</v>
      </c>
      <c r="H23" s="107">
        <v>5926788</v>
      </c>
      <c r="I23" s="107">
        <f t="shared" si="2"/>
        <v>35560728</v>
      </c>
      <c r="J23" s="107">
        <v>2662404</v>
      </c>
      <c r="K23" s="107">
        <f t="shared" si="3"/>
        <v>15974424</v>
      </c>
      <c r="L23" s="107">
        <f t="shared" si="0"/>
        <v>47404740</v>
      </c>
      <c r="M23" s="107">
        <f t="shared" si="1"/>
        <v>284428440</v>
      </c>
      <c r="N23" s="110"/>
    </row>
    <row r="24" spans="1:14" ht="22.5" customHeight="1">
      <c r="A24" s="101" t="s">
        <v>110</v>
      </c>
      <c r="B24" s="56" t="s">
        <v>49</v>
      </c>
      <c r="C24" s="101" t="s">
        <v>28</v>
      </c>
      <c r="D24" s="169"/>
      <c r="E24" s="101" t="s">
        <v>53</v>
      </c>
      <c r="F24" s="119">
        <v>44317123</v>
      </c>
      <c r="G24" s="107">
        <f t="shared" si="4"/>
        <v>0</v>
      </c>
      <c r="H24" s="107">
        <v>6423413</v>
      </c>
      <c r="I24" s="107">
        <f t="shared" si="2"/>
        <v>0</v>
      </c>
      <c r="J24" s="107">
        <v>4659138</v>
      </c>
      <c r="K24" s="107">
        <f t="shared" si="3"/>
        <v>0</v>
      </c>
      <c r="L24" s="107">
        <f t="shared" si="0"/>
        <v>55399674</v>
      </c>
      <c r="M24" s="107">
        <f t="shared" si="1"/>
        <v>0</v>
      </c>
      <c r="N24" s="110"/>
    </row>
    <row r="25" spans="1:14" ht="22.5" customHeight="1">
      <c r="A25" s="101" t="s">
        <v>111</v>
      </c>
      <c r="B25" s="56" t="s">
        <v>49</v>
      </c>
      <c r="C25" s="101" t="s">
        <v>27</v>
      </c>
      <c r="D25" s="169"/>
      <c r="E25" s="101" t="s">
        <v>53</v>
      </c>
      <c r="F25" s="119">
        <v>47002938</v>
      </c>
      <c r="G25" s="107">
        <f t="shared" si="4"/>
        <v>0</v>
      </c>
      <c r="H25" s="107">
        <v>6754833</v>
      </c>
      <c r="I25" s="107">
        <f t="shared" si="2"/>
        <v>0</v>
      </c>
      <c r="J25" s="107">
        <v>4931649</v>
      </c>
      <c r="K25" s="107">
        <f t="shared" si="3"/>
        <v>0</v>
      </c>
      <c r="L25" s="107">
        <f t="shared" si="0"/>
        <v>58689420</v>
      </c>
      <c r="M25" s="107">
        <f t="shared" si="1"/>
        <v>0</v>
      </c>
      <c r="N25" s="110"/>
    </row>
    <row r="26" spans="1:14" ht="22.5" customHeight="1">
      <c r="A26" s="101" t="s">
        <v>112</v>
      </c>
      <c r="B26" s="56" t="s">
        <v>49</v>
      </c>
      <c r="C26" s="101" t="s">
        <v>25</v>
      </c>
      <c r="D26" s="169"/>
      <c r="E26" s="101" t="s">
        <v>53</v>
      </c>
      <c r="F26" s="119">
        <v>56158837</v>
      </c>
      <c r="G26" s="107">
        <f t="shared" si="4"/>
        <v>0</v>
      </c>
      <c r="H26" s="107">
        <v>7151107</v>
      </c>
      <c r="I26" s="107">
        <f t="shared" si="2"/>
        <v>0</v>
      </c>
      <c r="J26" s="107">
        <v>5363774</v>
      </c>
      <c r="K26" s="107">
        <f t="shared" si="3"/>
        <v>0</v>
      </c>
      <c r="L26" s="107">
        <f t="shared" si="0"/>
        <v>68673718</v>
      </c>
      <c r="M26" s="107">
        <f t="shared" si="1"/>
        <v>0</v>
      </c>
      <c r="N26" s="110"/>
    </row>
    <row r="27" spans="1:14" ht="22.5" customHeight="1">
      <c r="A27" s="101" t="s">
        <v>128</v>
      </c>
      <c r="B27" s="56" t="s">
        <v>49</v>
      </c>
      <c r="C27" s="101" t="s">
        <v>129</v>
      </c>
      <c r="D27" s="169"/>
      <c r="E27" s="101" t="s">
        <v>53</v>
      </c>
      <c r="F27" s="119">
        <v>67252461</v>
      </c>
      <c r="G27" s="107">
        <f t="shared" si="4"/>
        <v>0</v>
      </c>
      <c r="H27" s="119">
        <v>7451208</v>
      </c>
      <c r="I27" s="107">
        <f t="shared" si="2"/>
        <v>0</v>
      </c>
      <c r="J27" s="119">
        <v>5562272</v>
      </c>
      <c r="K27" s="107">
        <f t="shared" si="3"/>
        <v>0</v>
      </c>
      <c r="L27" s="107">
        <f t="shared" si="0"/>
        <v>80265941</v>
      </c>
      <c r="M27" s="107">
        <f t="shared" si="1"/>
        <v>0</v>
      </c>
      <c r="N27" s="110"/>
    </row>
    <row r="28" spans="1:14" ht="22.5" customHeight="1">
      <c r="A28" s="101"/>
      <c r="B28" s="56" t="s">
        <v>116</v>
      </c>
      <c r="C28" s="101"/>
      <c r="D28" s="169">
        <f>SUM(D7:D27)</f>
        <v>6</v>
      </c>
      <c r="E28" s="101"/>
      <c r="F28" s="119"/>
      <c r="G28" s="107">
        <f>SUM(G7:G27)</f>
        <v>232893288</v>
      </c>
      <c r="H28" s="107"/>
      <c r="I28" s="107">
        <f>SUM(I7:I27)</f>
        <v>35560728</v>
      </c>
      <c r="J28" s="107"/>
      <c r="K28" s="107">
        <f>SUM(K7:K27)</f>
        <v>15974424</v>
      </c>
      <c r="L28" s="107"/>
      <c r="M28" s="107">
        <f>SUM(M7:M27)</f>
        <v>284428440</v>
      </c>
      <c r="N28" s="110"/>
    </row>
    <row r="29" spans="1:14" ht="22.5" customHeight="1">
      <c r="A29" s="102" t="s">
        <v>117</v>
      </c>
      <c r="B29" s="102" t="s">
        <v>118</v>
      </c>
      <c r="C29" s="103" t="s">
        <v>10</v>
      </c>
      <c r="D29" s="104">
        <v>0</v>
      </c>
      <c r="E29" s="105" t="s">
        <v>10</v>
      </c>
      <c r="F29" s="111"/>
      <c r="G29" s="111" t="s">
        <v>10</v>
      </c>
      <c r="H29" s="111"/>
      <c r="I29" s="111" t="s">
        <v>10</v>
      </c>
      <c r="J29" s="111" t="s">
        <v>10</v>
      </c>
      <c r="K29" s="111" t="s">
        <v>10</v>
      </c>
      <c r="L29" s="111" t="s">
        <v>10</v>
      </c>
      <c r="M29" s="111" t="s">
        <v>10</v>
      </c>
      <c r="N29" s="112" t="s">
        <v>10</v>
      </c>
    </row>
    <row r="30" spans="1:14" ht="22.5" customHeight="1">
      <c r="A30" s="101" t="s">
        <v>394</v>
      </c>
      <c r="B30" s="56" t="s">
        <v>49</v>
      </c>
      <c r="C30" s="101" t="s">
        <v>114</v>
      </c>
      <c r="D30" s="169">
        <v>0</v>
      </c>
      <c r="E30" s="101" t="s">
        <v>53</v>
      </c>
      <c r="F30" s="119">
        <v>473488</v>
      </c>
      <c r="G30" s="107">
        <f t="shared" ref="G30:G43" si="5">D30*F30</f>
        <v>0</v>
      </c>
      <c r="H30" s="107">
        <v>632217</v>
      </c>
      <c r="I30" s="107">
        <f t="shared" ref="I30:I43" si="6">D30*H30</f>
        <v>0</v>
      </c>
      <c r="J30" s="107">
        <v>13220</v>
      </c>
      <c r="K30" s="107">
        <f t="shared" ref="K30:K43" si="7">D30*J30</f>
        <v>0</v>
      </c>
      <c r="L30" s="107">
        <f t="shared" ref="L30:L43" si="8">F30+H30+J30</f>
        <v>1118925</v>
      </c>
      <c r="M30" s="107">
        <f t="shared" ref="M30:M43" si="9">D30*L30</f>
        <v>0</v>
      </c>
      <c r="N30" s="110"/>
    </row>
    <row r="31" spans="1:14" ht="22.5" customHeight="1">
      <c r="A31" s="101" t="s">
        <v>362</v>
      </c>
      <c r="B31" s="56" t="s">
        <v>49</v>
      </c>
      <c r="C31" s="101" t="s">
        <v>113</v>
      </c>
      <c r="D31" s="169"/>
      <c r="E31" s="101" t="s">
        <v>53</v>
      </c>
      <c r="F31" s="119">
        <v>2096059</v>
      </c>
      <c r="G31" s="107">
        <f t="shared" si="5"/>
        <v>0</v>
      </c>
      <c r="H31" s="107">
        <v>1176471</v>
      </c>
      <c r="I31" s="107">
        <f t="shared" si="6"/>
        <v>0</v>
      </c>
      <c r="J31" s="107">
        <v>61358</v>
      </c>
      <c r="K31" s="107">
        <f t="shared" si="7"/>
        <v>0</v>
      </c>
      <c r="L31" s="107">
        <f t="shared" si="8"/>
        <v>3333888</v>
      </c>
      <c r="M31" s="107">
        <f t="shared" si="9"/>
        <v>0</v>
      </c>
      <c r="N31" s="110"/>
    </row>
    <row r="32" spans="1:14" ht="22.5" customHeight="1">
      <c r="A32" s="101" t="s">
        <v>265</v>
      </c>
      <c r="B32" s="56" t="s">
        <v>49</v>
      </c>
      <c r="C32" s="101" t="s">
        <v>51</v>
      </c>
      <c r="D32" s="169"/>
      <c r="E32" s="101" t="s">
        <v>53</v>
      </c>
      <c r="F32" s="119">
        <v>4688285</v>
      </c>
      <c r="G32" s="107">
        <f t="shared" si="5"/>
        <v>0</v>
      </c>
      <c r="H32" s="107">
        <v>1698490</v>
      </c>
      <c r="I32" s="107">
        <f t="shared" si="6"/>
        <v>0</v>
      </c>
      <c r="J32" s="107">
        <v>133030</v>
      </c>
      <c r="K32" s="107">
        <f t="shared" si="7"/>
        <v>0</v>
      </c>
      <c r="L32" s="107">
        <f t="shared" si="8"/>
        <v>6519805</v>
      </c>
      <c r="M32" s="107">
        <f t="shared" si="9"/>
        <v>0</v>
      </c>
      <c r="N32" s="110"/>
    </row>
    <row r="33" spans="1:20" ht="22.5" customHeight="1">
      <c r="A33" s="101" t="s">
        <v>266</v>
      </c>
      <c r="B33" s="56" t="s">
        <v>49</v>
      </c>
      <c r="C33" s="101" t="s">
        <v>52</v>
      </c>
      <c r="D33" s="169"/>
      <c r="E33" s="101" t="s">
        <v>53</v>
      </c>
      <c r="F33" s="119">
        <v>7175084</v>
      </c>
      <c r="G33" s="107">
        <f t="shared" si="5"/>
        <v>0</v>
      </c>
      <c r="H33" s="107">
        <v>2392787</v>
      </c>
      <c r="I33" s="107">
        <f t="shared" si="6"/>
        <v>0</v>
      </c>
      <c r="J33" s="107">
        <v>256626</v>
      </c>
      <c r="K33" s="107">
        <f t="shared" si="7"/>
        <v>0</v>
      </c>
      <c r="L33" s="107">
        <f t="shared" si="8"/>
        <v>9824497</v>
      </c>
      <c r="M33" s="107">
        <f t="shared" si="9"/>
        <v>0</v>
      </c>
      <c r="N33" s="110"/>
    </row>
    <row r="34" spans="1:20" ht="22.5" customHeight="1">
      <c r="A34" s="101" t="s">
        <v>363</v>
      </c>
      <c r="B34" s="56" t="s">
        <v>49</v>
      </c>
      <c r="C34" s="101" t="s">
        <v>141</v>
      </c>
      <c r="D34" s="169"/>
      <c r="E34" s="101" t="s">
        <v>53</v>
      </c>
      <c r="F34" s="119">
        <v>9658163</v>
      </c>
      <c r="G34" s="107">
        <f t="shared" si="5"/>
        <v>0</v>
      </c>
      <c r="H34" s="107">
        <v>2647683</v>
      </c>
      <c r="I34" s="107">
        <f t="shared" si="6"/>
        <v>0</v>
      </c>
      <c r="J34" s="107">
        <v>308857</v>
      </c>
      <c r="K34" s="107">
        <f t="shared" si="7"/>
        <v>0</v>
      </c>
      <c r="L34" s="107">
        <f t="shared" si="8"/>
        <v>12614703</v>
      </c>
      <c r="M34" s="107">
        <f t="shared" si="9"/>
        <v>0</v>
      </c>
      <c r="N34" s="110"/>
    </row>
    <row r="35" spans="1:20" ht="22.5" customHeight="1">
      <c r="A35" s="101" t="s">
        <v>364</v>
      </c>
      <c r="B35" s="56" t="s">
        <v>49</v>
      </c>
      <c r="C35" s="101" t="s">
        <v>22</v>
      </c>
      <c r="D35" s="169"/>
      <c r="E35" s="101" t="s">
        <v>53</v>
      </c>
      <c r="F35" s="119">
        <v>12169198</v>
      </c>
      <c r="G35" s="107">
        <f t="shared" si="5"/>
        <v>0</v>
      </c>
      <c r="H35" s="107">
        <v>2940693</v>
      </c>
      <c r="I35" s="107">
        <f t="shared" si="6"/>
        <v>0</v>
      </c>
      <c r="J35" s="107">
        <v>341364</v>
      </c>
      <c r="K35" s="107">
        <f t="shared" si="7"/>
        <v>0</v>
      </c>
      <c r="L35" s="107">
        <f t="shared" si="8"/>
        <v>15451255</v>
      </c>
      <c r="M35" s="107">
        <f t="shared" si="9"/>
        <v>0</v>
      </c>
      <c r="N35" s="110" t="s">
        <v>10</v>
      </c>
    </row>
    <row r="36" spans="1:20" ht="22.5" customHeight="1">
      <c r="A36" s="101" t="s">
        <v>365</v>
      </c>
      <c r="B36" s="56" t="s">
        <v>49</v>
      </c>
      <c r="C36" s="101" t="s">
        <v>142</v>
      </c>
      <c r="D36" s="169"/>
      <c r="E36" s="101" t="s">
        <v>53</v>
      </c>
      <c r="F36" s="119">
        <v>17976470</v>
      </c>
      <c r="G36" s="107">
        <f t="shared" si="5"/>
        <v>0</v>
      </c>
      <c r="H36" s="107">
        <v>4065640</v>
      </c>
      <c r="I36" s="107">
        <f t="shared" si="6"/>
        <v>0</v>
      </c>
      <c r="J36" s="107">
        <v>594821</v>
      </c>
      <c r="K36" s="107">
        <f t="shared" si="7"/>
        <v>0</v>
      </c>
      <c r="L36" s="107">
        <f t="shared" si="8"/>
        <v>22636931</v>
      </c>
      <c r="M36" s="107">
        <f t="shared" si="9"/>
        <v>0</v>
      </c>
      <c r="N36" s="110" t="s">
        <v>10</v>
      </c>
    </row>
    <row r="37" spans="1:20" ht="22.5" customHeight="1">
      <c r="A37" s="101" t="s">
        <v>366</v>
      </c>
      <c r="B37" s="56" t="s">
        <v>49</v>
      </c>
      <c r="C37" s="101" t="s">
        <v>33</v>
      </c>
      <c r="D37" s="169"/>
      <c r="E37" s="101" t="s">
        <v>53</v>
      </c>
      <c r="F37" s="119">
        <v>18408234</v>
      </c>
      <c r="G37" s="107">
        <f t="shared" si="5"/>
        <v>0</v>
      </c>
      <c r="H37" s="119">
        <v>4803583</v>
      </c>
      <c r="I37" s="107">
        <f t="shared" si="6"/>
        <v>0</v>
      </c>
      <c r="J37" s="119">
        <v>664149</v>
      </c>
      <c r="K37" s="107">
        <f t="shared" si="7"/>
        <v>0</v>
      </c>
      <c r="L37" s="107">
        <f t="shared" si="8"/>
        <v>23875966</v>
      </c>
      <c r="M37" s="107">
        <f t="shared" si="9"/>
        <v>0</v>
      </c>
      <c r="N37" s="110" t="s">
        <v>10</v>
      </c>
    </row>
    <row r="38" spans="1:20" ht="22.5" customHeight="1">
      <c r="A38" s="101" t="s">
        <v>367</v>
      </c>
      <c r="B38" s="56" t="s">
        <v>49</v>
      </c>
      <c r="C38" s="101" t="s">
        <v>31</v>
      </c>
      <c r="D38" s="118"/>
      <c r="E38" s="101" t="s">
        <v>53</v>
      </c>
      <c r="F38" s="119">
        <v>24638400</v>
      </c>
      <c r="G38" s="107">
        <f t="shared" si="5"/>
        <v>0</v>
      </c>
      <c r="H38" s="119">
        <v>6942629</v>
      </c>
      <c r="I38" s="107">
        <f t="shared" si="6"/>
        <v>0</v>
      </c>
      <c r="J38" s="119">
        <v>1047465</v>
      </c>
      <c r="K38" s="107">
        <f t="shared" si="7"/>
        <v>0</v>
      </c>
      <c r="L38" s="107">
        <f t="shared" si="8"/>
        <v>32628494</v>
      </c>
      <c r="M38" s="107">
        <f t="shared" si="9"/>
        <v>0</v>
      </c>
      <c r="N38" s="110"/>
    </row>
    <row r="39" spans="1:20" ht="22.5" customHeight="1">
      <c r="A39" s="101" t="s">
        <v>271</v>
      </c>
      <c r="B39" s="56" t="s">
        <v>49</v>
      </c>
      <c r="C39" s="101" t="s">
        <v>143</v>
      </c>
      <c r="D39" s="118"/>
      <c r="E39" s="101" t="s">
        <v>53</v>
      </c>
      <c r="F39" s="119">
        <v>25877998</v>
      </c>
      <c r="G39" s="107">
        <f t="shared" si="5"/>
        <v>0</v>
      </c>
      <c r="H39" s="119">
        <v>7691243</v>
      </c>
      <c r="I39" s="107">
        <f t="shared" si="6"/>
        <v>0</v>
      </c>
      <c r="J39" s="119">
        <v>1733663</v>
      </c>
      <c r="K39" s="107">
        <f t="shared" si="7"/>
        <v>0</v>
      </c>
      <c r="L39" s="107">
        <f t="shared" si="8"/>
        <v>35302904</v>
      </c>
      <c r="M39" s="107">
        <f t="shared" si="9"/>
        <v>0</v>
      </c>
      <c r="N39" s="110"/>
    </row>
    <row r="40" spans="1:20" ht="22.5" customHeight="1">
      <c r="A40" s="101" t="s">
        <v>275</v>
      </c>
      <c r="B40" s="56" t="s">
        <v>49</v>
      </c>
      <c r="C40" s="101" t="s">
        <v>24</v>
      </c>
      <c r="D40" s="169"/>
      <c r="E40" s="101" t="s">
        <v>53</v>
      </c>
      <c r="F40" s="119">
        <v>32881624</v>
      </c>
      <c r="G40" s="107">
        <f t="shared" si="5"/>
        <v>0</v>
      </c>
      <c r="H40" s="119">
        <v>9231123</v>
      </c>
      <c r="I40" s="107">
        <f t="shared" si="6"/>
        <v>0</v>
      </c>
      <c r="J40" s="119">
        <v>1981912</v>
      </c>
      <c r="K40" s="107">
        <f t="shared" si="7"/>
        <v>0</v>
      </c>
      <c r="L40" s="107">
        <f t="shared" si="8"/>
        <v>44094659</v>
      </c>
      <c r="M40" s="107">
        <f t="shared" si="9"/>
        <v>0</v>
      </c>
      <c r="N40" s="110"/>
    </row>
    <row r="41" spans="1:20" ht="22.5" customHeight="1">
      <c r="A41" s="101" t="s">
        <v>278</v>
      </c>
      <c r="B41" s="56" t="s">
        <v>49</v>
      </c>
      <c r="C41" s="101" t="s">
        <v>28</v>
      </c>
      <c r="D41" s="169"/>
      <c r="E41" s="101" t="s">
        <v>53</v>
      </c>
      <c r="F41" s="119">
        <v>44317123</v>
      </c>
      <c r="G41" s="107">
        <f t="shared" si="5"/>
        <v>0</v>
      </c>
      <c r="H41" s="119">
        <v>11562746</v>
      </c>
      <c r="I41" s="107">
        <f t="shared" si="6"/>
        <v>0</v>
      </c>
      <c r="J41" s="119">
        <v>4659138</v>
      </c>
      <c r="K41" s="107">
        <f t="shared" si="7"/>
        <v>0</v>
      </c>
      <c r="L41" s="107">
        <f t="shared" si="8"/>
        <v>60539007</v>
      </c>
      <c r="M41" s="107">
        <f t="shared" si="9"/>
        <v>0</v>
      </c>
      <c r="N41" s="110"/>
    </row>
    <row r="42" spans="1:20" ht="22.5" customHeight="1">
      <c r="A42" s="101" t="s">
        <v>368</v>
      </c>
      <c r="B42" s="56" t="s">
        <v>49</v>
      </c>
      <c r="C42" s="101" t="s">
        <v>27</v>
      </c>
      <c r="D42" s="118"/>
      <c r="E42" s="101" t="s">
        <v>53</v>
      </c>
      <c r="F42" s="119">
        <v>47002938</v>
      </c>
      <c r="G42" s="107">
        <f t="shared" si="5"/>
        <v>0</v>
      </c>
      <c r="H42" s="119">
        <v>12161036</v>
      </c>
      <c r="I42" s="107">
        <f t="shared" si="6"/>
        <v>0</v>
      </c>
      <c r="J42" s="119">
        <v>4931649</v>
      </c>
      <c r="K42" s="107">
        <f t="shared" si="7"/>
        <v>0</v>
      </c>
      <c r="L42" s="107">
        <f t="shared" si="8"/>
        <v>64095623</v>
      </c>
      <c r="M42" s="107">
        <f t="shared" si="9"/>
        <v>0</v>
      </c>
      <c r="N42" s="110"/>
    </row>
    <row r="43" spans="1:20" ht="22.5" customHeight="1">
      <c r="A43" s="101" t="s">
        <v>369</v>
      </c>
      <c r="B43" s="56" t="s">
        <v>49</v>
      </c>
      <c r="C43" s="101" t="s">
        <v>25</v>
      </c>
      <c r="D43" s="118">
        <v>0</v>
      </c>
      <c r="E43" s="101" t="s">
        <v>53</v>
      </c>
      <c r="F43" s="119">
        <v>56158837</v>
      </c>
      <c r="G43" s="107">
        <f t="shared" si="5"/>
        <v>0</v>
      </c>
      <c r="H43" s="119">
        <v>12875632</v>
      </c>
      <c r="I43" s="107">
        <f t="shared" si="6"/>
        <v>0</v>
      </c>
      <c r="J43" s="119">
        <v>5363775</v>
      </c>
      <c r="K43" s="107">
        <f t="shared" si="7"/>
        <v>0</v>
      </c>
      <c r="L43" s="107">
        <f t="shared" si="8"/>
        <v>74398244</v>
      </c>
      <c r="M43" s="107">
        <f t="shared" si="9"/>
        <v>0</v>
      </c>
      <c r="N43" s="110"/>
    </row>
    <row r="44" spans="1:20" ht="22.5" customHeight="1">
      <c r="A44" s="101"/>
      <c r="B44" s="56" t="s">
        <v>116</v>
      </c>
      <c r="C44" s="101"/>
      <c r="D44" s="169">
        <f>SUM(D30:D43)</f>
        <v>0</v>
      </c>
      <c r="E44" s="101"/>
      <c r="F44" s="119"/>
      <c r="G44" s="107">
        <f>SUM(G30:G43)</f>
        <v>0</v>
      </c>
      <c r="H44" s="107"/>
      <c r="I44" s="107">
        <f>SUM(I30:I43)</f>
        <v>0</v>
      </c>
      <c r="J44" s="107"/>
      <c r="K44" s="107">
        <f>SUM(K30:K43)</f>
        <v>0</v>
      </c>
      <c r="L44" s="107"/>
      <c r="M44" s="107">
        <f>SUM(M30:M43)</f>
        <v>0</v>
      </c>
      <c r="N44" s="110"/>
    </row>
    <row r="45" spans="1:20" ht="22.5" customHeight="1">
      <c r="A45" s="102" t="s">
        <v>131</v>
      </c>
      <c r="B45" s="102" t="s">
        <v>133</v>
      </c>
      <c r="C45" s="103" t="s">
        <v>10</v>
      </c>
      <c r="D45" s="104">
        <v>0</v>
      </c>
      <c r="E45" s="105" t="s">
        <v>10</v>
      </c>
      <c r="F45" s="111"/>
      <c r="G45" s="111"/>
      <c r="H45" s="111"/>
      <c r="I45" s="111" t="s">
        <v>10</v>
      </c>
      <c r="J45" s="111" t="s">
        <v>10</v>
      </c>
      <c r="K45" s="111" t="s">
        <v>10</v>
      </c>
      <c r="L45" s="111" t="s">
        <v>10</v>
      </c>
      <c r="M45" s="111" t="s">
        <v>10</v>
      </c>
      <c r="N45" s="112" t="s">
        <v>10</v>
      </c>
    </row>
    <row r="46" spans="1:20" ht="22.5" customHeight="1">
      <c r="A46" s="101" t="s">
        <v>395</v>
      </c>
      <c r="B46" s="56" t="s">
        <v>132</v>
      </c>
      <c r="C46" s="101" t="s">
        <v>138</v>
      </c>
      <c r="D46" s="118">
        <v>0</v>
      </c>
      <c r="E46" s="101" t="s">
        <v>130</v>
      </c>
      <c r="F46" s="119">
        <v>26432884</v>
      </c>
      <c r="G46" s="107">
        <f t="shared" ref="G46:G50" si="10">D46*F46</f>
        <v>0</v>
      </c>
      <c r="H46" s="119">
        <v>1649432</v>
      </c>
      <c r="I46" s="107">
        <f t="shared" ref="I46:I50" si="11">D46*H46</f>
        <v>0</v>
      </c>
      <c r="J46" s="119">
        <v>419928</v>
      </c>
      <c r="K46" s="107">
        <f t="shared" ref="K46:K50" si="12">D46*J46</f>
        <v>0</v>
      </c>
      <c r="L46" s="107">
        <f t="shared" ref="L46:L50" si="13">F46+H46+J46</f>
        <v>28502244</v>
      </c>
      <c r="M46" s="107">
        <f t="shared" ref="M46:M50" si="14">D46*L46</f>
        <v>0</v>
      </c>
      <c r="N46" s="110"/>
    </row>
    <row r="47" spans="1:20" ht="22.5" customHeight="1">
      <c r="A47" s="101" t="s">
        <v>285</v>
      </c>
      <c r="B47" s="56" t="s">
        <v>132</v>
      </c>
      <c r="C47" s="101" t="s">
        <v>134</v>
      </c>
      <c r="D47" s="118">
        <v>0</v>
      </c>
      <c r="E47" s="101" t="s">
        <v>130</v>
      </c>
      <c r="F47" s="119">
        <v>58301697</v>
      </c>
      <c r="G47" s="107">
        <f t="shared" si="10"/>
        <v>0</v>
      </c>
      <c r="H47" s="119">
        <v>5130868</v>
      </c>
      <c r="I47" s="107">
        <f t="shared" si="11"/>
        <v>0</v>
      </c>
      <c r="J47" s="119">
        <v>2543989</v>
      </c>
      <c r="K47" s="107">
        <f t="shared" si="12"/>
        <v>0</v>
      </c>
      <c r="L47" s="107">
        <f t="shared" si="13"/>
        <v>65976554</v>
      </c>
      <c r="M47" s="107">
        <f t="shared" si="14"/>
        <v>0</v>
      </c>
      <c r="N47" s="110"/>
      <c r="P47" s="171"/>
      <c r="T47" s="171"/>
    </row>
    <row r="48" spans="1:20" ht="22.5" customHeight="1">
      <c r="A48" s="101" t="s">
        <v>371</v>
      </c>
      <c r="B48" s="56" t="s">
        <v>132</v>
      </c>
      <c r="C48" s="101" t="s">
        <v>119</v>
      </c>
      <c r="D48" s="118">
        <v>0</v>
      </c>
      <c r="E48" s="101" t="s">
        <v>130</v>
      </c>
      <c r="F48" s="119">
        <v>67170931</v>
      </c>
      <c r="G48" s="107">
        <f t="shared" si="10"/>
        <v>0</v>
      </c>
      <c r="H48" s="119">
        <v>5926788</v>
      </c>
      <c r="I48" s="107">
        <f t="shared" si="11"/>
        <v>0</v>
      </c>
      <c r="J48" s="119">
        <v>5128336</v>
      </c>
      <c r="K48" s="107">
        <f t="shared" si="12"/>
        <v>0</v>
      </c>
      <c r="L48" s="107">
        <f t="shared" si="13"/>
        <v>78226055</v>
      </c>
      <c r="M48" s="107">
        <f t="shared" si="14"/>
        <v>0</v>
      </c>
      <c r="N48" s="110"/>
      <c r="P48" s="171"/>
      <c r="T48" s="171"/>
    </row>
    <row r="49" spans="1:20" ht="22.5" customHeight="1">
      <c r="A49" s="101" t="s">
        <v>372</v>
      </c>
      <c r="B49" s="56" t="s">
        <v>132</v>
      </c>
      <c r="C49" s="101" t="s">
        <v>135</v>
      </c>
      <c r="D49" s="118"/>
      <c r="E49" s="101" t="s">
        <v>130</v>
      </c>
      <c r="F49" s="119">
        <v>91562155</v>
      </c>
      <c r="G49" s="107">
        <f t="shared" si="10"/>
        <v>0</v>
      </c>
      <c r="H49" s="119">
        <v>6754833</v>
      </c>
      <c r="I49" s="107">
        <f t="shared" si="11"/>
        <v>0</v>
      </c>
      <c r="J49" s="119">
        <v>6416064</v>
      </c>
      <c r="K49" s="107">
        <f t="shared" si="12"/>
        <v>0</v>
      </c>
      <c r="L49" s="107">
        <f t="shared" si="13"/>
        <v>104733052</v>
      </c>
      <c r="M49" s="107">
        <f t="shared" si="14"/>
        <v>0</v>
      </c>
      <c r="N49" s="110"/>
      <c r="P49" s="171"/>
      <c r="T49" s="171"/>
    </row>
    <row r="50" spans="1:20" ht="22.5" customHeight="1">
      <c r="A50" s="101" t="s">
        <v>373</v>
      </c>
      <c r="B50" s="56" t="s">
        <v>132</v>
      </c>
      <c r="C50" s="101" t="s">
        <v>136</v>
      </c>
      <c r="D50" s="118">
        <v>0</v>
      </c>
      <c r="E50" s="101" t="s">
        <v>130</v>
      </c>
      <c r="F50" s="119">
        <v>101618610</v>
      </c>
      <c r="G50" s="107">
        <f t="shared" si="10"/>
        <v>0</v>
      </c>
      <c r="H50" s="119">
        <v>7151107</v>
      </c>
      <c r="I50" s="107">
        <f t="shared" si="11"/>
        <v>0</v>
      </c>
      <c r="J50" s="119">
        <v>7086024</v>
      </c>
      <c r="K50" s="107">
        <f t="shared" si="12"/>
        <v>0</v>
      </c>
      <c r="L50" s="107">
        <f t="shared" si="13"/>
        <v>115855741</v>
      </c>
      <c r="M50" s="107">
        <f t="shared" si="14"/>
        <v>0</v>
      </c>
      <c r="N50" s="110"/>
      <c r="P50" s="171"/>
      <c r="T50" s="171"/>
    </row>
    <row r="51" spans="1:20" ht="22.5" customHeight="1">
      <c r="A51" s="101"/>
      <c r="B51" s="56" t="s">
        <v>116</v>
      </c>
      <c r="C51" s="101"/>
      <c r="D51" s="169">
        <f>SUM(D46:D50)</f>
        <v>0</v>
      </c>
      <c r="E51" s="101"/>
      <c r="F51" s="119"/>
      <c r="G51" s="107">
        <f>SUM(G46:G50)</f>
        <v>0</v>
      </c>
      <c r="H51" s="107"/>
      <c r="I51" s="107">
        <f>SUM(I46:I50)</f>
        <v>0</v>
      </c>
      <c r="J51" s="107"/>
      <c r="K51" s="107">
        <f>SUM(K46:K50)</f>
        <v>0</v>
      </c>
      <c r="L51" s="107"/>
      <c r="M51" s="107">
        <f>SUM(M46:M50)</f>
        <v>0</v>
      </c>
      <c r="N51" s="110"/>
    </row>
    <row r="52" spans="1:20" ht="22.5" customHeight="1">
      <c r="A52" s="102" t="s">
        <v>137</v>
      </c>
      <c r="B52" s="102" t="s">
        <v>140</v>
      </c>
      <c r="C52" s="103" t="s">
        <v>10</v>
      </c>
      <c r="D52" s="104">
        <v>0</v>
      </c>
      <c r="E52" s="105" t="s">
        <v>10</v>
      </c>
      <c r="F52" s="111"/>
      <c r="G52" s="111" t="s">
        <v>10</v>
      </c>
      <c r="H52" s="111"/>
      <c r="I52" s="111" t="s">
        <v>10</v>
      </c>
      <c r="J52" s="111" t="s">
        <v>10</v>
      </c>
      <c r="K52" s="111" t="s">
        <v>10</v>
      </c>
      <c r="L52" s="111" t="s">
        <v>10</v>
      </c>
      <c r="M52" s="111" t="s">
        <v>10</v>
      </c>
      <c r="N52" s="112" t="s">
        <v>10</v>
      </c>
    </row>
    <row r="53" spans="1:20" ht="22.5" customHeight="1">
      <c r="A53" s="101" t="s">
        <v>396</v>
      </c>
      <c r="B53" s="56" t="s">
        <v>132</v>
      </c>
      <c r="C53" s="101" t="s">
        <v>136</v>
      </c>
      <c r="D53" s="118">
        <v>0</v>
      </c>
      <c r="E53" s="101" t="s">
        <v>130</v>
      </c>
      <c r="F53" s="119">
        <v>101618610</v>
      </c>
      <c r="G53" s="107">
        <v>0</v>
      </c>
      <c r="H53" s="119">
        <v>12875632</v>
      </c>
      <c r="I53" s="107">
        <f t="shared" ref="I53" si="15">D53*H53</f>
        <v>0</v>
      </c>
      <c r="J53" s="107">
        <v>7086025</v>
      </c>
      <c r="K53" s="107">
        <f t="shared" ref="K53" si="16">D53*J53</f>
        <v>0</v>
      </c>
      <c r="L53" s="107">
        <f t="shared" ref="L53" si="17">F53+H53+J53</f>
        <v>121580267</v>
      </c>
      <c r="M53" s="107">
        <f t="shared" ref="M53" si="18">D53*L53</f>
        <v>0</v>
      </c>
      <c r="N53" s="110"/>
    </row>
    <row r="54" spans="1:20" ht="22.5" customHeight="1">
      <c r="A54" s="101"/>
      <c r="B54" s="56" t="s">
        <v>116</v>
      </c>
      <c r="C54" s="101"/>
      <c r="D54" s="169">
        <f>SUM(D53)</f>
        <v>0</v>
      </c>
      <c r="E54" s="101"/>
      <c r="F54" s="119"/>
      <c r="G54" s="107">
        <f>SUM(G53)</f>
        <v>0</v>
      </c>
      <c r="H54" s="107"/>
      <c r="I54" s="107">
        <f>SUM(I53)</f>
        <v>0</v>
      </c>
      <c r="J54" s="107"/>
      <c r="K54" s="107">
        <f>SUM(K53)</f>
        <v>0</v>
      </c>
      <c r="L54" s="107"/>
      <c r="M54" s="107">
        <f>SUM(M53)</f>
        <v>0</v>
      </c>
      <c r="N54" s="110"/>
    </row>
    <row r="55" spans="1:20" ht="22.5" customHeight="1">
      <c r="A55" s="102" t="s">
        <v>139</v>
      </c>
      <c r="B55" s="102" t="s">
        <v>120</v>
      </c>
      <c r="C55" s="103" t="s">
        <v>10</v>
      </c>
      <c r="D55" s="104">
        <v>0</v>
      </c>
      <c r="E55" s="105" t="s">
        <v>10</v>
      </c>
      <c r="F55" s="111"/>
      <c r="G55" s="111" t="s">
        <v>10</v>
      </c>
      <c r="H55" s="111"/>
      <c r="I55" s="111" t="s">
        <v>10</v>
      </c>
      <c r="J55" s="111" t="s">
        <v>10</v>
      </c>
      <c r="K55" s="111" t="s">
        <v>10</v>
      </c>
      <c r="L55" s="111" t="s">
        <v>10</v>
      </c>
      <c r="M55" s="111" t="s">
        <v>10</v>
      </c>
      <c r="N55" s="112" t="s">
        <v>10</v>
      </c>
    </row>
    <row r="56" spans="1:20" ht="22.5" customHeight="1">
      <c r="A56" s="101" t="s">
        <v>393</v>
      </c>
      <c r="B56" s="56" t="s">
        <v>21</v>
      </c>
      <c r="C56" s="101" t="s">
        <v>121</v>
      </c>
      <c r="D56" s="169"/>
      <c r="E56" s="101" t="s">
        <v>125</v>
      </c>
      <c r="F56" s="107">
        <v>0</v>
      </c>
      <c r="G56" s="107">
        <f t="shared" ref="G56:G59" si="19">D56*F56</f>
        <v>0</v>
      </c>
      <c r="H56" s="107">
        <v>37560</v>
      </c>
      <c r="I56" s="107">
        <f t="shared" ref="I56:I59" si="20">D56*H56</f>
        <v>0</v>
      </c>
      <c r="J56" s="107">
        <v>0</v>
      </c>
      <c r="K56" s="107">
        <f t="shared" ref="K56:K59" si="21">D56*J56</f>
        <v>0</v>
      </c>
      <c r="L56" s="107">
        <f t="shared" ref="L56:L59" si="22">F56+H56+J56</f>
        <v>37560</v>
      </c>
      <c r="M56" s="107">
        <f t="shared" ref="M56:M59" si="23">D56*L56</f>
        <v>0</v>
      </c>
      <c r="N56" s="110"/>
    </row>
    <row r="57" spans="1:20" ht="22.5" customHeight="1">
      <c r="A57" s="101" t="s">
        <v>376</v>
      </c>
      <c r="B57" s="56" t="s">
        <v>123</v>
      </c>
      <c r="C57" s="101" t="s">
        <v>121</v>
      </c>
      <c r="D57" s="169"/>
      <c r="E57" s="101" t="s">
        <v>125</v>
      </c>
      <c r="F57" s="107">
        <v>12998</v>
      </c>
      <c r="G57" s="107">
        <f t="shared" si="19"/>
        <v>0</v>
      </c>
      <c r="H57" s="107">
        <v>35841</v>
      </c>
      <c r="I57" s="107">
        <f t="shared" si="20"/>
        <v>0</v>
      </c>
      <c r="J57" s="107">
        <v>3899</v>
      </c>
      <c r="K57" s="107">
        <f t="shared" si="21"/>
        <v>0</v>
      </c>
      <c r="L57" s="107">
        <f t="shared" si="22"/>
        <v>52738</v>
      </c>
      <c r="M57" s="107">
        <f t="shared" si="23"/>
        <v>0</v>
      </c>
      <c r="N57" s="110"/>
    </row>
    <row r="58" spans="1:20" ht="22.5" customHeight="1">
      <c r="A58" s="101" t="s">
        <v>377</v>
      </c>
      <c r="B58" s="56" t="s">
        <v>124</v>
      </c>
      <c r="C58" s="101" t="s">
        <v>121</v>
      </c>
      <c r="D58" s="169"/>
      <c r="E58" s="101" t="s">
        <v>125</v>
      </c>
      <c r="F58" s="119">
        <v>0</v>
      </c>
      <c r="G58" s="107">
        <f t="shared" si="19"/>
        <v>0</v>
      </c>
      <c r="H58" s="107">
        <v>0</v>
      </c>
      <c r="I58" s="107">
        <f t="shared" si="20"/>
        <v>0</v>
      </c>
      <c r="J58" s="107">
        <v>98</v>
      </c>
      <c r="K58" s="107">
        <f t="shared" si="21"/>
        <v>0</v>
      </c>
      <c r="L58" s="107">
        <f t="shared" si="22"/>
        <v>98</v>
      </c>
      <c r="M58" s="107">
        <f t="shared" si="23"/>
        <v>0</v>
      </c>
      <c r="N58" s="110" t="s">
        <v>10</v>
      </c>
    </row>
    <row r="59" spans="1:20" ht="22.5" customHeight="1">
      <c r="A59" s="101" t="s">
        <v>378</v>
      </c>
      <c r="B59" s="56" t="s">
        <v>122</v>
      </c>
      <c r="C59" s="101" t="s">
        <v>121</v>
      </c>
      <c r="D59" s="169"/>
      <c r="E59" s="101" t="s">
        <v>125</v>
      </c>
      <c r="F59" s="119">
        <v>10216</v>
      </c>
      <c r="G59" s="107">
        <f t="shared" si="19"/>
        <v>0</v>
      </c>
      <c r="H59" s="107">
        <v>58179</v>
      </c>
      <c r="I59" s="107">
        <f t="shared" si="20"/>
        <v>0</v>
      </c>
      <c r="J59" s="107">
        <v>49420</v>
      </c>
      <c r="K59" s="107">
        <f t="shared" si="21"/>
        <v>0</v>
      </c>
      <c r="L59" s="107">
        <f t="shared" si="22"/>
        <v>117815</v>
      </c>
      <c r="M59" s="107">
        <f t="shared" si="23"/>
        <v>0</v>
      </c>
      <c r="N59" s="110" t="s">
        <v>10</v>
      </c>
    </row>
    <row r="60" spans="1:20" ht="22.5" customHeight="1">
      <c r="A60" s="101"/>
      <c r="B60" s="56" t="s">
        <v>116</v>
      </c>
      <c r="C60" s="101"/>
      <c r="D60" s="169">
        <f>SUM(D56:D59)</f>
        <v>0</v>
      </c>
      <c r="E60" s="101"/>
      <c r="F60" s="119"/>
      <c r="G60" s="119">
        <f>SUM(G56:G59)</f>
        <v>0</v>
      </c>
      <c r="H60" s="119"/>
      <c r="I60" s="119">
        <f>SUM(I56:I59)</f>
        <v>0</v>
      </c>
      <c r="J60" s="119"/>
      <c r="K60" s="119">
        <f>SUM(K56:K59)</f>
        <v>0</v>
      </c>
      <c r="L60" s="119"/>
      <c r="M60" s="119">
        <f>SUM(M56:M59)</f>
        <v>0</v>
      </c>
      <c r="N60" s="110"/>
    </row>
    <row r="61" spans="1:20" ht="22.5" customHeight="1">
      <c r="A61" s="106" t="s">
        <v>45</v>
      </c>
      <c r="B61" s="106" t="s">
        <v>10</v>
      </c>
      <c r="C61" s="106" t="s">
        <v>10</v>
      </c>
      <c r="D61" s="108">
        <v>0</v>
      </c>
      <c r="E61" s="109" t="s">
        <v>10</v>
      </c>
      <c r="F61" s="113">
        <v>0</v>
      </c>
      <c r="G61" s="113">
        <f>G28+G44+G51+G60</f>
        <v>232893288</v>
      </c>
      <c r="H61" s="113">
        <v>0</v>
      </c>
      <c r="I61" s="113">
        <f>I28+I44+I51+I60</f>
        <v>35560728</v>
      </c>
      <c r="J61" s="113">
        <v>0</v>
      </c>
      <c r="K61" s="113">
        <f>K28+K44+K51+K60</f>
        <v>15974424</v>
      </c>
      <c r="L61" s="113">
        <v>0</v>
      </c>
      <c r="M61" s="113">
        <f>M28+M44+M51+M60</f>
        <v>284428440</v>
      </c>
      <c r="N61" s="114" t="s">
        <v>10</v>
      </c>
    </row>
    <row r="62" spans="1:20">
      <c r="D62" s="297">
        <f>SUM(D28,D44,D51,D54)</f>
        <v>6</v>
      </c>
    </row>
  </sheetData>
  <autoFilter ref="A4:N61"/>
  <mergeCells count="2">
    <mergeCell ref="A1:N1"/>
    <mergeCell ref="M2:N2"/>
  </mergeCells>
  <phoneticPr fontId="14" type="noConversion"/>
  <printOptions horizontalCentered="1"/>
  <pageMargins left="0.51181102362204722" right="0.51181102362204722" top="0.82677165354330717" bottom="0.86614173228346458" header="0.51181102362204722" footer="0.59055118110236227"/>
  <pageSetup paperSize="9" scale="63" fitToHeight="0" orientation="landscape" horizontalDpi="360" verticalDpi="36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Q15"/>
  <sheetViews>
    <sheetView view="pageBreakPreview" zoomScale="85" zoomScaleNormal="100" zoomScaleSheetLayoutView="85" workbookViewId="0">
      <selection activeCell="D7" sqref="D7"/>
    </sheetView>
  </sheetViews>
  <sheetFormatPr defaultRowHeight="16.5"/>
  <cols>
    <col min="1" max="1" width="10.125" style="268" customWidth="1"/>
    <col min="2" max="2" width="10.625" style="268" customWidth="1"/>
    <col min="3" max="3" width="8.25" style="268" customWidth="1"/>
    <col min="4" max="4" width="20.375" style="268" customWidth="1"/>
    <col min="5" max="5" width="10.625" style="268" customWidth="1"/>
    <col min="6" max="7" width="11.5" style="268" customWidth="1"/>
    <col min="8" max="8" width="55.5" style="268" customWidth="1"/>
    <col min="9" max="9" width="18" style="268" bestFit="1" customWidth="1"/>
    <col min="10" max="16384" width="9" style="268"/>
  </cols>
  <sheetData>
    <row r="1" spans="1:17" s="260" customFormat="1" ht="35.1" customHeight="1">
      <c r="A1" s="359" t="s">
        <v>410</v>
      </c>
      <c r="B1" s="360"/>
      <c r="C1" s="360"/>
      <c r="D1" s="360"/>
      <c r="E1" s="360"/>
      <c r="F1" s="360"/>
      <c r="G1" s="360"/>
      <c r="H1" s="360"/>
      <c r="I1" s="361"/>
      <c r="J1" s="259"/>
      <c r="K1" s="259"/>
      <c r="L1" s="259"/>
      <c r="M1" s="259"/>
      <c r="N1" s="259"/>
    </row>
    <row r="2" spans="1:17" s="263" customFormat="1" ht="19.5" customHeight="1">
      <c r="A2" s="362" t="s">
        <v>289</v>
      </c>
      <c r="B2" s="363"/>
      <c r="C2" s="363"/>
      <c r="D2" s="363"/>
      <c r="E2" s="363"/>
      <c r="F2" s="261"/>
      <c r="G2" s="261"/>
      <c r="H2" s="261"/>
      <c r="I2" s="262" t="s">
        <v>442</v>
      </c>
      <c r="J2" s="261"/>
      <c r="K2" s="261"/>
      <c r="L2" s="261"/>
    </row>
    <row r="3" spans="1:17" ht="28.5" customHeight="1">
      <c r="A3" s="264" t="s">
        <v>330</v>
      </c>
      <c r="B3" s="265" t="s">
        <v>331</v>
      </c>
      <c r="C3" s="265" t="s">
        <v>332</v>
      </c>
      <c r="D3" s="265" t="s">
        <v>333</v>
      </c>
      <c r="E3" s="265" t="s">
        <v>334</v>
      </c>
      <c r="F3" s="266" t="s">
        <v>335</v>
      </c>
      <c r="G3" s="266" t="s">
        <v>336</v>
      </c>
      <c r="H3" s="266" t="s">
        <v>337</v>
      </c>
      <c r="I3" s="267" t="s">
        <v>338</v>
      </c>
    </row>
    <row r="4" spans="1:17" s="285" customFormat="1" ht="28.5" customHeight="1">
      <c r="A4" s="269" t="s">
        <v>343</v>
      </c>
      <c r="B4" s="266" t="s">
        <v>339</v>
      </c>
      <c r="C4" s="266">
        <v>2026</v>
      </c>
      <c r="D4" s="266" t="s">
        <v>446</v>
      </c>
      <c r="E4" s="266" t="s">
        <v>273</v>
      </c>
      <c r="F4" s="266">
        <v>2</v>
      </c>
      <c r="G4" s="266" t="s">
        <v>340</v>
      </c>
      <c r="H4" s="266" t="s">
        <v>424</v>
      </c>
      <c r="I4" s="267"/>
    </row>
    <row r="5" spans="1:17" s="285" customFormat="1" ht="28.5" customHeight="1">
      <c r="A5" s="269" t="s">
        <v>343</v>
      </c>
      <c r="B5" s="266" t="s">
        <v>339</v>
      </c>
      <c r="C5" s="266">
        <v>2026</v>
      </c>
      <c r="D5" s="266" t="s">
        <v>446</v>
      </c>
      <c r="E5" s="266" t="s">
        <v>273</v>
      </c>
      <c r="F5" s="266">
        <v>2</v>
      </c>
      <c r="G5" s="266" t="s">
        <v>340</v>
      </c>
      <c r="H5" s="266" t="s">
        <v>424</v>
      </c>
      <c r="I5" s="271"/>
    </row>
    <row r="6" spans="1:17" s="285" customFormat="1" ht="28.5" customHeight="1">
      <c r="A6" s="269" t="s">
        <v>343</v>
      </c>
      <c r="B6" s="266" t="s">
        <v>339</v>
      </c>
      <c r="C6" s="266">
        <v>2026</v>
      </c>
      <c r="D6" s="266" t="s">
        <v>447</v>
      </c>
      <c r="E6" s="266" t="s">
        <v>273</v>
      </c>
      <c r="F6" s="266">
        <v>2</v>
      </c>
      <c r="G6" s="266" t="s">
        <v>340</v>
      </c>
      <c r="H6" s="266" t="s">
        <v>422</v>
      </c>
      <c r="I6" s="292"/>
    </row>
    <row r="7" spans="1:17" ht="28.5" customHeight="1">
      <c r="A7" s="269"/>
      <c r="B7" s="266"/>
      <c r="C7" s="266"/>
      <c r="E7" s="270"/>
      <c r="F7" s="266"/>
      <c r="G7" s="266"/>
      <c r="H7" s="266"/>
      <c r="I7" s="274"/>
    </row>
    <row r="8" spans="1:17" ht="28.5" customHeight="1">
      <c r="A8" s="275"/>
      <c r="B8" s="276"/>
      <c r="C8" s="272"/>
      <c r="D8" s="272"/>
      <c r="E8" s="273"/>
      <c r="F8" s="272"/>
      <c r="G8" s="272"/>
      <c r="H8" s="272"/>
      <c r="I8" s="274"/>
    </row>
    <row r="9" spans="1:17" ht="28.5" customHeight="1">
      <c r="A9" s="275"/>
      <c r="B9" s="276"/>
      <c r="C9" s="272"/>
      <c r="D9" s="272"/>
      <c r="E9" s="273"/>
      <c r="F9" s="272"/>
      <c r="G9" s="272"/>
      <c r="H9" s="272"/>
      <c r="I9" s="274"/>
    </row>
    <row r="10" spans="1:17" ht="28.5" customHeight="1">
      <c r="A10" s="275"/>
      <c r="B10" s="276"/>
      <c r="C10" s="272"/>
      <c r="D10" s="272"/>
      <c r="E10" s="273"/>
      <c r="F10" s="272"/>
      <c r="G10" s="272"/>
      <c r="H10" s="272"/>
      <c r="I10" s="274"/>
    </row>
    <row r="11" spans="1:17" ht="28.5" customHeight="1">
      <c r="A11" s="275"/>
      <c r="B11" s="276"/>
      <c r="C11" s="272"/>
      <c r="D11" s="272"/>
      <c r="E11" s="273"/>
      <c r="F11" s="272"/>
      <c r="G11" s="272"/>
      <c r="H11" s="272"/>
      <c r="I11" s="274"/>
      <c r="Q11" s="277"/>
    </row>
    <row r="12" spans="1:17" ht="28.5" customHeight="1">
      <c r="A12" s="275"/>
      <c r="B12" s="276"/>
      <c r="C12" s="272"/>
      <c r="D12" s="272"/>
      <c r="E12" s="273"/>
      <c r="F12" s="272"/>
      <c r="G12" s="272"/>
      <c r="H12" s="272"/>
      <c r="I12" s="274"/>
    </row>
    <row r="13" spans="1:17" ht="28.5" customHeight="1">
      <c r="A13" s="275"/>
      <c r="B13" s="276"/>
      <c r="C13" s="272"/>
      <c r="D13" s="272"/>
      <c r="E13" s="273"/>
      <c r="F13" s="272"/>
      <c r="G13" s="272"/>
      <c r="H13" s="272"/>
      <c r="I13" s="274"/>
    </row>
    <row r="14" spans="1:17" ht="28.5" customHeight="1" thickBot="1">
      <c r="A14" s="278"/>
      <c r="B14" s="279"/>
      <c r="C14" s="280"/>
      <c r="D14" s="280"/>
      <c r="E14" s="281"/>
      <c r="F14" s="280"/>
      <c r="G14" s="282"/>
      <c r="H14" s="282"/>
      <c r="I14" s="283"/>
    </row>
    <row r="15" spans="1:17" ht="27.75" customHeight="1">
      <c r="F15" s="268">
        <f>SUM(F4:F14)</f>
        <v>6</v>
      </c>
    </row>
  </sheetData>
  <mergeCells count="2">
    <mergeCell ref="A1:I1"/>
    <mergeCell ref="A2:E2"/>
  </mergeCells>
  <phoneticPr fontId="14" type="noConversion"/>
  <pageMargins left="0.7" right="0.7" top="0.75" bottom="0.75" header="0.3" footer="0.3"/>
  <pageSetup paperSize="9" scale="5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DN41"/>
  <sheetViews>
    <sheetView view="pageBreakPreview" zoomScale="85" zoomScaleNormal="90" zoomScaleSheetLayoutView="85" workbookViewId="0">
      <pane xSplit="10" ySplit="3" topLeftCell="K4" activePane="bottomRight" state="frozen"/>
      <selection activeCell="G32" sqref="G32"/>
      <selection pane="topRight" activeCell="G32" sqref="G32"/>
      <selection pane="bottomLeft" activeCell="G32" sqref="G32"/>
      <selection pane="bottomRight" activeCell="K13" sqref="K13"/>
    </sheetView>
  </sheetViews>
  <sheetFormatPr defaultRowHeight="34.700000000000003" customHeight="1"/>
  <cols>
    <col min="1" max="1" width="4.625" style="1" customWidth="1"/>
    <col min="2" max="2" width="27.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4.625" style="38" customWidth="1"/>
    <col min="8" max="8" width="10.625" style="40" customWidth="1"/>
    <col min="9" max="9" width="9.875" style="38" customWidth="1"/>
    <col min="10" max="10" width="18.125" style="38" bestFit="1" customWidth="1"/>
    <col min="11" max="11" width="18.125" style="40" bestFit="1" customWidth="1"/>
    <col min="12" max="12" width="18.125" style="40" customWidth="1"/>
    <col min="13" max="13" width="9.625" style="5" customWidth="1"/>
    <col min="14" max="233" width="9" style="1"/>
    <col min="234" max="234" width="4.625" style="1" customWidth="1"/>
    <col min="235" max="235" width="34.625" style="1" customWidth="1"/>
    <col min="236" max="236" width="11.625" style="1" customWidth="1"/>
    <col min="237" max="238" width="6.625" style="1" customWidth="1"/>
    <col min="239" max="239" width="10.625" style="1" customWidth="1"/>
    <col min="240" max="240" width="14.625" style="1" customWidth="1"/>
    <col min="241" max="241" width="10.625" style="1" customWidth="1"/>
    <col min="242" max="242" width="14.625" style="1" customWidth="1"/>
    <col min="243" max="243" width="10.625" style="1" customWidth="1"/>
    <col min="244" max="244" width="14.625" style="1" customWidth="1"/>
    <col min="245" max="245" width="10.625" style="1" customWidth="1"/>
    <col min="246" max="246" width="18.625" style="1" customWidth="1"/>
    <col min="247" max="247" width="9.625" style="1" customWidth="1"/>
    <col min="248" max="248" width="10.5" style="1" customWidth="1"/>
    <col min="249" max="249" width="20.375" style="1" bestFit="1" customWidth="1"/>
    <col min="250" max="250" width="12.5" style="1" customWidth="1"/>
    <col min="251" max="251" width="13.125" style="1" customWidth="1"/>
    <col min="252" max="256" width="9" style="1"/>
    <col min="257" max="257" width="11.25" style="1" bestFit="1" customWidth="1"/>
    <col min="258" max="258" width="11.625" style="1" bestFit="1" customWidth="1"/>
    <col min="259" max="489" width="9" style="1"/>
    <col min="490" max="490" width="4.625" style="1" customWidth="1"/>
    <col min="491" max="491" width="34.625" style="1" customWidth="1"/>
    <col min="492" max="492" width="11.625" style="1" customWidth="1"/>
    <col min="493" max="494" width="6.625" style="1" customWidth="1"/>
    <col min="495" max="495" width="10.625" style="1" customWidth="1"/>
    <col min="496" max="496" width="14.625" style="1" customWidth="1"/>
    <col min="497" max="497" width="10.625" style="1" customWidth="1"/>
    <col min="498" max="498" width="14.625" style="1" customWidth="1"/>
    <col min="499" max="499" width="10.625" style="1" customWidth="1"/>
    <col min="500" max="500" width="14.625" style="1" customWidth="1"/>
    <col min="501" max="501" width="10.625" style="1" customWidth="1"/>
    <col min="502" max="502" width="18.625" style="1" customWidth="1"/>
    <col min="503" max="503" width="9.625" style="1" customWidth="1"/>
    <col min="504" max="504" width="10.5" style="1" customWidth="1"/>
    <col min="505" max="505" width="20.375" style="1" bestFit="1" customWidth="1"/>
    <col min="506" max="506" width="12.5" style="1" customWidth="1"/>
    <col min="507" max="507" width="13.125" style="1" customWidth="1"/>
    <col min="508" max="512" width="9" style="1"/>
    <col min="513" max="513" width="11.25" style="1" bestFit="1" customWidth="1"/>
    <col min="514" max="514" width="11.625" style="1" bestFit="1" customWidth="1"/>
    <col min="515" max="745" width="9" style="1"/>
    <col min="746" max="746" width="4.625" style="1" customWidth="1"/>
    <col min="747" max="747" width="34.625" style="1" customWidth="1"/>
    <col min="748" max="748" width="11.625" style="1" customWidth="1"/>
    <col min="749" max="750" width="6.625" style="1" customWidth="1"/>
    <col min="751" max="751" width="10.625" style="1" customWidth="1"/>
    <col min="752" max="752" width="14.625" style="1" customWidth="1"/>
    <col min="753" max="753" width="10.625" style="1" customWidth="1"/>
    <col min="754" max="754" width="14.625" style="1" customWidth="1"/>
    <col min="755" max="755" width="10.625" style="1" customWidth="1"/>
    <col min="756" max="756" width="14.625" style="1" customWidth="1"/>
    <col min="757" max="757" width="10.625" style="1" customWidth="1"/>
    <col min="758" max="758" width="18.625" style="1" customWidth="1"/>
    <col min="759" max="759" width="9.625" style="1" customWidth="1"/>
    <col min="760" max="760" width="10.5" style="1" customWidth="1"/>
    <col min="761" max="761" width="20.375" style="1" bestFit="1" customWidth="1"/>
    <col min="762" max="762" width="12.5" style="1" customWidth="1"/>
    <col min="763" max="763" width="13.125" style="1" customWidth="1"/>
    <col min="764" max="768" width="9" style="1"/>
    <col min="769" max="769" width="11.25" style="1" bestFit="1" customWidth="1"/>
    <col min="770" max="770" width="11.625" style="1" bestFit="1" customWidth="1"/>
    <col min="771" max="1001" width="9" style="1"/>
    <col min="1002" max="1002" width="4.625" style="1" customWidth="1"/>
    <col min="1003" max="1003" width="34.625" style="1" customWidth="1"/>
    <col min="1004" max="1004" width="11.625" style="1" customWidth="1"/>
    <col min="1005" max="1006" width="6.625" style="1" customWidth="1"/>
    <col min="1007" max="1007" width="10.625" style="1" customWidth="1"/>
    <col min="1008" max="1008" width="14.625" style="1" customWidth="1"/>
    <col min="1009" max="1009" width="10.625" style="1" customWidth="1"/>
    <col min="1010" max="1010" width="14.625" style="1" customWidth="1"/>
    <col min="1011" max="1011" width="10.625" style="1" customWidth="1"/>
    <col min="1012" max="1012" width="14.625" style="1" customWidth="1"/>
    <col min="1013" max="1013" width="10.625" style="1" customWidth="1"/>
    <col min="1014" max="1014" width="18.625" style="1" customWidth="1"/>
    <col min="1015" max="1015" width="9.625" style="1" customWidth="1"/>
    <col min="1016" max="1016" width="10.5" style="1" customWidth="1"/>
    <col min="1017" max="1017" width="20.375" style="1" bestFit="1" customWidth="1"/>
    <col min="1018" max="1018" width="12.5" style="1" customWidth="1"/>
    <col min="1019" max="1019" width="13.125" style="1" customWidth="1"/>
    <col min="1020" max="1024" width="9" style="1"/>
    <col min="1025" max="1025" width="11.25" style="1" bestFit="1" customWidth="1"/>
    <col min="1026" max="1026" width="11.625" style="1" bestFit="1" customWidth="1"/>
    <col min="1027" max="1257" width="9" style="1"/>
    <col min="1258" max="1258" width="4.625" style="1" customWidth="1"/>
    <col min="1259" max="1259" width="34.625" style="1" customWidth="1"/>
    <col min="1260" max="1260" width="11.625" style="1" customWidth="1"/>
    <col min="1261" max="1262" width="6.625" style="1" customWidth="1"/>
    <col min="1263" max="1263" width="10.625" style="1" customWidth="1"/>
    <col min="1264" max="1264" width="14.625" style="1" customWidth="1"/>
    <col min="1265" max="1265" width="10.625" style="1" customWidth="1"/>
    <col min="1266" max="1266" width="14.625" style="1" customWidth="1"/>
    <col min="1267" max="1267" width="10.625" style="1" customWidth="1"/>
    <col min="1268" max="1268" width="14.625" style="1" customWidth="1"/>
    <col min="1269" max="1269" width="10.625" style="1" customWidth="1"/>
    <col min="1270" max="1270" width="18.625" style="1" customWidth="1"/>
    <col min="1271" max="1271" width="9.625" style="1" customWidth="1"/>
    <col min="1272" max="1272" width="10.5" style="1" customWidth="1"/>
    <col min="1273" max="1273" width="20.375" style="1" bestFit="1" customWidth="1"/>
    <col min="1274" max="1274" width="12.5" style="1" customWidth="1"/>
    <col min="1275" max="1275" width="13.125" style="1" customWidth="1"/>
    <col min="1276" max="1280" width="9" style="1"/>
    <col min="1281" max="1281" width="11.25" style="1" bestFit="1" customWidth="1"/>
    <col min="1282" max="1282" width="11.625" style="1" bestFit="1" customWidth="1"/>
    <col min="1283" max="1513" width="9" style="1"/>
    <col min="1514" max="1514" width="4.625" style="1" customWidth="1"/>
    <col min="1515" max="1515" width="34.625" style="1" customWidth="1"/>
    <col min="1516" max="1516" width="11.625" style="1" customWidth="1"/>
    <col min="1517" max="1518" width="6.625" style="1" customWidth="1"/>
    <col min="1519" max="1519" width="10.625" style="1" customWidth="1"/>
    <col min="1520" max="1520" width="14.625" style="1" customWidth="1"/>
    <col min="1521" max="1521" width="10.625" style="1" customWidth="1"/>
    <col min="1522" max="1522" width="14.625" style="1" customWidth="1"/>
    <col min="1523" max="1523" width="10.625" style="1" customWidth="1"/>
    <col min="1524" max="1524" width="14.625" style="1" customWidth="1"/>
    <col min="1525" max="1525" width="10.625" style="1" customWidth="1"/>
    <col min="1526" max="1526" width="18.625" style="1" customWidth="1"/>
    <col min="1527" max="1527" width="9.625" style="1" customWidth="1"/>
    <col min="1528" max="1528" width="10.5" style="1" customWidth="1"/>
    <col min="1529" max="1529" width="20.375" style="1" bestFit="1" customWidth="1"/>
    <col min="1530" max="1530" width="12.5" style="1" customWidth="1"/>
    <col min="1531" max="1531" width="13.125" style="1" customWidth="1"/>
    <col min="1532" max="1536" width="9" style="1"/>
    <col min="1537" max="1537" width="11.25" style="1" bestFit="1" customWidth="1"/>
    <col min="1538" max="1538" width="11.625" style="1" bestFit="1" customWidth="1"/>
    <col min="1539" max="1769" width="9" style="1"/>
    <col min="1770" max="1770" width="4.625" style="1" customWidth="1"/>
    <col min="1771" max="1771" width="34.625" style="1" customWidth="1"/>
    <col min="1772" max="1772" width="11.625" style="1" customWidth="1"/>
    <col min="1773" max="1774" width="6.625" style="1" customWidth="1"/>
    <col min="1775" max="1775" width="10.625" style="1" customWidth="1"/>
    <col min="1776" max="1776" width="14.625" style="1" customWidth="1"/>
    <col min="1777" max="1777" width="10.625" style="1" customWidth="1"/>
    <col min="1778" max="1778" width="14.625" style="1" customWidth="1"/>
    <col min="1779" max="1779" width="10.625" style="1" customWidth="1"/>
    <col min="1780" max="1780" width="14.625" style="1" customWidth="1"/>
    <col min="1781" max="1781" width="10.625" style="1" customWidth="1"/>
    <col min="1782" max="1782" width="18.625" style="1" customWidth="1"/>
    <col min="1783" max="1783" width="9.625" style="1" customWidth="1"/>
    <col min="1784" max="1784" width="10.5" style="1" customWidth="1"/>
    <col min="1785" max="1785" width="20.375" style="1" bestFit="1" customWidth="1"/>
    <col min="1786" max="1786" width="12.5" style="1" customWidth="1"/>
    <col min="1787" max="1787" width="13.125" style="1" customWidth="1"/>
    <col min="1788" max="1792" width="9" style="1"/>
    <col min="1793" max="1793" width="11.25" style="1" bestFit="1" customWidth="1"/>
    <col min="1794" max="1794" width="11.625" style="1" bestFit="1" customWidth="1"/>
    <col min="1795" max="2025" width="9" style="1"/>
    <col min="2026" max="2026" width="4.625" style="1" customWidth="1"/>
    <col min="2027" max="2027" width="34.625" style="1" customWidth="1"/>
    <col min="2028" max="2028" width="11.625" style="1" customWidth="1"/>
    <col min="2029" max="2030" width="6.625" style="1" customWidth="1"/>
    <col min="2031" max="2031" width="10.625" style="1" customWidth="1"/>
    <col min="2032" max="2032" width="14.625" style="1" customWidth="1"/>
    <col min="2033" max="2033" width="10.625" style="1" customWidth="1"/>
    <col min="2034" max="2034" width="14.625" style="1" customWidth="1"/>
    <col min="2035" max="2035" width="10.625" style="1" customWidth="1"/>
    <col min="2036" max="2036" width="14.625" style="1" customWidth="1"/>
    <col min="2037" max="2037" width="10.625" style="1" customWidth="1"/>
    <col min="2038" max="2038" width="18.625" style="1" customWidth="1"/>
    <col min="2039" max="2039" width="9.625" style="1" customWidth="1"/>
    <col min="2040" max="2040" width="10.5" style="1" customWidth="1"/>
    <col min="2041" max="2041" width="20.375" style="1" bestFit="1" customWidth="1"/>
    <col min="2042" max="2042" width="12.5" style="1" customWidth="1"/>
    <col min="2043" max="2043" width="13.125" style="1" customWidth="1"/>
    <col min="2044" max="2048" width="9" style="1"/>
    <col min="2049" max="2049" width="11.25" style="1" bestFit="1" customWidth="1"/>
    <col min="2050" max="2050" width="11.625" style="1" bestFit="1" customWidth="1"/>
    <col min="2051" max="2281" width="9" style="1"/>
    <col min="2282" max="2282" width="4.625" style="1" customWidth="1"/>
    <col min="2283" max="2283" width="34.625" style="1" customWidth="1"/>
    <col min="2284" max="2284" width="11.625" style="1" customWidth="1"/>
    <col min="2285" max="2286" width="6.625" style="1" customWidth="1"/>
    <col min="2287" max="2287" width="10.625" style="1" customWidth="1"/>
    <col min="2288" max="2288" width="14.625" style="1" customWidth="1"/>
    <col min="2289" max="2289" width="10.625" style="1" customWidth="1"/>
    <col min="2290" max="2290" width="14.625" style="1" customWidth="1"/>
    <col min="2291" max="2291" width="10.625" style="1" customWidth="1"/>
    <col min="2292" max="2292" width="14.625" style="1" customWidth="1"/>
    <col min="2293" max="2293" width="10.625" style="1" customWidth="1"/>
    <col min="2294" max="2294" width="18.625" style="1" customWidth="1"/>
    <col min="2295" max="2295" width="9.625" style="1" customWidth="1"/>
    <col min="2296" max="2296" width="10.5" style="1" customWidth="1"/>
    <col min="2297" max="2297" width="20.375" style="1" bestFit="1" customWidth="1"/>
    <col min="2298" max="2298" width="12.5" style="1" customWidth="1"/>
    <col min="2299" max="2299" width="13.125" style="1" customWidth="1"/>
    <col min="2300" max="2304" width="9" style="1"/>
    <col min="2305" max="2305" width="11.25" style="1" bestFit="1" customWidth="1"/>
    <col min="2306" max="2306" width="11.625" style="1" bestFit="1" customWidth="1"/>
    <col min="2307" max="2537" width="9" style="1"/>
    <col min="2538" max="2538" width="4.625" style="1" customWidth="1"/>
    <col min="2539" max="2539" width="34.625" style="1" customWidth="1"/>
    <col min="2540" max="2540" width="11.625" style="1" customWidth="1"/>
    <col min="2541" max="2542" width="6.625" style="1" customWidth="1"/>
    <col min="2543" max="2543" width="10.625" style="1" customWidth="1"/>
    <col min="2544" max="2544" width="14.625" style="1" customWidth="1"/>
    <col min="2545" max="2545" width="10.625" style="1" customWidth="1"/>
    <col min="2546" max="2546" width="14.625" style="1" customWidth="1"/>
    <col min="2547" max="2547" width="10.625" style="1" customWidth="1"/>
    <col min="2548" max="2548" width="14.625" style="1" customWidth="1"/>
    <col min="2549" max="2549" width="10.625" style="1" customWidth="1"/>
    <col min="2550" max="2550" width="18.625" style="1" customWidth="1"/>
    <col min="2551" max="2551" width="9.625" style="1" customWidth="1"/>
    <col min="2552" max="2552" width="10.5" style="1" customWidth="1"/>
    <col min="2553" max="2553" width="20.375" style="1" bestFit="1" customWidth="1"/>
    <col min="2554" max="2554" width="12.5" style="1" customWidth="1"/>
    <col min="2555" max="2555" width="13.125" style="1" customWidth="1"/>
    <col min="2556" max="2560" width="9" style="1"/>
    <col min="2561" max="2561" width="11.25" style="1" bestFit="1" customWidth="1"/>
    <col min="2562" max="2562" width="11.625" style="1" bestFit="1" customWidth="1"/>
    <col min="2563" max="2793" width="9" style="1"/>
    <col min="2794" max="2794" width="4.625" style="1" customWidth="1"/>
    <col min="2795" max="2795" width="34.625" style="1" customWidth="1"/>
    <col min="2796" max="2796" width="11.625" style="1" customWidth="1"/>
    <col min="2797" max="2798" width="6.625" style="1" customWidth="1"/>
    <col min="2799" max="2799" width="10.625" style="1" customWidth="1"/>
    <col min="2800" max="2800" width="14.625" style="1" customWidth="1"/>
    <col min="2801" max="2801" width="10.625" style="1" customWidth="1"/>
    <col min="2802" max="2802" width="14.625" style="1" customWidth="1"/>
    <col min="2803" max="2803" width="10.625" style="1" customWidth="1"/>
    <col min="2804" max="2804" width="14.625" style="1" customWidth="1"/>
    <col min="2805" max="2805" width="10.625" style="1" customWidth="1"/>
    <col min="2806" max="2806" width="18.625" style="1" customWidth="1"/>
    <col min="2807" max="2807" width="9.625" style="1" customWidth="1"/>
    <col min="2808" max="2808" width="10.5" style="1" customWidth="1"/>
    <col min="2809" max="2809" width="20.375" style="1" bestFit="1" customWidth="1"/>
    <col min="2810" max="2810" width="12.5" style="1" customWidth="1"/>
    <col min="2811" max="2811" width="13.125" style="1" customWidth="1"/>
    <col min="2812" max="2816" width="9" style="1"/>
    <col min="2817" max="2817" width="11.25" style="1" bestFit="1" customWidth="1"/>
    <col min="2818" max="2818" width="11.625" style="1" bestFit="1" customWidth="1"/>
    <col min="2819" max="3049" width="9" style="1"/>
    <col min="3050" max="3050" width="4.625" style="1" customWidth="1"/>
    <col min="3051" max="3051" width="34.625" style="1" customWidth="1"/>
    <col min="3052" max="3052" width="11.625" style="1" customWidth="1"/>
    <col min="3053" max="3054" width="6.625" style="1" customWidth="1"/>
    <col min="3055" max="3055" width="10.625" style="1" customWidth="1"/>
    <col min="3056" max="3056" width="14.625" style="1" customWidth="1"/>
    <col min="3057" max="3057" width="10.625" style="1" customWidth="1"/>
    <col min="3058" max="3058" width="14.625" style="1" customWidth="1"/>
    <col min="3059" max="3059" width="10.625" style="1" customWidth="1"/>
    <col min="3060" max="3060" width="14.625" style="1" customWidth="1"/>
    <col min="3061" max="3061" width="10.625" style="1" customWidth="1"/>
    <col min="3062" max="3062" width="18.625" style="1" customWidth="1"/>
    <col min="3063" max="3063" width="9.625" style="1" customWidth="1"/>
    <col min="3064" max="3064" width="10.5" style="1" customWidth="1"/>
    <col min="3065" max="3065" width="20.375" style="1" bestFit="1" customWidth="1"/>
    <col min="3066" max="3066" width="12.5" style="1" customWidth="1"/>
    <col min="3067" max="3067" width="13.125" style="1" customWidth="1"/>
    <col min="3068" max="3072" width="9" style="1"/>
    <col min="3073" max="3073" width="11.25" style="1" bestFit="1" customWidth="1"/>
    <col min="3074" max="3074" width="11.625" style="1" bestFit="1" customWidth="1"/>
    <col min="3075" max="3305" width="9" style="1"/>
    <col min="3306" max="3306" width="4.625" style="1" customWidth="1"/>
    <col min="3307" max="3307" width="34.625" style="1" customWidth="1"/>
    <col min="3308" max="3308" width="11.625" style="1" customWidth="1"/>
    <col min="3309" max="3310" width="6.625" style="1" customWidth="1"/>
    <col min="3311" max="3311" width="10.625" style="1" customWidth="1"/>
    <col min="3312" max="3312" width="14.625" style="1" customWidth="1"/>
    <col min="3313" max="3313" width="10.625" style="1" customWidth="1"/>
    <col min="3314" max="3314" width="14.625" style="1" customWidth="1"/>
    <col min="3315" max="3315" width="10.625" style="1" customWidth="1"/>
    <col min="3316" max="3316" width="14.625" style="1" customWidth="1"/>
    <col min="3317" max="3317" width="10.625" style="1" customWidth="1"/>
    <col min="3318" max="3318" width="18.625" style="1" customWidth="1"/>
    <col min="3319" max="3319" width="9.625" style="1" customWidth="1"/>
    <col min="3320" max="3320" width="10.5" style="1" customWidth="1"/>
    <col min="3321" max="3321" width="20.375" style="1" bestFit="1" customWidth="1"/>
    <col min="3322" max="3322" width="12.5" style="1" customWidth="1"/>
    <col min="3323" max="3323" width="13.125" style="1" customWidth="1"/>
    <col min="3324" max="3328" width="9" style="1"/>
    <col min="3329" max="3329" width="11.25" style="1" bestFit="1" customWidth="1"/>
    <col min="3330" max="3330" width="11.625" style="1" bestFit="1" customWidth="1"/>
    <col min="3331" max="3561" width="9" style="1"/>
    <col min="3562" max="3562" width="4.625" style="1" customWidth="1"/>
    <col min="3563" max="3563" width="34.625" style="1" customWidth="1"/>
    <col min="3564" max="3564" width="11.625" style="1" customWidth="1"/>
    <col min="3565" max="3566" width="6.625" style="1" customWidth="1"/>
    <col min="3567" max="3567" width="10.625" style="1" customWidth="1"/>
    <col min="3568" max="3568" width="14.625" style="1" customWidth="1"/>
    <col min="3569" max="3569" width="10.625" style="1" customWidth="1"/>
    <col min="3570" max="3570" width="14.625" style="1" customWidth="1"/>
    <col min="3571" max="3571" width="10.625" style="1" customWidth="1"/>
    <col min="3572" max="3572" width="14.625" style="1" customWidth="1"/>
    <col min="3573" max="3573" width="10.625" style="1" customWidth="1"/>
    <col min="3574" max="3574" width="18.625" style="1" customWidth="1"/>
    <col min="3575" max="3575" width="9.625" style="1" customWidth="1"/>
    <col min="3576" max="3576" width="10.5" style="1" customWidth="1"/>
    <col min="3577" max="3577" width="20.375" style="1" bestFit="1" customWidth="1"/>
    <col min="3578" max="3578" width="12.5" style="1" customWidth="1"/>
    <col min="3579" max="3579" width="13.125" style="1" customWidth="1"/>
    <col min="3580" max="3584" width="9" style="1"/>
    <col min="3585" max="3585" width="11.25" style="1" bestFit="1" customWidth="1"/>
    <col min="3586" max="3586" width="11.625" style="1" bestFit="1" customWidth="1"/>
    <col min="3587" max="3817" width="9" style="1"/>
    <col min="3818" max="3818" width="4.625" style="1" customWidth="1"/>
    <col min="3819" max="3819" width="34.625" style="1" customWidth="1"/>
    <col min="3820" max="3820" width="11.625" style="1" customWidth="1"/>
    <col min="3821" max="3822" width="6.625" style="1" customWidth="1"/>
    <col min="3823" max="3823" width="10.625" style="1" customWidth="1"/>
    <col min="3824" max="3824" width="14.625" style="1" customWidth="1"/>
    <col min="3825" max="3825" width="10.625" style="1" customWidth="1"/>
    <col min="3826" max="3826" width="14.625" style="1" customWidth="1"/>
    <col min="3827" max="3827" width="10.625" style="1" customWidth="1"/>
    <col min="3828" max="3828" width="14.625" style="1" customWidth="1"/>
    <col min="3829" max="3829" width="10.625" style="1" customWidth="1"/>
    <col min="3830" max="3830" width="18.625" style="1" customWidth="1"/>
    <col min="3831" max="3831" width="9.625" style="1" customWidth="1"/>
    <col min="3832" max="3832" width="10.5" style="1" customWidth="1"/>
    <col min="3833" max="3833" width="20.375" style="1" bestFit="1" customWidth="1"/>
    <col min="3834" max="3834" width="12.5" style="1" customWidth="1"/>
    <col min="3835" max="3835" width="13.125" style="1" customWidth="1"/>
    <col min="3836" max="3840" width="9" style="1"/>
    <col min="3841" max="3841" width="11.25" style="1" bestFit="1" customWidth="1"/>
    <col min="3842" max="3842" width="11.625" style="1" bestFit="1" customWidth="1"/>
    <col min="3843" max="4073" width="9" style="1"/>
    <col min="4074" max="4074" width="4.625" style="1" customWidth="1"/>
    <col min="4075" max="4075" width="34.625" style="1" customWidth="1"/>
    <col min="4076" max="4076" width="11.625" style="1" customWidth="1"/>
    <col min="4077" max="4078" width="6.625" style="1" customWidth="1"/>
    <col min="4079" max="4079" width="10.625" style="1" customWidth="1"/>
    <col min="4080" max="4080" width="14.625" style="1" customWidth="1"/>
    <col min="4081" max="4081" width="10.625" style="1" customWidth="1"/>
    <col min="4082" max="4082" width="14.625" style="1" customWidth="1"/>
    <col min="4083" max="4083" width="10.625" style="1" customWidth="1"/>
    <col min="4084" max="4084" width="14.625" style="1" customWidth="1"/>
    <col min="4085" max="4085" width="10.625" style="1" customWidth="1"/>
    <col min="4086" max="4086" width="18.625" style="1" customWidth="1"/>
    <col min="4087" max="4087" width="9.625" style="1" customWidth="1"/>
    <col min="4088" max="4088" width="10.5" style="1" customWidth="1"/>
    <col min="4089" max="4089" width="20.375" style="1" bestFit="1" customWidth="1"/>
    <col min="4090" max="4090" width="12.5" style="1" customWidth="1"/>
    <col min="4091" max="4091" width="13.125" style="1" customWidth="1"/>
    <col min="4092" max="4096" width="9" style="1"/>
    <col min="4097" max="4097" width="11.25" style="1" bestFit="1" customWidth="1"/>
    <col min="4098" max="4098" width="11.625" style="1" bestFit="1" customWidth="1"/>
    <col min="4099" max="4329" width="9" style="1"/>
    <col min="4330" max="4330" width="4.625" style="1" customWidth="1"/>
    <col min="4331" max="4331" width="34.625" style="1" customWidth="1"/>
    <col min="4332" max="4332" width="11.625" style="1" customWidth="1"/>
    <col min="4333" max="4334" width="6.625" style="1" customWidth="1"/>
    <col min="4335" max="4335" width="10.625" style="1" customWidth="1"/>
    <col min="4336" max="4336" width="14.625" style="1" customWidth="1"/>
    <col min="4337" max="4337" width="10.625" style="1" customWidth="1"/>
    <col min="4338" max="4338" width="14.625" style="1" customWidth="1"/>
    <col min="4339" max="4339" width="10.625" style="1" customWidth="1"/>
    <col min="4340" max="4340" width="14.625" style="1" customWidth="1"/>
    <col min="4341" max="4341" width="10.625" style="1" customWidth="1"/>
    <col min="4342" max="4342" width="18.625" style="1" customWidth="1"/>
    <col min="4343" max="4343" width="9.625" style="1" customWidth="1"/>
    <col min="4344" max="4344" width="10.5" style="1" customWidth="1"/>
    <col min="4345" max="4345" width="20.375" style="1" bestFit="1" customWidth="1"/>
    <col min="4346" max="4346" width="12.5" style="1" customWidth="1"/>
    <col min="4347" max="4347" width="13.125" style="1" customWidth="1"/>
    <col min="4348" max="4352" width="9" style="1"/>
    <col min="4353" max="4353" width="11.25" style="1" bestFit="1" customWidth="1"/>
    <col min="4354" max="4354" width="11.625" style="1" bestFit="1" customWidth="1"/>
    <col min="4355" max="4585" width="9" style="1"/>
    <col min="4586" max="4586" width="4.625" style="1" customWidth="1"/>
    <col min="4587" max="4587" width="34.625" style="1" customWidth="1"/>
    <col min="4588" max="4588" width="11.625" style="1" customWidth="1"/>
    <col min="4589" max="4590" width="6.625" style="1" customWidth="1"/>
    <col min="4591" max="4591" width="10.625" style="1" customWidth="1"/>
    <col min="4592" max="4592" width="14.625" style="1" customWidth="1"/>
    <col min="4593" max="4593" width="10.625" style="1" customWidth="1"/>
    <col min="4594" max="4594" width="14.625" style="1" customWidth="1"/>
    <col min="4595" max="4595" width="10.625" style="1" customWidth="1"/>
    <col min="4596" max="4596" width="14.625" style="1" customWidth="1"/>
    <col min="4597" max="4597" width="10.625" style="1" customWidth="1"/>
    <col min="4598" max="4598" width="18.625" style="1" customWidth="1"/>
    <col min="4599" max="4599" width="9.625" style="1" customWidth="1"/>
    <col min="4600" max="4600" width="10.5" style="1" customWidth="1"/>
    <col min="4601" max="4601" width="20.375" style="1" bestFit="1" customWidth="1"/>
    <col min="4602" max="4602" width="12.5" style="1" customWidth="1"/>
    <col min="4603" max="4603" width="13.125" style="1" customWidth="1"/>
    <col min="4604" max="4608" width="9" style="1"/>
    <col min="4609" max="4609" width="11.25" style="1" bestFit="1" customWidth="1"/>
    <col min="4610" max="4610" width="11.625" style="1" bestFit="1" customWidth="1"/>
    <col min="4611" max="4841" width="9" style="1"/>
    <col min="4842" max="4842" width="4.625" style="1" customWidth="1"/>
    <col min="4843" max="4843" width="34.625" style="1" customWidth="1"/>
    <col min="4844" max="4844" width="11.625" style="1" customWidth="1"/>
    <col min="4845" max="4846" width="6.625" style="1" customWidth="1"/>
    <col min="4847" max="4847" width="10.625" style="1" customWidth="1"/>
    <col min="4848" max="4848" width="14.625" style="1" customWidth="1"/>
    <col min="4849" max="4849" width="10.625" style="1" customWidth="1"/>
    <col min="4850" max="4850" width="14.625" style="1" customWidth="1"/>
    <col min="4851" max="4851" width="10.625" style="1" customWidth="1"/>
    <col min="4852" max="4852" width="14.625" style="1" customWidth="1"/>
    <col min="4853" max="4853" width="10.625" style="1" customWidth="1"/>
    <col min="4854" max="4854" width="18.625" style="1" customWidth="1"/>
    <col min="4855" max="4855" width="9.625" style="1" customWidth="1"/>
    <col min="4856" max="4856" width="10.5" style="1" customWidth="1"/>
    <col min="4857" max="4857" width="20.375" style="1" bestFit="1" customWidth="1"/>
    <col min="4858" max="4858" width="12.5" style="1" customWidth="1"/>
    <col min="4859" max="4859" width="13.125" style="1" customWidth="1"/>
    <col min="4860" max="4864" width="9" style="1"/>
    <col min="4865" max="4865" width="11.25" style="1" bestFit="1" customWidth="1"/>
    <col min="4866" max="4866" width="11.625" style="1" bestFit="1" customWidth="1"/>
    <col min="4867" max="5097" width="9" style="1"/>
    <col min="5098" max="5098" width="4.625" style="1" customWidth="1"/>
    <col min="5099" max="5099" width="34.625" style="1" customWidth="1"/>
    <col min="5100" max="5100" width="11.625" style="1" customWidth="1"/>
    <col min="5101" max="5102" width="6.625" style="1" customWidth="1"/>
    <col min="5103" max="5103" width="10.625" style="1" customWidth="1"/>
    <col min="5104" max="5104" width="14.625" style="1" customWidth="1"/>
    <col min="5105" max="5105" width="10.625" style="1" customWidth="1"/>
    <col min="5106" max="5106" width="14.625" style="1" customWidth="1"/>
    <col min="5107" max="5107" width="10.625" style="1" customWidth="1"/>
    <col min="5108" max="5108" width="14.625" style="1" customWidth="1"/>
    <col min="5109" max="5109" width="10.625" style="1" customWidth="1"/>
    <col min="5110" max="5110" width="18.625" style="1" customWidth="1"/>
    <col min="5111" max="5111" width="9.625" style="1" customWidth="1"/>
    <col min="5112" max="5112" width="10.5" style="1" customWidth="1"/>
    <col min="5113" max="5113" width="20.375" style="1" bestFit="1" customWidth="1"/>
    <col min="5114" max="5114" width="12.5" style="1" customWidth="1"/>
    <col min="5115" max="5115" width="13.125" style="1" customWidth="1"/>
    <col min="5116" max="5120" width="9" style="1"/>
    <col min="5121" max="5121" width="11.25" style="1" bestFit="1" customWidth="1"/>
    <col min="5122" max="5122" width="11.625" style="1" bestFit="1" customWidth="1"/>
    <col min="5123" max="5353" width="9" style="1"/>
    <col min="5354" max="5354" width="4.625" style="1" customWidth="1"/>
    <col min="5355" max="5355" width="34.625" style="1" customWidth="1"/>
    <col min="5356" max="5356" width="11.625" style="1" customWidth="1"/>
    <col min="5357" max="5358" width="6.625" style="1" customWidth="1"/>
    <col min="5359" max="5359" width="10.625" style="1" customWidth="1"/>
    <col min="5360" max="5360" width="14.625" style="1" customWidth="1"/>
    <col min="5361" max="5361" width="10.625" style="1" customWidth="1"/>
    <col min="5362" max="5362" width="14.625" style="1" customWidth="1"/>
    <col min="5363" max="5363" width="10.625" style="1" customWidth="1"/>
    <col min="5364" max="5364" width="14.625" style="1" customWidth="1"/>
    <col min="5365" max="5365" width="10.625" style="1" customWidth="1"/>
    <col min="5366" max="5366" width="18.625" style="1" customWidth="1"/>
    <col min="5367" max="5367" width="9.625" style="1" customWidth="1"/>
    <col min="5368" max="5368" width="10.5" style="1" customWidth="1"/>
    <col min="5369" max="5369" width="20.375" style="1" bestFit="1" customWidth="1"/>
    <col min="5370" max="5370" width="12.5" style="1" customWidth="1"/>
    <col min="5371" max="5371" width="13.125" style="1" customWidth="1"/>
    <col min="5372" max="5376" width="9" style="1"/>
    <col min="5377" max="5377" width="11.25" style="1" bestFit="1" customWidth="1"/>
    <col min="5378" max="5378" width="11.625" style="1" bestFit="1" customWidth="1"/>
    <col min="5379" max="5609" width="9" style="1"/>
    <col min="5610" max="5610" width="4.625" style="1" customWidth="1"/>
    <col min="5611" max="5611" width="34.625" style="1" customWidth="1"/>
    <col min="5612" max="5612" width="11.625" style="1" customWidth="1"/>
    <col min="5613" max="5614" width="6.625" style="1" customWidth="1"/>
    <col min="5615" max="5615" width="10.625" style="1" customWidth="1"/>
    <col min="5616" max="5616" width="14.625" style="1" customWidth="1"/>
    <col min="5617" max="5617" width="10.625" style="1" customWidth="1"/>
    <col min="5618" max="5618" width="14.625" style="1" customWidth="1"/>
    <col min="5619" max="5619" width="10.625" style="1" customWidth="1"/>
    <col min="5620" max="5620" width="14.625" style="1" customWidth="1"/>
    <col min="5621" max="5621" width="10.625" style="1" customWidth="1"/>
    <col min="5622" max="5622" width="18.625" style="1" customWidth="1"/>
    <col min="5623" max="5623" width="9.625" style="1" customWidth="1"/>
    <col min="5624" max="5624" width="10.5" style="1" customWidth="1"/>
    <col min="5625" max="5625" width="20.375" style="1" bestFit="1" customWidth="1"/>
    <col min="5626" max="5626" width="12.5" style="1" customWidth="1"/>
    <col min="5627" max="5627" width="13.125" style="1" customWidth="1"/>
    <col min="5628" max="5632" width="9" style="1"/>
    <col min="5633" max="5633" width="11.25" style="1" bestFit="1" customWidth="1"/>
    <col min="5634" max="5634" width="11.625" style="1" bestFit="1" customWidth="1"/>
    <col min="5635" max="5865" width="9" style="1"/>
    <col min="5866" max="5866" width="4.625" style="1" customWidth="1"/>
    <col min="5867" max="5867" width="34.625" style="1" customWidth="1"/>
    <col min="5868" max="5868" width="11.625" style="1" customWidth="1"/>
    <col min="5869" max="5870" width="6.625" style="1" customWidth="1"/>
    <col min="5871" max="5871" width="10.625" style="1" customWidth="1"/>
    <col min="5872" max="5872" width="14.625" style="1" customWidth="1"/>
    <col min="5873" max="5873" width="10.625" style="1" customWidth="1"/>
    <col min="5874" max="5874" width="14.625" style="1" customWidth="1"/>
    <col min="5875" max="5875" width="10.625" style="1" customWidth="1"/>
    <col min="5876" max="5876" width="14.625" style="1" customWidth="1"/>
    <col min="5877" max="5877" width="10.625" style="1" customWidth="1"/>
    <col min="5878" max="5878" width="18.625" style="1" customWidth="1"/>
    <col min="5879" max="5879" width="9.625" style="1" customWidth="1"/>
    <col min="5880" max="5880" width="10.5" style="1" customWidth="1"/>
    <col min="5881" max="5881" width="20.375" style="1" bestFit="1" customWidth="1"/>
    <col min="5882" max="5882" width="12.5" style="1" customWidth="1"/>
    <col min="5883" max="5883" width="13.125" style="1" customWidth="1"/>
    <col min="5884" max="5888" width="9" style="1"/>
    <col min="5889" max="5889" width="11.25" style="1" bestFit="1" customWidth="1"/>
    <col min="5890" max="5890" width="11.625" style="1" bestFit="1" customWidth="1"/>
    <col min="5891" max="6121" width="9" style="1"/>
    <col min="6122" max="6122" width="4.625" style="1" customWidth="1"/>
    <col min="6123" max="6123" width="34.625" style="1" customWidth="1"/>
    <col min="6124" max="6124" width="11.625" style="1" customWidth="1"/>
    <col min="6125" max="6126" width="6.625" style="1" customWidth="1"/>
    <col min="6127" max="6127" width="10.625" style="1" customWidth="1"/>
    <col min="6128" max="6128" width="14.625" style="1" customWidth="1"/>
    <col min="6129" max="6129" width="10.625" style="1" customWidth="1"/>
    <col min="6130" max="6130" width="14.625" style="1" customWidth="1"/>
    <col min="6131" max="6131" width="10.625" style="1" customWidth="1"/>
    <col min="6132" max="6132" width="14.625" style="1" customWidth="1"/>
    <col min="6133" max="6133" width="10.625" style="1" customWidth="1"/>
    <col min="6134" max="6134" width="18.625" style="1" customWidth="1"/>
    <col min="6135" max="6135" width="9.625" style="1" customWidth="1"/>
    <col min="6136" max="6136" width="10.5" style="1" customWidth="1"/>
    <col min="6137" max="6137" width="20.375" style="1" bestFit="1" customWidth="1"/>
    <col min="6138" max="6138" width="12.5" style="1" customWidth="1"/>
    <col min="6139" max="6139" width="13.125" style="1" customWidth="1"/>
    <col min="6140" max="6144" width="9" style="1"/>
    <col min="6145" max="6145" width="11.25" style="1" bestFit="1" customWidth="1"/>
    <col min="6146" max="6146" width="11.625" style="1" bestFit="1" customWidth="1"/>
    <col min="6147" max="6377" width="9" style="1"/>
    <col min="6378" max="6378" width="4.625" style="1" customWidth="1"/>
    <col min="6379" max="6379" width="34.625" style="1" customWidth="1"/>
    <col min="6380" max="6380" width="11.625" style="1" customWidth="1"/>
    <col min="6381" max="6382" width="6.625" style="1" customWidth="1"/>
    <col min="6383" max="6383" width="10.625" style="1" customWidth="1"/>
    <col min="6384" max="6384" width="14.625" style="1" customWidth="1"/>
    <col min="6385" max="6385" width="10.625" style="1" customWidth="1"/>
    <col min="6386" max="6386" width="14.625" style="1" customWidth="1"/>
    <col min="6387" max="6387" width="10.625" style="1" customWidth="1"/>
    <col min="6388" max="6388" width="14.625" style="1" customWidth="1"/>
    <col min="6389" max="6389" width="10.625" style="1" customWidth="1"/>
    <col min="6390" max="6390" width="18.625" style="1" customWidth="1"/>
    <col min="6391" max="6391" width="9.625" style="1" customWidth="1"/>
    <col min="6392" max="6392" width="10.5" style="1" customWidth="1"/>
    <col min="6393" max="6393" width="20.375" style="1" bestFit="1" customWidth="1"/>
    <col min="6394" max="6394" width="12.5" style="1" customWidth="1"/>
    <col min="6395" max="6395" width="13.125" style="1" customWidth="1"/>
    <col min="6396" max="6400" width="9" style="1"/>
    <col min="6401" max="6401" width="11.25" style="1" bestFit="1" customWidth="1"/>
    <col min="6402" max="6402" width="11.625" style="1" bestFit="1" customWidth="1"/>
    <col min="6403" max="6633" width="9" style="1"/>
    <col min="6634" max="6634" width="4.625" style="1" customWidth="1"/>
    <col min="6635" max="6635" width="34.625" style="1" customWidth="1"/>
    <col min="6636" max="6636" width="11.625" style="1" customWidth="1"/>
    <col min="6637" max="6638" width="6.625" style="1" customWidth="1"/>
    <col min="6639" max="6639" width="10.625" style="1" customWidth="1"/>
    <col min="6640" max="6640" width="14.625" style="1" customWidth="1"/>
    <col min="6641" max="6641" width="10.625" style="1" customWidth="1"/>
    <col min="6642" max="6642" width="14.625" style="1" customWidth="1"/>
    <col min="6643" max="6643" width="10.625" style="1" customWidth="1"/>
    <col min="6644" max="6644" width="14.625" style="1" customWidth="1"/>
    <col min="6645" max="6645" width="10.625" style="1" customWidth="1"/>
    <col min="6646" max="6646" width="18.625" style="1" customWidth="1"/>
    <col min="6647" max="6647" width="9.625" style="1" customWidth="1"/>
    <col min="6648" max="6648" width="10.5" style="1" customWidth="1"/>
    <col min="6649" max="6649" width="20.375" style="1" bestFit="1" customWidth="1"/>
    <col min="6650" max="6650" width="12.5" style="1" customWidth="1"/>
    <col min="6651" max="6651" width="13.125" style="1" customWidth="1"/>
    <col min="6652" max="6656" width="9" style="1"/>
    <col min="6657" max="6657" width="11.25" style="1" bestFit="1" customWidth="1"/>
    <col min="6658" max="6658" width="11.625" style="1" bestFit="1" customWidth="1"/>
    <col min="6659" max="6889" width="9" style="1"/>
    <col min="6890" max="6890" width="4.625" style="1" customWidth="1"/>
    <col min="6891" max="6891" width="34.625" style="1" customWidth="1"/>
    <col min="6892" max="6892" width="11.625" style="1" customWidth="1"/>
    <col min="6893" max="6894" width="6.625" style="1" customWidth="1"/>
    <col min="6895" max="6895" width="10.625" style="1" customWidth="1"/>
    <col min="6896" max="6896" width="14.625" style="1" customWidth="1"/>
    <col min="6897" max="6897" width="10.625" style="1" customWidth="1"/>
    <col min="6898" max="6898" width="14.625" style="1" customWidth="1"/>
    <col min="6899" max="6899" width="10.625" style="1" customWidth="1"/>
    <col min="6900" max="6900" width="14.625" style="1" customWidth="1"/>
    <col min="6901" max="6901" width="10.625" style="1" customWidth="1"/>
    <col min="6902" max="6902" width="18.625" style="1" customWidth="1"/>
    <col min="6903" max="6903" width="9.625" style="1" customWidth="1"/>
    <col min="6904" max="6904" width="10.5" style="1" customWidth="1"/>
    <col min="6905" max="6905" width="20.375" style="1" bestFit="1" customWidth="1"/>
    <col min="6906" max="6906" width="12.5" style="1" customWidth="1"/>
    <col min="6907" max="6907" width="13.125" style="1" customWidth="1"/>
    <col min="6908" max="6912" width="9" style="1"/>
    <col min="6913" max="6913" width="11.25" style="1" bestFit="1" customWidth="1"/>
    <col min="6914" max="6914" width="11.625" style="1" bestFit="1" customWidth="1"/>
    <col min="6915" max="7145" width="9" style="1"/>
    <col min="7146" max="7146" width="4.625" style="1" customWidth="1"/>
    <col min="7147" max="7147" width="34.625" style="1" customWidth="1"/>
    <col min="7148" max="7148" width="11.625" style="1" customWidth="1"/>
    <col min="7149" max="7150" width="6.625" style="1" customWidth="1"/>
    <col min="7151" max="7151" width="10.625" style="1" customWidth="1"/>
    <col min="7152" max="7152" width="14.625" style="1" customWidth="1"/>
    <col min="7153" max="7153" width="10.625" style="1" customWidth="1"/>
    <col min="7154" max="7154" width="14.625" style="1" customWidth="1"/>
    <col min="7155" max="7155" width="10.625" style="1" customWidth="1"/>
    <col min="7156" max="7156" width="14.625" style="1" customWidth="1"/>
    <col min="7157" max="7157" width="10.625" style="1" customWidth="1"/>
    <col min="7158" max="7158" width="18.625" style="1" customWidth="1"/>
    <col min="7159" max="7159" width="9.625" style="1" customWidth="1"/>
    <col min="7160" max="7160" width="10.5" style="1" customWidth="1"/>
    <col min="7161" max="7161" width="20.375" style="1" bestFit="1" customWidth="1"/>
    <col min="7162" max="7162" width="12.5" style="1" customWidth="1"/>
    <col min="7163" max="7163" width="13.125" style="1" customWidth="1"/>
    <col min="7164" max="7168" width="9" style="1"/>
    <col min="7169" max="7169" width="11.25" style="1" bestFit="1" customWidth="1"/>
    <col min="7170" max="7170" width="11.625" style="1" bestFit="1" customWidth="1"/>
    <col min="7171" max="7401" width="9" style="1"/>
    <col min="7402" max="7402" width="4.625" style="1" customWidth="1"/>
    <col min="7403" max="7403" width="34.625" style="1" customWidth="1"/>
    <col min="7404" max="7404" width="11.625" style="1" customWidth="1"/>
    <col min="7405" max="7406" width="6.625" style="1" customWidth="1"/>
    <col min="7407" max="7407" width="10.625" style="1" customWidth="1"/>
    <col min="7408" max="7408" width="14.625" style="1" customWidth="1"/>
    <col min="7409" max="7409" width="10.625" style="1" customWidth="1"/>
    <col min="7410" max="7410" width="14.625" style="1" customWidth="1"/>
    <col min="7411" max="7411" width="10.625" style="1" customWidth="1"/>
    <col min="7412" max="7412" width="14.625" style="1" customWidth="1"/>
    <col min="7413" max="7413" width="10.625" style="1" customWidth="1"/>
    <col min="7414" max="7414" width="18.625" style="1" customWidth="1"/>
    <col min="7415" max="7415" width="9.625" style="1" customWidth="1"/>
    <col min="7416" max="7416" width="10.5" style="1" customWidth="1"/>
    <col min="7417" max="7417" width="20.375" style="1" bestFit="1" customWidth="1"/>
    <col min="7418" max="7418" width="12.5" style="1" customWidth="1"/>
    <col min="7419" max="7419" width="13.125" style="1" customWidth="1"/>
    <col min="7420" max="7424" width="9" style="1"/>
    <col min="7425" max="7425" width="11.25" style="1" bestFit="1" customWidth="1"/>
    <col min="7426" max="7426" width="11.625" style="1" bestFit="1" customWidth="1"/>
    <col min="7427" max="7657" width="9" style="1"/>
    <col min="7658" max="7658" width="4.625" style="1" customWidth="1"/>
    <col min="7659" max="7659" width="34.625" style="1" customWidth="1"/>
    <col min="7660" max="7660" width="11.625" style="1" customWidth="1"/>
    <col min="7661" max="7662" width="6.625" style="1" customWidth="1"/>
    <col min="7663" max="7663" width="10.625" style="1" customWidth="1"/>
    <col min="7664" max="7664" width="14.625" style="1" customWidth="1"/>
    <col min="7665" max="7665" width="10.625" style="1" customWidth="1"/>
    <col min="7666" max="7666" width="14.625" style="1" customWidth="1"/>
    <col min="7667" max="7667" width="10.625" style="1" customWidth="1"/>
    <col min="7668" max="7668" width="14.625" style="1" customWidth="1"/>
    <col min="7669" max="7669" width="10.625" style="1" customWidth="1"/>
    <col min="7670" max="7670" width="18.625" style="1" customWidth="1"/>
    <col min="7671" max="7671" width="9.625" style="1" customWidth="1"/>
    <col min="7672" max="7672" width="10.5" style="1" customWidth="1"/>
    <col min="7673" max="7673" width="20.375" style="1" bestFit="1" customWidth="1"/>
    <col min="7674" max="7674" width="12.5" style="1" customWidth="1"/>
    <col min="7675" max="7675" width="13.125" style="1" customWidth="1"/>
    <col min="7676" max="7680" width="9" style="1"/>
    <col min="7681" max="7681" width="11.25" style="1" bestFit="1" customWidth="1"/>
    <col min="7682" max="7682" width="11.625" style="1" bestFit="1" customWidth="1"/>
    <col min="7683" max="7913" width="9" style="1"/>
    <col min="7914" max="7914" width="4.625" style="1" customWidth="1"/>
    <col min="7915" max="7915" width="34.625" style="1" customWidth="1"/>
    <col min="7916" max="7916" width="11.625" style="1" customWidth="1"/>
    <col min="7917" max="7918" width="6.625" style="1" customWidth="1"/>
    <col min="7919" max="7919" width="10.625" style="1" customWidth="1"/>
    <col min="7920" max="7920" width="14.625" style="1" customWidth="1"/>
    <col min="7921" max="7921" width="10.625" style="1" customWidth="1"/>
    <col min="7922" max="7922" width="14.625" style="1" customWidth="1"/>
    <col min="7923" max="7923" width="10.625" style="1" customWidth="1"/>
    <col min="7924" max="7924" width="14.625" style="1" customWidth="1"/>
    <col min="7925" max="7925" width="10.625" style="1" customWidth="1"/>
    <col min="7926" max="7926" width="18.625" style="1" customWidth="1"/>
    <col min="7927" max="7927" width="9.625" style="1" customWidth="1"/>
    <col min="7928" max="7928" width="10.5" style="1" customWidth="1"/>
    <col min="7929" max="7929" width="20.375" style="1" bestFit="1" customWidth="1"/>
    <col min="7930" max="7930" width="12.5" style="1" customWidth="1"/>
    <col min="7931" max="7931" width="13.125" style="1" customWidth="1"/>
    <col min="7932" max="7936" width="9" style="1"/>
    <col min="7937" max="7937" width="11.25" style="1" bestFit="1" customWidth="1"/>
    <col min="7938" max="7938" width="11.625" style="1" bestFit="1" customWidth="1"/>
    <col min="7939" max="8169" width="9" style="1"/>
    <col min="8170" max="8170" width="4.625" style="1" customWidth="1"/>
    <col min="8171" max="8171" width="34.625" style="1" customWidth="1"/>
    <col min="8172" max="8172" width="11.625" style="1" customWidth="1"/>
    <col min="8173" max="8174" width="6.625" style="1" customWidth="1"/>
    <col min="8175" max="8175" width="10.625" style="1" customWidth="1"/>
    <col min="8176" max="8176" width="14.625" style="1" customWidth="1"/>
    <col min="8177" max="8177" width="10.625" style="1" customWidth="1"/>
    <col min="8178" max="8178" width="14.625" style="1" customWidth="1"/>
    <col min="8179" max="8179" width="10.625" style="1" customWidth="1"/>
    <col min="8180" max="8180" width="14.625" style="1" customWidth="1"/>
    <col min="8181" max="8181" width="10.625" style="1" customWidth="1"/>
    <col min="8182" max="8182" width="18.625" style="1" customWidth="1"/>
    <col min="8183" max="8183" width="9.625" style="1" customWidth="1"/>
    <col min="8184" max="8184" width="10.5" style="1" customWidth="1"/>
    <col min="8185" max="8185" width="20.375" style="1" bestFit="1" customWidth="1"/>
    <col min="8186" max="8186" width="12.5" style="1" customWidth="1"/>
    <col min="8187" max="8187" width="13.125" style="1" customWidth="1"/>
    <col min="8188" max="8192" width="9" style="1"/>
    <col min="8193" max="8193" width="11.25" style="1" bestFit="1" customWidth="1"/>
    <col min="8194" max="8194" width="11.625" style="1" bestFit="1" customWidth="1"/>
    <col min="8195" max="8425" width="9" style="1"/>
    <col min="8426" max="8426" width="4.625" style="1" customWidth="1"/>
    <col min="8427" max="8427" width="34.625" style="1" customWidth="1"/>
    <col min="8428" max="8428" width="11.625" style="1" customWidth="1"/>
    <col min="8429" max="8430" width="6.625" style="1" customWidth="1"/>
    <col min="8431" max="8431" width="10.625" style="1" customWidth="1"/>
    <col min="8432" max="8432" width="14.625" style="1" customWidth="1"/>
    <col min="8433" max="8433" width="10.625" style="1" customWidth="1"/>
    <col min="8434" max="8434" width="14.625" style="1" customWidth="1"/>
    <col min="8435" max="8435" width="10.625" style="1" customWidth="1"/>
    <col min="8436" max="8436" width="14.625" style="1" customWidth="1"/>
    <col min="8437" max="8437" width="10.625" style="1" customWidth="1"/>
    <col min="8438" max="8438" width="18.625" style="1" customWidth="1"/>
    <col min="8439" max="8439" width="9.625" style="1" customWidth="1"/>
    <col min="8440" max="8440" width="10.5" style="1" customWidth="1"/>
    <col min="8441" max="8441" width="20.375" style="1" bestFit="1" customWidth="1"/>
    <col min="8442" max="8442" width="12.5" style="1" customWidth="1"/>
    <col min="8443" max="8443" width="13.125" style="1" customWidth="1"/>
    <col min="8444" max="8448" width="9" style="1"/>
    <col min="8449" max="8449" width="11.25" style="1" bestFit="1" customWidth="1"/>
    <col min="8450" max="8450" width="11.625" style="1" bestFit="1" customWidth="1"/>
    <col min="8451" max="8681" width="9" style="1"/>
    <col min="8682" max="8682" width="4.625" style="1" customWidth="1"/>
    <col min="8683" max="8683" width="34.625" style="1" customWidth="1"/>
    <col min="8684" max="8684" width="11.625" style="1" customWidth="1"/>
    <col min="8685" max="8686" width="6.625" style="1" customWidth="1"/>
    <col min="8687" max="8687" width="10.625" style="1" customWidth="1"/>
    <col min="8688" max="8688" width="14.625" style="1" customWidth="1"/>
    <col min="8689" max="8689" width="10.625" style="1" customWidth="1"/>
    <col min="8690" max="8690" width="14.625" style="1" customWidth="1"/>
    <col min="8691" max="8691" width="10.625" style="1" customWidth="1"/>
    <col min="8692" max="8692" width="14.625" style="1" customWidth="1"/>
    <col min="8693" max="8693" width="10.625" style="1" customWidth="1"/>
    <col min="8694" max="8694" width="18.625" style="1" customWidth="1"/>
    <col min="8695" max="8695" width="9.625" style="1" customWidth="1"/>
    <col min="8696" max="8696" width="10.5" style="1" customWidth="1"/>
    <col min="8697" max="8697" width="20.375" style="1" bestFit="1" customWidth="1"/>
    <col min="8698" max="8698" width="12.5" style="1" customWidth="1"/>
    <col min="8699" max="8699" width="13.125" style="1" customWidth="1"/>
    <col min="8700" max="8704" width="9" style="1"/>
    <col min="8705" max="8705" width="11.25" style="1" bestFit="1" customWidth="1"/>
    <col min="8706" max="8706" width="11.625" style="1" bestFit="1" customWidth="1"/>
    <col min="8707" max="8937" width="9" style="1"/>
    <col min="8938" max="8938" width="4.625" style="1" customWidth="1"/>
    <col min="8939" max="8939" width="34.625" style="1" customWidth="1"/>
    <col min="8940" max="8940" width="11.625" style="1" customWidth="1"/>
    <col min="8941" max="8942" width="6.625" style="1" customWidth="1"/>
    <col min="8943" max="8943" width="10.625" style="1" customWidth="1"/>
    <col min="8944" max="8944" width="14.625" style="1" customWidth="1"/>
    <col min="8945" max="8945" width="10.625" style="1" customWidth="1"/>
    <col min="8946" max="8946" width="14.625" style="1" customWidth="1"/>
    <col min="8947" max="8947" width="10.625" style="1" customWidth="1"/>
    <col min="8948" max="8948" width="14.625" style="1" customWidth="1"/>
    <col min="8949" max="8949" width="10.625" style="1" customWidth="1"/>
    <col min="8950" max="8950" width="18.625" style="1" customWidth="1"/>
    <col min="8951" max="8951" width="9.625" style="1" customWidth="1"/>
    <col min="8952" max="8952" width="10.5" style="1" customWidth="1"/>
    <col min="8953" max="8953" width="20.375" style="1" bestFit="1" customWidth="1"/>
    <col min="8954" max="8954" width="12.5" style="1" customWidth="1"/>
    <col min="8955" max="8955" width="13.125" style="1" customWidth="1"/>
    <col min="8956" max="8960" width="9" style="1"/>
    <col min="8961" max="8961" width="11.25" style="1" bestFit="1" customWidth="1"/>
    <col min="8962" max="8962" width="11.625" style="1" bestFit="1" customWidth="1"/>
    <col min="8963" max="9193" width="9" style="1"/>
    <col min="9194" max="9194" width="4.625" style="1" customWidth="1"/>
    <col min="9195" max="9195" width="34.625" style="1" customWidth="1"/>
    <col min="9196" max="9196" width="11.625" style="1" customWidth="1"/>
    <col min="9197" max="9198" width="6.625" style="1" customWidth="1"/>
    <col min="9199" max="9199" width="10.625" style="1" customWidth="1"/>
    <col min="9200" max="9200" width="14.625" style="1" customWidth="1"/>
    <col min="9201" max="9201" width="10.625" style="1" customWidth="1"/>
    <col min="9202" max="9202" width="14.625" style="1" customWidth="1"/>
    <col min="9203" max="9203" width="10.625" style="1" customWidth="1"/>
    <col min="9204" max="9204" width="14.625" style="1" customWidth="1"/>
    <col min="9205" max="9205" width="10.625" style="1" customWidth="1"/>
    <col min="9206" max="9206" width="18.625" style="1" customWidth="1"/>
    <col min="9207" max="9207" width="9.625" style="1" customWidth="1"/>
    <col min="9208" max="9208" width="10.5" style="1" customWidth="1"/>
    <col min="9209" max="9209" width="20.375" style="1" bestFit="1" customWidth="1"/>
    <col min="9210" max="9210" width="12.5" style="1" customWidth="1"/>
    <col min="9211" max="9211" width="13.125" style="1" customWidth="1"/>
    <col min="9212" max="9216" width="9" style="1"/>
    <col min="9217" max="9217" width="11.25" style="1" bestFit="1" customWidth="1"/>
    <col min="9218" max="9218" width="11.625" style="1" bestFit="1" customWidth="1"/>
    <col min="9219" max="9449" width="9" style="1"/>
    <col min="9450" max="9450" width="4.625" style="1" customWidth="1"/>
    <col min="9451" max="9451" width="34.625" style="1" customWidth="1"/>
    <col min="9452" max="9452" width="11.625" style="1" customWidth="1"/>
    <col min="9453" max="9454" width="6.625" style="1" customWidth="1"/>
    <col min="9455" max="9455" width="10.625" style="1" customWidth="1"/>
    <col min="9456" max="9456" width="14.625" style="1" customWidth="1"/>
    <col min="9457" max="9457" width="10.625" style="1" customWidth="1"/>
    <col min="9458" max="9458" width="14.625" style="1" customWidth="1"/>
    <col min="9459" max="9459" width="10.625" style="1" customWidth="1"/>
    <col min="9460" max="9460" width="14.625" style="1" customWidth="1"/>
    <col min="9461" max="9461" width="10.625" style="1" customWidth="1"/>
    <col min="9462" max="9462" width="18.625" style="1" customWidth="1"/>
    <col min="9463" max="9463" width="9.625" style="1" customWidth="1"/>
    <col min="9464" max="9464" width="10.5" style="1" customWidth="1"/>
    <col min="9465" max="9465" width="20.375" style="1" bestFit="1" customWidth="1"/>
    <col min="9466" max="9466" width="12.5" style="1" customWidth="1"/>
    <col min="9467" max="9467" width="13.125" style="1" customWidth="1"/>
    <col min="9468" max="9472" width="9" style="1"/>
    <col min="9473" max="9473" width="11.25" style="1" bestFit="1" customWidth="1"/>
    <col min="9474" max="9474" width="11.625" style="1" bestFit="1" customWidth="1"/>
    <col min="9475" max="9705" width="9" style="1"/>
    <col min="9706" max="9706" width="4.625" style="1" customWidth="1"/>
    <col min="9707" max="9707" width="34.625" style="1" customWidth="1"/>
    <col min="9708" max="9708" width="11.625" style="1" customWidth="1"/>
    <col min="9709" max="9710" width="6.625" style="1" customWidth="1"/>
    <col min="9711" max="9711" width="10.625" style="1" customWidth="1"/>
    <col min="9712" max="9712" width="14.625" style="1" customWidth="1"/>
    <col min="9713" max="9713" width="10.625" style="1" customWidth="1"/>
    <col min="9714" max="9714" width="14.625" style="1" customWidth="1"/>
    <col min="9715" max="9715" width="10.625" style="1" customWidth="1"/>
    <col min="9716" max="9716" width="14.625" style="1" customWidth="1"/>
    <col min="9717" max="9717" width="10.625" style="1" customWidth="1"/>
    <col min="9718" max="9718" width="18.625" style="1" customWidth="1"/>
    <col min="9719" max="9719" width="9.625" style="1" customWidth="1"/>
    <col min="9720" max="9720" width="10.5" style="1" customWidth="1"/>
    <col min="9721" max="9721" width="20.375" style="1" bestFit="1" customWidth="1"/>
    <col min="9722" max="9722" width="12.5" style="1" customWidth="1"/>
    <col min="9723" max="9723" width="13.125" style="1" customWidth="1"/>
    <col min="9724" max="9728" width="9" style="1"/>
    <col min="9729" max="9729" width="11.25" style="1" bestFit="1" customWidth="1"/>
    <col min="9730" max="9730" width="11.625" style="1" bestFit="1" customWidth="1"/>
    <col min="9731" max="9961" width="9" style="1"/>
    <col min="9962" max="9962" width="4.625" style="1" customWidth="1"/>
    <col min="9963" max="9963" width="34.625" style="1" customWidth="1"/>
    <col min="9964" max="9964" width="11.625" style="1" customWidth="1"/>
    <col min="9965" max="9966" width="6.625" style="1" customWidth="1"/>
    <col min="9967" max="9967" width="10.625" style="1" customWidth="1"/>
    <col min="9968" max="9968" width="14.625" style="1" customWidth="1"/>
    <col min="9969" max="9969" width="10.625" style="1" customWidth="1"/>
    <col min="9970" max="9970" width="14.625" style="1" customWidth="1"/>
    <col min="9971" max="9971" width="10.625" style="1" customWidth="1"/>
    <col min="9972" max="9972" width="14.625" style="1" customWidth="1"/>
    <col min="9973" max="9973" width="10.625" style="1" customWidth="1"/>
    <col min="9974" max="9974" width="18.625" style="1" customWidth="1"/>
    <col min="9975" max="9975" width="9.625" style="1" customWidth="1"/>
    <col min="9976" max="9976" width="10.5" style="1" customWidth="1"/>
    <col min="9977" max="9977" width="20.375" style="1" bestFit="1" customWidth="1"/>
    <col min="9978" max="9978" width="12.5" style="1" customWidth="1"/>
    <col min="9979" max="9979" width="13.125" style="1" customWidth="1"/>
    <col min="9980" max="9984" width="9" style="1"/>
    <col min="9985" max="9985" width="11.25" style="1" bestFit="1" customWidth="1"/>
    <col min="9986" max="9986" width="11.625" style="1" bestFit="1" customWidth="1"/>
    <col min="9987" max="10217" width="9" style="1"/>
    <col min="10218" max="10218" width="4.625" style="1" customWidth="1"/>
    <col min="10219" max="10219" width="34.625" style="1" customWidth="1"/>
    <col min="10220" max="10220" width="11.625" style="1" customWidth="1"/>
    <col min="10221" max="10222" width="6.625" style="1" customWidth="1"/>
    <col min="10223" max="10223" width="10.625" style="1" customWidth="1"/>
    <col min="10224" max="10224" width="14.625" style="1" customWidth="1"/>
    <col min="10225" max="10225" width="10.625" style="1" customWidth="1"/>
    <col min="10226" max="10226" width="14.625" style="1" customWidth="1"/>
    <col min="10227" max="10227" width="10.625" style="1" customWidth="1"/>
    <col min="10228" max="10228" width="14.625" style="1" customWidth="1"/>
    <col min="10229" max="10229" width="10.625" style="1" customWidth="1"/>
    <col min="10230" max="10230" width="18.625" style="1" customWidth="1"/>
    <col min="10231" max="10231" width="9.625" style="1" customWidth="1"/>
    <col min="10232" max="10232" width="10.5" style="1" customWidth="1"/>
    <col min="10233" max="10233" width="20.375" style="1" bestFit="1" customWidth="1"/>
    <col min="10234" max="10234" width="12.5" style="1" customWidth="1"/>
    <col min="10235" max="10235" width="13.125" style="1" customWidth="1"/>
    <col min="10236" max="10240" width="9" style="1"/>
    <col min="10241" max="10241" width="11.25" style="1" bestFit="1" customWidth="1"/>
    <col min="10242" max="10242" width="11.625" style="1" bestFit="1" customWidth="1"/>
    <col min="10243" max="10473" width="9" style="1"/>
    <col min="10474" max="10474" width="4.625" style="1" customWidth="1"/>
    <col min="10475" max="10475" width="34.625" style="1" customWidth="1"/>
    <col min="10476" max="10476" width="11.625" style="1" customWidth="1"/>
    <col min="10477" max="10478" width="6.625" style="1" customWidth="1"/>
    <col min="10479" max="10479" width="10.625" style="1" customWidth="1"/>
    <col min="10480" max="10480" width="14.625" style="1" customWidth="1"/>
    <col min="10481" max="10481" width="10.625" style="1" customWidth="1"/>
    <col min="10482" max="10482" width="14.625" style="1" customWidth="1"/>
    <col min="10483" max="10483" width="10.625" style="1" customWidth="1"/>
    <col min="10484" max="10484" width="14.625" style="1" customWidth="1"/>
    <col min="10485" max="10485" width="10.625" style="1" customWidth="1"/>
    <col min="10486" max="10486" width="18.625" style="1" customWidth="1"/>
    <col min="10487" max="10487" width="9.625" style="1" customWidth="1"/>
    <col min="10488" max="10488" width="10.5" style="1" customWidth="1"/>
    <col min="10489" max="10489" width="20.375" style="1" bestFit="1" customWidth="1"/>
    <col min="10490" max="10490" width="12.5" style="1" customWidth="1"/>
    <col min="10491" max="10491" width="13.125" style="1" customWidth="1"/>
    <col min="10492" max="10496" width="9" style="1"/>
    <col min="10497" max="10497" width="11.25" style="1" bestFit="1" customWidth="1"/>
    <col min="10498" max="10498" width="11.625" style="1" bestFit="1" customWidth="1"/>
    <col min="10499" max="10729" width="9" style="1"/>
    <col min="10730" max="10730" width="4.625" style="1" customWidth="1"/>
    <col min="10731" max="10731" width="34.625" style="1" customWidth="1"/>
    <col min="10732" max="10732" width="11.625" style="1" customWidth="1"/>
    <col min="10733" max="10734" width="6.625" style="1" customWidth="1"/>
    <col min="10735" max="10735" width="10.625" style="1" customWidth="1"/>
    <col min="10736" max="10736" width="14.625" style="1" customWidth="1"/>
    <col min="10737" max="10737" width="10.625" style="1" customWidth="1"/>
    <col min="10738" max="10738" width="14.625" style="1" customWidth="1"/>
    <col min="10739" max="10739" width="10.625" style="1" customWidth="1"/>
    <col min="10740" max="10740" width="14.625" style="1" customWidth="1"/>
    <col min="10741" max="10741" width="10.625" style="1" customWidth="1"/>
    <col min="10742" max="10742" width="18.625" style="1" customWidth="1"/>
    <col min="10743" max="10743" width="9.625" style="1" customWidth="1"/>
    <col min="10744" max="10744" width="10.5" style="1" customWidth="1"/>
    <col min="10745" max="10745" width="20.375" style="1" bestFit="1" customWidth="1"/>
    <col min="10746" max="10746" width="12.5" style="1" customWidth="1"/>
    <col min="10747" max="10747" width="13.125" style="1" customWidth="1"/>
    <col min="10748" max="10752" width="9" style="1"/>
    <col min="10753" max="10753" width="11.25" style="1" bestFit="1" customWidth="1"/>
    <col min="10754" max="10754" width="11.625" style="1" bestFit="1" customWidth="1"/>
    <col min="10755" max="10985" width="9" style="1"/>
    <col min="10986" max="10986" width="4.625" style="1" customWidth="1"/>
    <col min="10987" max="10987" width="34.625" style="1" customWidth="1"/>
    <col min="10988" max="10988" width="11.625" style="1" customWidth="1"/>
    <col min="10989" max="10990" width="6.625" style="1" customWidth="1"/>
    <col min="10991" max="10991" width="10.625" style="1" customWidth="1"/>
    <col min="10992" max="10992" width="14.625" style="1" customWidth="1"/>
    <col min="10993" max="10993" width="10.625" style="1" customWidth="1"/>
    <col min="10994" max="10994" width="14.625" style="1" customWidth="1"/>
    <col min="10995" max="10995" width="10.625" style="1" customWidth="1"/>
    <col min="10996" max="10996" width="14.625" style="1" customWidth="1"/>
    <col min="10997" max="10997" width="10.625" style="1" customWidth="1"/>
    <col min="10998" max="10998" width="18.625" style="1" customWidth="1"/>
    <col min="10999" max="10999" width="9.625" style="1" customWidth="1"/>
    <col min="11000" max="11000" width="10.5" style="1" customWidth="1"/>
    <col min="11001" max="11001" width="20.375" style="1" bestFit="1" customWidth="1"/>
    <col min="11002" max="11002" width="12.5" style="1" customWidth="1"/>
    <col min="11003" max="11003" width="13.125" style="1" customWidth="1"/>
    <col min="11004" max="11008" width="9" style="1"/>
    <col min="11009" max="11009" width="11.25" style="1" bestFit="1" customWidth="1"/>
    <col min="11010" max="11010" width="11.625" style="1" bestFit="1" customWidth="1"/>
    <col min="11011" max="11241" width="9" style="1"/>
    <col min="11242" max="11242" width="4.625" style="1" customWidth="1"/>
    <col min="11243" max="11243" width="34.625" style="1" customWidth="1"/>
    <col min="11244" max="11244" width="11.625" style="1" customWidth="1"/>
    <col min="11245" max="11246" width="6.625" style="1" customWidth="1"/>
    <col min="11247" max="11247" width="10.625" style="1" customWidth="1"/>
    <col min="11248" max="11248" width="14.625" style="1" customWidth="1"/>
    <col min="11249" max="11249" width="10.625" style="1" customWidth="1"/>
    <col min="11250" max="11250" width="14.625" style="1" customWidth="1"/>
    <col min="11251" max="11251" width="10.625" style="1" customWidth="1"/>
    <col min="11252" max="11252" width="14.625" style="1" customWidth="1"/>
    <col min="11253" max="11253" width="10.625" style="1" customWidth="1"/>
    <col min="11254" max="11254" width="18.625" style="1" customWidth="1"/>
    <col min="11255" max="11255" width="9.625" style="1" customWidth="1"/>
    <col min="11256" max="11256" width="10.5" style="1" customWidth="1"/>
    <col min="11257" max="11257" width="20.375" style="1" bestFit="1" customWidth="1"/>
    <col min="11258" max="11258" width="12.5" style="1" customWidth="1"/>
    <col min="11259" max="11259" width="13.125" style="1" customWidth="1"/>
    <col min="11260" max="11264" width="9" style="1"/>
    <col min="11265" max="11265" width="11.25" style="1" bestFit="1" customWidth="1"/>
    <col min="11266" max="11266" width="11.625" style="1" bestFit="1" customWidth="1"/>
    <col min="11267" max="11497" width="9" style="1"/>
    <col min="11498" max="11498" width="4.625" style="1" customWidth="1"/>
    <col min="11499" max="11499" width="34.625" style="1" customWidth="1"/>
    <col min="11500" max="11500" width="11.625" style="1" customWidth="1"/>
    <col min="11501" max="11502" width="6.625" style="1" customWidth="1"/>
    <col min="11503" max="11503" width="10.625" style="1" customWidth="1"/>
    <col min="11504" max="11504" width="14.625" style="1" customWidth="1"/>
    <col min="11505" max="11505" width="10.625" style="1" customWidth="1"/>
    <col min="11506" max="11506" width="14.625" style="1" customWidth="1"/>
    <col min="11507" max="11507" width="10.625" style="1" customWidth="1"/>
    <col min="11508" max="11508" width="14.625" style="1" customWidth="1"/>
    <col min="11509" max="11509" width="10.625" style="1" customWidth="1"/>
    <col min="11510" max="11510" width="18.625" style="1" customWidth="1"/>
    <col min="11511" max="11511" width="9.625" style="1" customWidth="1"/>
    <col min="11512" max="11512" width="10.5" style="1" customWidth="1"/>
    <col min="11513" max="11513" width="20.375" style="1" bestFit="1" customWidth="1"/>
    <col min="11514" max="11514" width="12.5" style="1" customWidth="1"/>
    <col min="11515" max="11515" width="13.125" style="1" customWidth="1"/>
    <col min="11516" max="11520" width="9" style="1"/>
    <col min="11521" max="11521" width="11.25" style="1" bestFit="1" customWidth="1"/>
    <col min="11522" max="11522" width="11.625" style="1" bestFit="1" customWidth="1"/>
    <col min="11523" max="11753" width="9" style="1"/>
    <col min="11754" max="11754" width="4.625" style="1" customWidth="1"/>
    <col min="11755" max="11755" width="34.625" style="1" customWidth="1"/>
    <col min="11756" max="11756" width="11.625" style="1" customWidth="1"/>
    <col min="11757" max="11758" width="6.625" style="1" customWidth="1"/>
    <col min="11759" max="11759" width="10.625" style="1" customWidth="1"/>
    <col min="11760" max="11760" width="14.625" style="1" customWidth="1"/>
    <col min="11761" max="11761" width="10.625" style="1" customWidth="1"/>
    <col min="11762" max="11762" width="14.625" style="1" customWidth="1"/>
    <col min="11763" max="11763" width="10.625" style="1" customWidth="1"/>
    <col min="11764" max="11764" width="14.625" style="1" customWidth="1"/>
    <col min="11765" max="11765" width="10.625" style="1" customWidth="1"/>
    <col min="11766" max="11766" width="18.625" style="1" customWidth="1"/>
    <col min="11767" max="11767" width="9.625" style="1" customWidth="1"/>
    <col min="11768" max="11768" width="10.5" style="1" customWidth="1"/>
    <col min="11769" max="11769" width="20.375" style="1" bestFit="1" customWidth="1"/>
    <col min="11770" max="11770" width="12.5" style="1" customWidth="1"/>
    <col min="11771" max="11771" width="13.125" style="1" customWidth="1"/>
    <col min="11772" max="11776" width="9" style="1"/>
    <col min="11777" max="11777" width="11.25" style="1" bestFit="1" customWidth="1"/>
    <col min="11778" max="11778" width="11.625" style="1" bestFit="1" customWidth="1"/>
    <col min="11779" max="12009" width="9" style="1"/>
    <col min="12010" max="12010" width="4.625" style="1" customWidth="1"/>
    <col min="12011" max="12011" width="34.625" style="1" customWidth="1"/>
    <col min="12012" max="12012" width="11.625" style="1" customWidth="1"/>
    <col min="12013" max="12014" width="6.625" style="1" customWidth="1"/>
    <col min="12015" max="12015" width="10.625" style="1" customWidth="1"/>
    <col min="12016" max="12016" width="14.625" style="1" customWidth="1"/>
    <col min="12017" max="12017" width="10.625" style="1" customWidth="1"/>
    <col min="12018" max="12018" width="14.625" style="1" customWidth="1"/>
    <col min="12019" max="12019" width="10.625" style="1" customWidth="1"/>
    <col min="12020" max="12020" width="14.625" style="1" customWidth="1"/>
    <col min="12021" max="12021" width="10.625" style="1" customWidth="1"/>
    <col min="12022" max="12022" width="18.625" style="1" customWidth="1"/>
    <col min="12023" max="12023" width="9.625" style="1" customWidth="1"/>
    <col min="12024" max="12024" width="10.5" style="1" customWidth="1"/>
    <col min="12025" max="12025" width="20.375" style="1" bestFit="1" customWidth="1"/>
    <col min="12026" max="12026" width="12.5" style="1" customWidth="1"/>
    <col min="12027" max="12027" width="13.125" style="1" customWidth="1"/>
    <col min="12028" max="12032" width="9" style="1"/>
    <col min="12033" max="12033" width="11.25" style="1" bestFit="1" customWidth="1"/>
    <col min="12034" max="12034" width="11.625" style="1" bestFit="1" customWidth="1"/>
    <col min="12035" max="12265" width="9" style="1"/>
    <col min="12266" max="12266" width="4.625" style="1" customWidth="1"/>
    <col min="12267" max="12267" width="34.625" style="1" customWidth="1"/>
    <col min="12268" max="12268" width="11.625" style="1" customWidth="1"/>
    <col min="12269" max="12270" width="6.625" style="1" customWidth="1"/>
    <col min="12271" max="12271" width="10.625" style="1" customWidth="1"/>
    <col min="12272" max="12272" width="14.625" style="1" customWidth="1"/>
    <col min="12273" max="12273" width="10.625" style="1" customWidth="1"/>
    <col min="12274" max="12274" width="14.625" style="1" customWidth="1"/>
    <col min="12275" max="12275" width="10.625" style="1" customWidth="1"/>
    <col min="12276" max="12276" width="14.625" style="1" customWidth="1"/>
    <col min="12277" max="12277" width="10.625" style="1" customWidth="1"/>
    <col min="12278" max="12278" width="18.625" style="1" customWidth="1"/>
    <col min="12279" max="12279" width="9.625" style="1" customWidth="1"/>
    <col min="12280" max="12280" width="10.5" style="1" customWidth="1"/>
    <col min="12281" max="12281" width="20.375" style="1" bestFit="1" customWidth="1"/>
    <col min="12282" max="12282" width="12.5" style="1" customWidth="1"/>
    <col min="12283" max="12283" width="13.125" style="1" customWidth="1"/>
    <col min="12284" max="12288" width="9" style="1"/>
    <col min="12289" max="12289" width="11.25" style="1" bestFit="1" customWidth="1"/>
    <col min="12290" max="12290" width="11.625" style="1" bestFit="1" customWidth="1"/>
    <col min="12291" max="12521" width="9" style="1"/>
    <col min="12522" max="12522" width="4.625" style="1" customWidth="1"/>
    <col min="12523" max="12523" width="34.625" style="1" customWidth="1"/>
    <col min="12524" max="12524" width="11.625" style="1" customWidth="1"/>
    <col min="12525" max="12526" width="6.625" style="1" customWidth="1"/>
    <col min="12527" max="12527" width="10.625" style="1" customWidth="1"/>
    <col min="12528" max="12528" width="14.625" style="1" customWidth="1"/>
    <col min="12529" max="12529" width="10.625" style="1" customWidth="1"/>
    <col min="12530" max="12530" width="14.625" style="1" customWidth="1"/>
    <col min="12531" max="12531" width="10.625" style="1" customWidth="1"/>
    <col min="12532" max="12532" width="14.625" style="1" customWidth="1"/>
    <col min="12533" max="12533" width="10.625" style="1" customWidth="1"/>
    <col min="12534" max="12534" width="18.625" style="1" customWidth="1"/>
    <col min="12535" max="12535" width="9.625" style="1" customWidth="1"/>
    <col min="12536" max="12536" width="10.5" style="1" customWidth="1"/>
    <col min="12537" max="12537" width="20.375" style="1" bestFit="1" customWidth="1"/>
    <col min="12538" max="12538" width="12.5" style="1" customWidth="1"/>
    <col min="12539" max="12539" width="13.125" style="1" customWidth="1"/>
    <col min="12540" max="12544" width="9" style="1"/>
    <col min="12545" max="12545" width="11.25" style="1" bestFit="1" customWidth="1"/>
    <col min="12546" max="12546" width="11.625" style="1" bestFit="1" customWidth="1"/>
    <col min="12547" max="12777" width="9" style="1"/>
    <col min="12778" max="12778" width="4.625" style="1" customWidth="1"/>
    <col min="12779" max="12779" width="34.625" style="1" customWidth="1"/>
    <col min="12780" max="12780" width="11.625" style="1" customWidth="1"/>
    <col min="12781" max="12782" width="6.625" style="1" customWidth="1"/>
    <col min="12783" max="12783" width="10.625" style="1" customWidth="1"/>
    <col min="12784" max="12784" width="14.625" style="1" customWidth="1"/>
    <col min="12785" max="12785" width="10.625" style="1" customWidth="1"/>
    <col min="12786" max="12786" width="14.625" style="1" customWidth="1"/>
    <col min="12787" max="12787" width="10.625" style="1" customWidth="1"/>
    <col min="12788" max="12788" width="14.625" style="1" customWidth="1"/>
    <col min="12789" max="12789" width="10.625" style="1" customWidth="1"/>
    <col min="12790" max="12790" width="18.625" style="1" customWidth="1"/>
    <col min="12791" max="12791" width="9.625" style="1" customWidth="1"/>
    <col min="12792" max="12792" width="10.5" style="1" customWidth="1"/>
    <col min="12793" max="12793" width="20.375" style="1" bestFit="1" customWidth="1"/>
    <col min="12794" max="12794" width="12.5" style="1" customWidth="1"/>
    <col min="12795" max="12795" width="13.125" style="1" customWidth="1"/>
    <col min="12796" max="12800" width="9" style="1"/>
    <col min="12801" max="12801" width="11.25" style="1" bestFit="1" customWidth="1"/>
    <col min="12802" max="12802" width="11.625" style="1" bestFit="1" customWidth="1"/>
    <col min="12803" max="13033" width="9" style="1"/>
    <col min="13034" max="13034" width="4.625" style="1" customWidth="1"/>
    <col min="13035" max="13035" width="34.625" style="1" customWidth="1"/>
    <col min="13036" max="13036" width="11.625" style="1" customWidth="1"/>
    <col min="13037" max="13038" width="6.625" style="1" customWidth="1"/>
    <col min="13039" max="13039" width="10.625" style="1" customWidth="1"/>
    <col min="13040" max="13040" width="14.625" style="1" customWidth="1"/>
    <col min="13041" max="13041" width="10.625" style="1" customWidth="1"/>
    <col min="13042" max="13042" width="14.625" style="1" customWidth="1"/>
    <col min="13043" max="13043" width="10.625" style="1" customWidth="1"/>
    <col min="13044" max="13044" width="14.625" style="1" customWidth="1"/>
    <col min="13045" max="13045" width="10.625" style="1" customWidth="1"/>
    <col min="13046" max="13046" width="18.625" style="1" customWidth="1"/>
    <col min="13047" max="13047" width="9.625" style="1" customWidth="1"/>
    <col min="13048" max="13048" width="10.5" style="1" customWidth="1"/>
    <col min="13049" max="13049" width="20.375" style="1" bestFit="1" customWidth="1"/>
    <col min="13050" max="13050" width="12.5" style="1" customWidth="1"/>
    <col min="13051" max="13051" width="13.125" style="1" customWidth="1"/>
    <col min="13052" max="13056" width="9" style="1"/>
    <col min="13057" max="13057" width="11.25" style="1" bestFit="1" customWidth="1"/>
    <col min="13058" max="13058" width="11.625" style="1" bestFit="1" customWidth="1"/>
    <col min="13059" max="13289" width="9" style="1"/>
    <col min="13290" max="13290" width="4.625" style="1" customWidth="1"/>
    <col min="13291" max="13291" width="34.625" style="1" customWidth="1"/>
    <col min="13292" max="13292" width="11.625" style="1" customWidth="1"/>
    <col min="13293" max="13294" width="6.625" style="1" customWidth="1"/>
    <col min="13295" max="13295" width="10.625" style="1" customWidth="1"/>
    <col min="13296" max="13296" width="14.625" style="1" customWidth="1"/>
    <col min="13297" max="13297" width="10.625" style="1" customWidth="1"/>
    <col min="13298" max="13298" width="14.625" style="1" customWidth="1"/>
    <col min="13299" max="13299" width="10.625" style="1" customWidth="1"/>
    <col min="13300" max="13300" width="14.625" style="1" customWidth="1"/>
    <col min="13301" max="13301" width="10.625" style="1" customWidth="1"/>
    <col min="13302" max="13302" width="18.625" style="1" customWidth="1"/>
    <col min="13303" max="13303" width="9.625" style="1" customWidth="1"/>
    <col min="13304" max="13304" width="10.5" style="1" customWidth="1"/>
    <col min="13305" max="13305" width="20.375" style="1" bestFit="1" customWidth="1"/>
    <col min="13306" max="13306" width="12.5" style="1" customWidth="1"/>
    <col min="13307" max="13307" width="13.125" style="1" customWidth="1"/>
    <col min="13308" max="13312" width="9" style="1"/>
    <col min="13313" max="13313" width="11.25" style="1" bestFit="1" customWidth="1"/>
    <col min="13314" max="13314" width="11.625" style="1" bestFit="1" customWidth="1"/>
    <col min="13315" max="13545" width="9" style="1"/>
    <col min="13546" max="13546" width="4.625" style="1" customWidth="1"/>
    <col min="13547" max="13547" width="34.625" style="1" customWidth="1"/>
    <col min="13548" max="13548" width="11.625" style="1" customWidth="1"/>
    <col min="13549" max="13550" width="6.625" style="1" customWidth="1"/>
    <col min="13551" max="13551" width="10.625" style="1" customWidth="1"/>
    <col min="13552" max="13552" width="14.625" style="1" customWidth="1"/>
    <col min="13553" max="13553" width="10.625" style="1" customWidth="1"/>
    <col min="13554" max="13554" width="14.625" style="1" customWidth="1"/>
    <col min="13555" max="13555" width="10.625" style="1" customWidth="1"/>
    <col min="13556" max="13556" width="14.625" style="1" customWidth="1"/>
    <col min="13557" max="13557" width="10.625" style="1" customWidth="1"/>
    <col min="13558" max="13558" width="18.625" style="1" customWidth="1"/>
    <col min="13559" max="13559" width="9.625" style="1" customWidth="1"/>
    <col min="13560" max="13560" width="10.5" style="1" customWidth="1"/>
    <col min="13561" max="13561" width="20.375" style="1" bestFit="1" customWidth="1"/>
    <col min="13562" max="13562" width="12.5" style="1" customWidth="1"/>
    <col min="13563" max="13563" width="13.125" style="1" customWidth="1"/>
    <col min="13564" max="13568" width="9" style="1"/>
    <col min="13569" max="13569" width="11.25" style="1" bestFit="1" customWidth="1"/>
    <col min="13570" max="13570" width="11.625" style="1" bestFit="1" customWidth="1"/>
    <col min="13571" max="13801" width="9" style="1"/>
    <col min="13802" max="13802" width="4.625" style="1" customWidth="1"/>
    <col min="13803" max="13803" width="34.625" style="1" customWidth="1"/>
    <col min="13804" max="13804" width="11.625" style="1" customWidth="1"/>
    <col min="13805" max="13806" width="6.625" style="1" customWidth="1"/>
    <col min="13807" max="13807" width="10.625" style="1" customWidth="1"/>
    <col min="13808" max="13808" width="14.625" style="1" customWidth="1"/>
    <col min="13809" max="13809" width="10.625" style="1" customWidth="1"/>
    <col min="13810" max="13810" width="14.625" style="1" customWidth="1"/>
    <col min="13811" max="13811" width="10.625" style="1" customWidth="1"/>
    <col min="13812" max="13812" width="14.625" style="1" customWidth="1"/>
    <col min="13813" max="13813" width="10.625" style="1" customWidth="1"/>
    <col min="13814" max="13814" width="18.625" style="1" customWidth="1"/>
    <col min="13815" max="13815" width="9.625" style="1" customWidth="1"/>
    <col min="13816" max="13816" width="10.5" style="1" customWidth="1"/>
    <col min="13817" max="13817" width="20.375" style="1" bestFit="1" customWidth="1"/>
    <col min="13818" max="13818" width="12.5" style="1" customWidth="1"/>
    <col min="13819" max="13819" width="13.125" style="1" customWidth="1"/>
    <col min="13820" max="13824" width="9" style="1"/>
    <col min="13825" max="13825" width="11.25" style="1" bestFit="1" customWidth="1"/>
    <col min="13826" max="13826" width="11.625" style="1" bestFit="1" customWidth="1"/>
    <col min="13827" max="14057" width="9" style="1"/>
    <col min="14058" max="14058" width="4.625" style="1" customWidth="1"/>
    <col min="14059" max="14059" width="34.625" style="1" customWidth="1"/>
    <col min="14060" max="14060" width="11.625" style="1" customWidth="1"/>
    <col min="14061" max="14062" width="6.625" style="1" customWidth="1"/>
    <col min="14063" max="14063" width="10.625" style="1" customWidth="1"/>
    <col min="14064" max="14064" width="14.625" style="1" customWidth="1"/>
    <col min="14065" max="14065" width="10.625" style="1" customWidth="1"/>
    <col min="14066" max="14066" width="14.625" style="1" customWidth="1"/>
    <col min="14067" max="14067" width="10.625" style="1" customWidth="1"/>
    <col min="14068" max="14068" width="14.625" style="1" customWidth="1"/>
    <col min="14069" max="14069" width="10.625" style="1" customWidth="1"/>
    <col min="14070" max="14070" width="18.625" style="1" customWidth="1"/>
    <col min="14071" max="14071" width="9.625" style="1" customWidth="1"/>
    <col min="14072" max="14072" width="10.5" style="1" customWidth="1"/>
    <col min="14073" max="14073" width="20.375" style="1" bestFit="1" customWidth="1"/>
    <col min="14074" max="14074" width="12.5" style="1" customWidth="1"/>
    <col min="14075" max="14075" width="13.125" style="1" customWidth="1"/>
    <col min="14076" max="14080" width="9" style="1"/>
    <col min="14081" max="14081" width="11.25" style="1" bestFit="1" customWidth="1"/>
    <col min="14082" max="14082" width="11.625" style="1" bestFit="1" customWidth="1"/>
    <col min="14083" max="14313" width="9" style="1"/>
    <col min="14314" max="14314" width="4.625" style="1" customWidth="1"/>
    <col min="14315" max="14315" width="34.625" style="1" customWidth="1"/>
    <col min="14316" max="14316" width="11.625" style="1" customWidth="1"/>
    <col min="14317" max="14318" width="6.625" style="1" customWidth="1"/>
    <col min="14319" max="14319" width="10.625" style="1" customWidth="1"/>
    <col min="14320" max="14320" width="14.625" style="1" customWidth="1"/>
    <col min="14321" max="14321" width="10.625" style="1" customWidth="1"/>
    <col min="14322" max="14322" width="14.625" style="1" customWidth="1"/>
    <col min="14323" max="14323" width="10.625" style="1" customWidth="1"/>
    <col min="14324" max="14324" width="14.625" style="1" customWidth="1"/>
    <col min="14325" max="14325" width="10.625" style="1" customWidth="1"/>
    <col min="14326" max="14326" width="18.625" style="1" customWidth="1"/>
    <col min="14327" max="14327" width="9.625" style="1" customWidth="1"/>
    <col min="14328" max="14328" width="10.5" style="1" customWidth="1"/>
    <col min="14329" max="14329" width="20.375" style="1" bestFit="1" customWidth="1"/>
    <col min="14330" max="14330" width="12.5" style="1" customWidth="1"/>
    <col min="14331" max="14331" width="13.125" style="1" customWidth="1"/>
    <col min="14332" max="14336" width="9" style="1"/>
    <col min="14337" max="14337" width="11.25" style="1" bestFit="1" customWidth="1"/>
    <col min="14338" max="14338" width="11.625" style="1" bestFit="1" customWidth="1"/>
    <col min="14339" max="14569" width="9" style="1"/>
    <col min="14570" max="14570" width="4.625" style="1" customWidth="1"/>
    <col min="14571" max="14571" width="34.625" style="1" customWidth="1"/>
    <col min="14572" max="14572" width="11.625" style="1" customWidth="1"/>
    <col min="14573" max="14574" width="6.625" style="1" customWidth="1"/>
    <col min="14575" max="14575" width="10.625" style="1" customWidth="1"/>
    <col min="14576" max="14576" width="14.625" style="1" customWidth="1"/>
    <col min="14577" max="14577" width="10.625" style="1" customWidth="1"/>
    <col min="14578" max="14578" width="14.625" style="1" customWidth="1"/>
    <col min="14579" max="14579" width="10.625" style="1" customWidth="1"/>
    <col min="14580" max="14580" width="14.625" style="1" customWidth="1"/>
    <col min="14581" max="14581" width="10.625" style="1" customWidth="1"/>
    <col min="14582" max="14582" width="18.625" style="1" customWidth="1"/>
    <col min="14583" max="14583" width="9.625" style="1" customWidth="1"/>
    <col min="14584" max="14584" width="10.5" style="1" customWidth="1"/>
    <col min="14585" max="14585" width="20.375" style="1" bestFit="1" customWidth="1"/>
    <col min="14586" max="14586" width="12.5" style="1" customWidth="1"/>
    <col min="14587" max="14587" width="13.125" style="1" customWidth="1"/>
    <col min="14588" max="14592" width="9" style="1"/>
    <col min="14593" max="14593" width="11.25" style="1" bestFit="1" customWidth="1"/>
    <col min="14594" max="14594" width="11.625" style="1" bestFit="1" customWidth="1"/>
    <col min="14595" max="14825" width="9" style="1"/>
    <col min="14826" max="14826" width="4.625" style="1" customWidth="1"/>
    <col min="14827" max="14827" width="34.625" style="1" customWidth="1"/>
    <col min="14828" max="14828" width="11.625" style="1" customWidth="1"/>
    <col min="14829" max="14830" width="6.625" style="1" customWidth="1"/>
    <col min="14831" max="14831" width="10.625" style="1" customWidth="1"/>
    <col min="14832" max="14832" width="14.625" style="1" customWidth="1"/>
    <col min="14833" max="14833" width="10.625" style="1" customWidth="1"/>
    <col min="14834" max="14834" width="14.625" style="1" customWidth="1"/>
    <col min="14835" max="14835" width="10.625" style="1" customWidth="1"/>
    <col min="14836" max="14836" width="14.625" style="1" customWidth="1"/>
    <col min="14837" max="14837" width="10.625" style="1" customWidth="1"/>
    <col min="14838" max="14838" width="18.625" style="1" customWidth="1"/>
    <col min="14839" max="14839" width="9.625" style="1" customWidth="1"/>
    <col min="14840" max="14840" width="10.5" style="1" customWidth="1"/>
    <col min="14841" max="14841" width="20.375" style="1" bestFit="1" customWidth="1"/>
    <col min="14842" max="14842" width="12.5" style="1" customWidth="1"/>
    <col min="14843" max="14843" width="13.125" style="1" customWidth="1"/>
    <col min="14844" max="14848" width="9" style="1"/>
    <col min="14849" max="14849" width="11.25" style="1" bestFit="1" customWidth="1"/>
    <col min="14850" max="14850" width="11.625" style="1" bestFit="1" customWidth="1"/>
    <col min="14851" max="15081" width="9" style="1"/>
    <col min="15082" max="15082" width="4.625" style="1" customWidth="1"/>
    <col min="15083" max="15083" width="34.625" style="1" customWidth="1"/>
    <col min="15084" max="15084" width="11.625" style="1" customWidth="1"/>
    <col min="15085" max="15086" width="6.625" style="1" customWidth="1"/>
    <col min="15087" max="15087" width="10.625" style="1" customWidth="1"/>
    <col min="15088" max="15088" width="14.625" style="1" customWidth="1"/>
    <col min="15089" max="15089" width="10.625" style="1" customWidth="1"/>
    <col min="15090" max="15090" width="14.625" style="1" customWidth="1"/>
    <col min="15091" max="15091" width="10.625" style="1" customWidth="1"/>
    <col min="15092" max="15092" width="14.625" style="1" customWidth="1"/>
    <col min="15093" max="15093" width="10.625" style="1" customWidth="1"/>
    <col min="15094" max="15094" width="18.625" style="1" customWidth="1"/>
    <col min="15095" max="15095" width="9.625" style="1" customWidth="1"/>
    <col min="15096" max="15096" width="10.5" style="1" customWidth="1"/>
    <col min="15097" max="15097" width="20.375" style="1" bestFit="1" customWidth="1"/>
    <col min="15098" max="15098" width="12.5" style="1" customWidth="1"/>
    <col min="15099" max="15099" width="13.125" style="1" customWidth="1"/>
    <col min="15100" max="15104" width="9" style="1"/>
    <col min="15105" max="15105" width="11.25" style="1" bestFit="1" customWidth="1"/>
    <col min="15106" max="15106" width="11.625" style="1" bestFit="1" customWidth="1"/>
    <col min="15107" max="15337" width="9" style="1"/>
    <col min="15338" max="15338" width="4.625" style="1" customWidth="1"/>
    <col min="15339" max="15339" width="34.625" style="1" customWidth="1"/>
    <col min="15340" max="15340" width="11.625" style="1" customWidth="1"/>
    <col min="15341" max="15342" width="6.625" style="1" customWidth="1"/>
    <col min="15343" max="15343" width="10.625" style="1" customWidth="1"/>
    <col min="15344" max="15344" width="14.625" style="1" customWidth="1"/>
    <col min="15345" max="15345" width="10.625" style="1" customWidth="1"/>
    <col min="15346" max="15346" width="14.625" style="1" customWidth="1"/>
    <col min="15347" max="15347" width="10.625" style="1" customWidth="1"/>
    <col min="15348" max="15348" width="14.625" style="1" customWidth="1"/>
    <col min="15349" max="15349" width="10.625" style="1" customWidth="1"/>
    <col min="15350" max="15350" width="18.625" style="1" customWidth="1"/>
    <col min="15351" max="15351" width="9.625" style="1" customWidth="1"/>
    <col min="15352" max="15352" width="10.5" style="1" customWidth="1"/>
    <col min="15353" max="15353" width="20.375" style="1" bestFit="1" customWidth="1"/>
    <col min="15354" max="15354" width="12.5" style="1" customWidth="1"/>
    <col min="15355" max="15355" width="13.125" style="1" customWidth="1"/>
    <col min="15356" max="15360" width="9" style="1"/>
    <col min="15361" max="15361" width="11.25" style="1" bestFit="1" customWidth="1"/>
    <col min="15362" max="15362" width="11.625" style="1" bestFit="1" customWidth="1"/>
    <col min="15363" max="15593" width="9" style="1"/>
    <col min="15594" max="15594" width="4.625" style="1" customWidth="1"/>
    <col min="15595" max="15595" width="34.625" style="1" customWidth="1"/>
    <col min="15596" max="15596" width="11.625" style="1" customWidth="1"/>
    <col min="15597" max="15598" width="6.625" style="1" customWidth="1"/>
    <col min="15599" max="15599" width="10.625" style="1" customWidth="1"/>
    <col min="15600" max="15600" width="14.625" style="1" customWidth="1"/>
    <col min="15601" max="15601" width="10.625" style="1" customWidth="1"/>
    <col min="15602" max="15602" width="14.625" style="1" customWidth="1"/>
    <col min="15603" max="15603" width="10.625" style="1" customWidth="1"/>
    <col min="15604" max="15604" width="14.625" style="1" customWidth="1"/>
    <col min="15605" max="15605" width="10.625" style="1" customWidth="1"/>
    <col min="15606" max="15606" width="18.625" style="1" customWidth="1"/>
    <col min="15607" max="15607" width="9.625" style="1" customWidth="1"/>
    <col min="15608" max="15608" width="10.5" style="1" customWidth="1"/>
    <col min="15609" max="15609" width="20.375" style="1" bestFit="1" customWidth="1"/>
    <col min="15610" max="15610" width="12.5" style="1" customWidth="1"/>
    <col min="15611" max="15611" width="13.125" style="1" customWidth="1"/>
    <col min="15612" max="15616" width="9" style="1"/>
    <col min="15617" max="15617" width="11.25" style="1" bestFit="1" customWidth="1"/>
    <col min="15618" max="15618" width="11.625" style="1" bestFit="1" customWidth="1"/>
    <col min="15619" max="15849" width="9" style="1"/>
    <col min="15850" max="15850" width="4.625" style="1" customWidth="1"/>
    <col min="15851" max="15851" width="34.625" style="1" customWidth="1"/>
    <col min="15852" max="15852" width="11.625" style="1" customWidth="1"/>
    <col min="15853" max="15854" width="6.625" style="1" customWidth="1"/>
    <col min="15855" max="15855" width="10.625" style="1" customWidth="1"/>
    <col min="15856" max="15856" width="14.625" style="1" customWidth="1"/>
    <col min="15857" max="15857" width="10.625" style="1" customWidth="1"/>
    <col min="15858" max="15858" width="14.625" style="1" customWidth="1"/>
    <col min="15859" max="15859" width="10.625" style="1" customWidth="1"/>
    <col min="15860" max="15860" width="14.625" style="1" customWidth="1"/>
    <col min="15861" max="15861" width="10.625" style="1" customWidth="1"/>
    <col min="15862" max="15862" width="18.625" style="1" customWidth="1"/>
    <col min="15863" max="15863" width="9.625" style="1" customWidth="1"/>
    <col min="15864" max="15864" width="10.5" style="1" customWidth="1"/>
    <col min="15865" max="15865" width="20.375" style="1" bestFit="1" customWidth="1"/>
    <col min="15866" max="15866" width="12.5" style="1" customWidth="1"/>
    <col min="15867" max="15867" width="13.125" style="1" customWidth="1"/>
    <col min="15868" max="15872" width="9" style="1"/>
    <col min="15873" max="15873" width="11.25" style="1" bestFit="1" customWidth="1"/>
    <col min="15874" max="15874" width="11.625" style="1" bestFit="1" customWidth="1"/>
    <col min="15875" max="16105" width="9" style="1"/>
    <col min="16106" max="16106" width="4.625" style="1" customWidth="1"/>
    <col min="16107" max="16107" width="34.625" style="1" customWidth="1"/>
    <col min="16108" max="16108" width="11.625" style="1" customWidth="1"/>
    <col min="16109" max="16110" width="6.625" style="1" customWidth="1"/>
    <col min="16111" max="16111" width="10.625" style="1" customWidth="1"/>
    <col min="16112" max="16112" width="14.625" style="1" customWidth="1"/>
    <col min="16113" max="16113" width="10.625" style="1" customWidth="1"/>
    <col min="16114" max="16114" width="14.625" style="1" customWidth="1"/>
    <col min="16115" max="16115" width="10.625" style="1" customWidth="1"/>
    <col min="16116" max="16116" width="14.625" style="1" customWidth="1"/>
    <col min="16117" max="16117" width="10.625" style="1" customWidth="1"/>
    <col min="16118" max="16118" width="18.625" style="1" customWidth="1"/>
    <col min="16119" max="16119" width="9.625" style="1" customWidth="1"/>
    <col min="16120" max="16120" width="10.5" style="1" customWidth="1"/>
    <col min="16121" max="16121" width="20.375" style="1" bestFit="1" customWidth="1"/>
    <col min="16122" max="16122" width="12.5" style="1" customWidth="1"/>
    <col min="16123" max="16123" width="13.125" style="1" customWidth="1"/>
    <col min="16124" max="16128" width="9" style="1"/>
    <col min="16129" max="16129" width="11.25" style="1" bestFit="1" customWidth="1"/>
    <col min="16130" max="16130" width="11.625" style="1" bestFit="1" customWidth="1"/>
    <col min="16131" max="16384" width="9" style="1"/>
  </cols>
  <sheetData>
    <row r="1" spans="1:118" s="207" customFormat="1" ht="35.1" customHeight="1">
      <c r="A1" s="330" t="s">
        <v>401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</row>
    <row r="2" spans="1:118" ht="19.5" customHeight="1" thickBot="1">
      <c r="A2" s="331" t="s">
        <v>289</v>
      </c>
      <c r="B2" s="331"/>
      <c r="C2" s="331"/>
      <c r="D2" s="331"/>
      <c r="E2" s="331"/>
      <c r="F2" s="355"/>
      <c r="G2" s="355"/>
      <c r="H2" s="355"/>
      <c r="I2" s="355"/>
      <c r="J2" s="179"/>
      <c r="K2" s="179"/>
      <c r="L2" s="368" t="s">
        <v>427</v>
      </c>
      <c r="M2" s="368"/>
    </row>
    <row r="3" spans="1:118" ht="30" customHeight="1" thickBot="1">
      <c r="A3" s="121"/>
      <c r="B3" s="180" t="s">
        <v>56</v>
      </c>
      <c r="C3" s="181" t="s">
        <v>39</v>
      </c>
      <c r="D3" s="181" t="s">
        <v>38</v>
      </c>
      <c r="E3" s="181" t="s">
        <v>37</v>
      </c>
      <c r="F3" s="333" t="s">
        <v>177</v>
      </c>
      <c r="G3" s="334"/>
      <c r="H3" s="334"/>
      <c r="I3" s="334"/>
      <c r="J3" s="210" t="s">
        <v>179</v>
      </c>
      <c r="K3" s="210" t="s">
        <v>180</v>
      </c>
      <c r="L3" s="210" t="s">
        <v>181</v>
      </c>
      <c r="M3" s="211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</row>
    <row r="4" spans="1:118" ht="30" customHeight="1">
      <c r="A4" s="165" t="s">
        <v>54</v>
      </c>
      <c r="B4" s="44"/>
      <c r="C4" s="44"/>
      <c r="D4" s="44"/>
      <c r="E4" s="47"/>
      <c r="F4" s="335"/>
      <c r="G4" s="336"/>
      <c r="H4" s="336"/>
      <c r="I4" s="337"/>
      <c r="J4" s="48">
        <v>0</v>
      </c>
      <c r="K4" s="46">
        <f>'기성총괄표(2024용인_지성_제조)'!M10</f>
        <v>74345656</v>
      </c>
      <c r="L4" s="212">
        <f>J4+K4</f>
        <v>74345656</v>
      </c>
      <c r="M4" s="166"/>
    </row>
    <row r="5" spans="1:118" s="3" customFormat="1" ht="30" customHeight="1">
      <c r="A5" s="127"/>
      <c r="B5" s="132"/>
      <c r="C5" s="129"/>
      <c r="D5" s="130"/>
      <c r="E5" s="128"/>
      <c r="F5" s="321"/>
      <c r="G5" s="322"/>
      <c r="H5" s="322"/>
      <c r="I5" s="323"/>
      <c r="J5" s="80"/>
      <c r="K5" s="80"/>
      <c r="L5" s="80"/>
      <c r="M5" s="8"/>
    </row>
    <row r="6" spans="1:118" s="3" customFormat="1" ht="30" customHeight="1">
      <c r="A6" s="127"/>
      <c r="B6" s="132"/>
      <c r="C6" s="129"/>
      <c r="D6" s="130"/>
      <c r="E6" s="128"/>
      <c r="F6" s="321"/>
      <c r="G6" s="322"/>
      <c r="H6" s="322"/>
      <c r="I6" s="323"/>
      <c r="J6" s="80"/>
      <c r="K6" s="80"/>
      <c r="L6" s="80"/>
      <c r="M6" s="8"/>
    </row>
    <row r="7" spans="1:118" s="3" customFormat="1" ht="30" customHeight="1" thickBot="1">
      <c r="A7" s="133"/>
      <c r="B7" s="134"/>
      <c r="C7" s="135"/>
      <c r="D7" s="62"/>
      <c r="E7" s="62"/>
      <c r="F7" s="324"/>
      <c r="G7" s="325"/>
      <c r="H7" s="325"/>
      <c r="I7" s="326"/>
      <c r="J7" s="23"/>
      <c r="K7" s="23"/>
      <c r="L7" s="23"/>
      <c r="M7" s="63"/>
    </row>
    <row r="8" spans="1:118" s="52" customFormat="1" ht="30" customHeight="1" thickBot="1">
      <c r="A8" s="136"/>
      <c r="B8" s="137" t="s">
        <v>46</v>
      </c>
      <c r="C8" s="138"/>
      <c r="D8" s="139"/>
      <c r="E8" s="138"/>
      <c r="F8" s="327"/>
      <c r="G8" s="328"/>
      <c r="H8" s="328"/>
      <c r="I8" s="329"/>
      <c r="J8" s="140">
        <f t="shared" ref="J8" si="0">SUM(J4:J7)</f>
        <v>0</v>
      </c>
      <c r="K8" s="140">
        <f>SUM(K4:K7)</f>
        <v>74345656</v>
      </c>
      <c r="L8" s="140">
        <f>SUM(L4:L7)</f>
        <v>74345656</v>
      </c>
      <c r="M8" s="141"/>
    </row>
    <row r="9" spans="1:118" s="92" customFormat="1" ht="30" customHeight="1">
      <c r="A9" s="142"/>
      <c r="B9" s="143" t="s">
        <v>1</v>
      </c>
      <c r="C9" s="82"/>
      <c r="D9" s="83"/>
      <c r="E9" s="84"/>
      <c r="F9" s="85"/>
      <c r="G9" s="213"/>
      <c r="H9" s="213"/>
      <c r="I9" s="213"/>
      <c r="J9" s="215"/>
      <c r="K9" s="216"/>
      <c r="L9" s="216"/>
      <c r="M9" s="90"/>
    </row>
    <row r="10" spans="1:118" s="3" customFormat="1" ht="30" customHeight="1">
      <c r="A10" s="144" t="s">
        <v>36</v>
      </c>
      <c r="B10" s="145" t="s">
        <v>61</v>
      </c>
      <c r="C10" s="6"/>
      <c r="D10" s="7">
        <v>1</v>
      </c>
      <c r="E10" s="6" t="s">
        <v>5</v>
      </c>
      <c r="F10" s="217"/>
      <c r="G10" s="27"/>
      <c r="H10" s="27"/>
      <c r="I10" s="27"/>
      <c r="J10" s="218">
        <v>0</v>
      </c>
      <c r="K10" s="30">
        <f>'기성총괄표(2024용인_지성_제조)'!M12</f>
        <v>59679678</v>
      </c>
      <c r="L10" s="30">
        <f>J10+K10</f>
        <v>59679678</v>
      </c>
      <c r="M10" s="8"/>
    </row>
    <row r="11" spans="1:118" s="3" customFormat="1" ht="30" customHeight="1">
      <c r="A11" s="144" t="s">
        <v>34</v>
      </c>
      <c r="B11" s="146" t="s">
        <v>47</v>
      </c>
      <c r="C11" s="6"/>
      <c r="D11" s="31"/>
      <c r="E11" s="32"/>
      <c r="F11" s="217"/>
      <c r="G11" s="27"/>
      <c r="H11" s="27"/>
      <c r="I11" s="27"/>
      <c r="J11" s="218">
        <v>0</v>
      </c>
      <c r="K11" s="30">
        <f>'기성총괄표(2024용인_지성_제조)'!M13</f>
        <v>14385725</v>
      </c>
      <c r="L11" s="30">
        <f t="shared" ref="L11:L35" si="1">J11+K11</f>
        <v>14385725</v>
      </c>
      <c r="M11" s="8"/>
    </row>
    <row r="12" spans="1:118" ht="30" customHeight="1">
      <c r="A12" s="126"/>
      <c r="B12" s="145" t="s">
        <v>42</v>
      </c>
      <c r="C12" s="33"/>
      <c r="D12" s="7">
        <v>1</v>
      </c>
      <c r="E12" s="6" t="s">
        <v>5</v>
      </c>
      <c r="F12" s="219"/>
      <c r="G12" s="220"/>
      <c r="H12" s="220"/>
      <c r="I12" s="220"/>
      <c r="J12" s="218">
        <v>0</v>
      </c>
      <c r="K12" s="30">
        <f>'기성총괄표(2024용인_지성_제조)'!M14</f>
        <v>12697022</v>
      </c>
      <c r="L12" s="30">
        <f t="shared" si="1"/>
        <v>12697022</v>
      </c>
      <c r="M12" s="8"/>
    </row>
    <row r="13" spans="1:118" ht="30" customHeight="1">
      <c r="A13" s="126"/>
      <c r="B13" s="145" t="s">
        <v>43</v>
      </c>
      <c r="C13" s="35">
        <v>0.11600000000000001</v>
      </c>
      <c r="D13" s="7">
        <v>1</v>
      </c>
      <c r="E13" s="6" t="s">
        <v>5</v>
      </c>
      <c r="F13" s="219" t="s">
        <v>2</v>
      </c>
      <c r="G13" s="220"/>
      <c r="H13" s="220"/>
      <c r="I13" s="220"/>
      <c r="J13" s="218">
        <v>0</v>
      </c>
      <c r="K13" s="30">
        <f>'기성총괄표(2024용인_지성_제조)'!M15</f>
        <v>1688703</v>
      </c>
      <c r="L13" s="30">
        <f t="shared" si="1"/>
        <v>1688703</v>
      </c>
      <c r="M13" s="8"/>
    </row>
    <row r="14" spans="1:118" ht="30" customHeight="1">
      <c r="A14" s="144" t="s">
        <v>35</v>
      </c>
      <c r="B14" s="146" t="s">
        <v>62</v>
      </c>
      <c r="C14" s="33"/>
      <c r="D14" s="7"/>
      <c r="E14" s="6"/>
      <c r="F14" s="219"/>
      <c r="G14" s="220"/>
      <c r="H14" s="220"/>
      <c r="I14" s="220"/>
      <c r="J14" s="218">
        <v>0</v>
      </c>
      <c r="K14" s="30">
        <f>'기성총괄표(2024용인_지성_제조)'!M16</f>
        <v>5737128</v>
      </c>
      <c r="L14" s="30">
        <f t="shared" si="1"/>
        <v>5737128</v>
      </c>
      <c r="M14" s="8"/>
    </row>
    <row r="15" spans="1:118" ht="30" customHeight="1">
      <c r="A15" s="126"/>
      <c r="B15" s="145" t="s">
        <v>63</v>
      </c>
      <c r="C15" s="33"/>
      <c r="D15" s="7">
        <v>1</v>
      </c>
      <c r="E15" s="6" t="s">
        <v>5</v>
      </c>
      <c r="F15" s="219"/>
      <c r="G15" s="220"/>
      <c r="H15" s="220"/>
      <c r="I15" s="220"/>
      <c r="J15" s="218">
        <v>0</v>
      </c>
      <c r="K15" s="30">
        <f>'기성총괄표(2024용인_지성_제조)'!M17</f>
        <v>1968956</v>
      </c>
      <c r="L15" s="30">
        <f t="shared" si="1"/>
        <v>1968956</v>
      </c>
      <c r="M15" s="8"/>
    </row>
    <row r="16" spans="1:118" ht="30" customHeight="1">
      <c r="A16" s="126"/>
      <c r="B16" s="145" t="s">
        <v>87</v>
      </c>
      <c r="C16" s="36"/>
      <c r="D16" s="7"/>
      <c r="E16" s="6"/>
      <c r="F16" s="219"/>
      <c r="G16" s="220"/>
      <c r="H16" s="220"/>
      <c r="I16" s="220"/>
      <c r="J16" s="218">
        <v>0</v>
      </c>
      <c r="K16" s="30">
        <f>'기성총괄표(2024용인_지성_제조)'!M18</f>
        <v>0</v>
      </c>
      <c r="L16" s="30">
        <f t="shared" si="1"/>
        <v>0</v>
      </c>
      <c r="M16" s="49"/>
    </row>
    <row r="17" spans="1:13" ht="30" customHeight="1">
      <c r="A17" s="126"/>
      <c r="B17" s="146" t="s">
        <v>65</v>
      </c>
      <c r="C17" s="33">
        <v>3.56E-2</v>
      </c>
      <c r="D17" s="7">
        <v>1</v>
      </c>
      <c r="E17" s="6" t="s">
        <v>5</v>
      </c>
      <c r="F17" s="219" t="s">
        <v>66</v>
      </c>
      <c r="G17" s="220"/>
      <c r="H17" s="220"/>
      <c r="I17" s="220"/>
      <c r="J17" s="218">
        <v>0</v>
      </c>
      <c r="K17" s="30">
        <f>'기성총괄표(2024용인_지성_제조)'!M19</f>
        <v>512131</v>
      </c>
      <c r="L17" s="30">
        <f t="shared" si="1"/>
        <v>512131</v>
      </c>
      <c r="M17" s="8"/>
    </row>
    <row r="18" spans="1:13" ht="30" customHeight="1">
      <c r="A18" s="126"/>
      <c r="B18" s="146" t="s">
        <v>67</v>
      </c>
      <c r="C18" s="33">
        <v>1.01E-2</v>
      </c>
      <c r="D18" s="7">
        <v>1</v>
      </c>
      <c r="E18" s="6" t="s">
        <v>5</v>
      </c>
      <c r="F18" s="219" t="s">
        <v>66</v>
      </c>
      <c r="G18" s="220"/>
      <c r="H18" s="220"/>
      <c r="I18" s="220"/>
      <c r="J18" s="218">
        <v>0</v>
      </c>
      <c r="K18" s="30">
        <f>'기성총괄표(2024용인_지성_제조)'!M20</f>
        <v>145295</v>
      </c>
      <c r="L18" s="30">
        <f t="shared" si="1"/>
        <v>145295</v>
      </c>
      <c r="M18" s="8"/>
    </row>
    <row r="19" spans="1:13" ht="30" customHeight="1">
      <c r="A19" s="126"/>
      <c r="B19" s="146" t="s">
        <v>68</v>
      </c>
      <c r="C19" s="33">
        <v>4.4999999999999998E-2</v>
      </c>
      <c r="D19" s="7">
        <v>1</v>
      </c>
      <c r="E19" s="6" t="s">
        <v>5</v>
      </c>
      <c r="F19" s="219" t="s">
        <v>2</v>
      </c>
      <c r="G19" s="220"/>
      <c r="H19" s="220"/>
      <c r="I19" s="220"/>
      <c r="J19" s="218">
        <v>0</v>
      </c>
      <c r="K19" s="30">
        <f>'기성총괄표(2024용인_지성_제조)'!M21</f>
        <v>0</v>
      </c>
      <c r="L19" s="30">
        <f t="shared" si="1"/>
        <v>0</v>
      </c>
      <c r="M19" s="54" t="s">
        <v>64</v>
      </c>
    </row>
    <row r="20" spans="1:13" ht="30" customHeight="1">
      <c r="A20" s="126"/>
      <c r="B20" s="146" t="s">
        <v>70</v>
      </c>
      <c r="C20" s="172">
        <v>3.5450000000000002E-2</v>
      </c>
      <c r="D20" s="7">
        <v>1</v>
      </c>
      <c r="E20" s="6" t="s">
        <v>5</v>
      </c>
      <c r="F20" s="219" t="s">
        <v>2</v>
      </c>
      <c r="G20" s="220"/>
      <c r="H20" s="220"/>
      <c r="I20" s="220"/>
      <c r="J20" s="218">
        <v>0</v>
      </c>
      <c r="K20" s="30">
        <f>'기성총괄표(2024용인_지성_제조)'!M22</f>
        <v>0</v>
      </c>
      <c r="L20" s="30">
        <f t="shared" si="1"/>
        <v>0</v>
      </c>
      <c r="M20" s="54" t="s">
        <v>64</v>
      </c>
    </row>
    <row r="21" spans="1:13" ht="30" customHeight="1">
      <c r="A21" s="126"/>
      <c r="B21" s="146" t="s">
        <v>71</v>
      </c>
      <c r="C21" s="33">
        <v>0.1295</v>
      </c>
      <c r="D21" s="7">
        <v>1</v>
      </c>
      <c r="E21" s="6" t="s">
        <v>5</v>
      </c>
      <c r="F21" s="219" t="s">
        <v>72</v>
      </c>
      <c r="G21" s="220"/>
      <c r="H21" s="220"/>
      <c r="I21" s="220"/>
      <c r="J21" s="218">
        <v>0</v>
      </c>
      <c r="K21" s="30">
        <f>'기성총괄표(2024용인_지성_제조)'!M23</f>
        <v>0</v>
      </c>
      <c r="L21" s="30">
        <f t="shared" si="1"/>
        <v>0</v>
      </c>
      <c r="M21" s="54" t="s">
        <v>64</v>
      </c>
    </row>
    <row r="22" spans="1:13" ht="30" customHeight="1">
      <c r="A22" s="126"/>
      <c r="B22" s="145" t="s">
        <v>88</v>
      </c>
      <c r="C22" s="35">
        <v>2.3E-2</v>
      </c>
      <c r="D22" s="7">
        <v>1</v>
      </c>
      <c r="E22" s="6" t="s">
        <v>5</v>
      </c>
      <c r="F22" s="219" t="s">
        <v>204</v>
      </c>
      <c r="G22" s="220"/>
      <c r="H22" s="220"/>
      <c r="I22" s="220"/>
      <c r="J22" s="218">
        <v>0</v>
      </c>
      <c r="K22" s="30">
        <f>'기성총괄표(2024용인_지성_제조)'!M24</f>
        <v>0</v>
      </c>
      <c r="L22" s="30">
        <f t="shared" si="1"/>
        <v>0</v>
      </c>
      <c r="M22" s="54" t="s">
        <v>64</v>
      </c>
    </row>
    <row r="23" spans="1:13" s="52" customFormat="1" ht="30" customHeight="1">
      <c r="A23" s="126"/>
      <c r="B23" s="145" t="s">
        <v>89</v>
      </c>
      <c r="C23" s="33">
        <v>1.9900000000000001E-2</v>
      </c>
      <c r="D23" s="7">
        <v>1</v>
      </c>
      <c r="E23" s="6" t="s">
        <v>5</v>
      </c>
      <c r="F23" s="153" t="s">
        <v>206</v>
      </c>
      <c r="G23" s="222"/>
      <c r="H23" s="222"/>
      <c r="I23" s="222"/>
      <c r="J23" s="218">
        <v>0</v>
      </c>
      <c r="K23" s="30">
        <f>'기성총괄표(2024용인_지성_제조)'!M25</f>
        <v>0</v>
      </c>
      <c r="L23" s="30">
        <f t="shared" si="1"/>
        <v>0</v>
      </c>
      <c r="M23" s="54" t="s">
        <v>64</v>
      </c>
    </row>
    <row r="24" spans="1:13" ht="30" customHeight="1">
      <c r="A24" s="126"/>
      <c r="B24" s="145" t="s">
        <v>90</v>
      </c>
      <c r="C24" s="35">
        <v>4.8000000000000001E-2</v>
      </c>
      <c r="D24" s="7">
        <v>1</v>
      </c>
      <c r="E24" s="6" t="s">
        <v>5</v>
      </c>
      <c r="F24" s="219" t="s">
        <v>73</v>
      </c>
      <c r="G24" s="220"/>
      <c r="H24" s="220"/>
      <c r="I24" s="220"/>
      <c r="J24" s="218">
        <v>0</v>
      </c>
      <c r="K24" s="30">
        <f>'기성총괄표(2024용인_지성_제조)'!M26</f>
        <v>3110746</v>
      </c>
      <c r="L24" s="30">
        <f t="shared" si="1"/>
        <v>3110746</v>
      </c>
      <c r="M24" s="8"/>
    </row>
    <row r="25" spans="1:13" ht="30" customHeight="1">
      <c r="A25" s="126"/>
      <c r="B25" s="145" t="s">
        <v>91</v>
      </c>
      <c r="C25" s="35">
        <v>5.0000000000000001E-3</v>
      </c>
      <c r="D25" s="7">
        <v>1</v>
      </c>
      <c r="E25" s="6" t="s">
        <v>5</v>
      </c>
      <c r="F25" s="219" t="s">
        <v>74</v>
      </c>
      <c r="G25" s="220"/>
      <c r="H25" s="220"/>
      <c r="I25" s="220"/>
      <c r="J25" s="218">
        <v>0</v>
      </c>
      <c r="K25" s="30">
        <f>'기성총괄표(2024용인_지성_제조)'!M27</f>
        <v>0</v>
      </c>
      <c r="L25" s="30">
        <f t="shared" si="1"/>
        <v>0</v>
      </c>
      <c r="M25" s="49" t="s">
        <v>64</v>
      </c>
    </row>
    <row r="26" spans="1:13" ht="30" customHeight="1">
      <c r="A26" s="148"/>
      <c r="B26" s="149" t="s">
        <v>92</v>
      </c>
      <c r="C26" s="150"/>
      <c r="D26" s="64"/>
      <c r="E26" s="61"/>
      <c r="F26" s="219"/>
      <c r="G26" s="220"/>
      <c r="H26" s="220"/>
      <c r="I26" s="220"/>
      <c r="J26" s="218">
        <v>0</v>
      </c>
      <c r="K26" s="30">
        <f>'기성총괄표(2024용인_지성_제조)'!M28</f>
        <v>0</v>
      </c>
      <c r="L26" s="30">
        <f t="shared" si="1"/>
        <v>0</v>
      </c>
      <c r="M26" s="151"/>
    </row>
    <row r="27" spans="1:13" ht="30" customHeight="1">
      <c r="A27" s="148"/>
      <c r="B27" s="146" t="s">
        <v>75</v>
      </c>
      <c r="C27" s="152">
        <v>8.0999999999999996E-4</v>
      </c>
      <c r="D27" s="64">
        <v>1</v>
      </c>
      <c r="E27" s="61" t="s">
        <v>5</v>
      </c>
      <c r="F27" s="219" t="s">
        <v>74</v>
      </c>
      <c r="G27" s="220"/>
      <c r="H27" s="220"/>
      <c r="I27" s="220"/>
      <c r="J27" s="218">
        <v>0</v>
      </c>
      <c r="K27" s="30">
        <f>'기성총괄표(2024용인_지성_제조)'!M29</f>
        <v>0</v>
      </c>
      <c r="L27" s="30">
        <f t="shared" si="1"/>
        <v>0</v>
      </c>
      <c r="M27" s="151" t="s">
        <v>64</v>
      </c>
    </row>
    <row r="28" spans="1:13" ht="30" customHeight="1">
      <c r="A28" s="126"/>
      <c r="B28" s="146" t="s">
        <v>76</v>
      </c>
      <c r="C28" s="33">
        <v>3.2000000000000002E-3</v>
      </c>
      <c r="D28" s="7">
        <v>1</v>
      </c>
      <c r="E28" s="6" t="s">
        <v>5</v>
      </c>
      <c r="F28" s="219" t="s">
        <v>74</v>
      </c>
      <c r="G28" s="220"/>
      <c r="H28" s="220"/>
      <c r="I28" s="220"/>
      <c r="J28" s="218">
        <v>0</v>
      </c>
      <c r="K28" s="30">
        <f>'기성총괄표(2024용인_지성_제조)'!M30</f>
        <v>0</v>
      </c>
      <c r="L28" s="30">
        <f t="shared" si="1"/>
        <v>0</v>
      </c>
      <c r="M28" s="49" t="s">
        <v>64</v>
      </c>
    </row>
    <row r="29" spans="1:13" s="57" customFormat="1" ht="30" customHeight="1">
      <c r="A29" s="154"/>
      <c r="B29" s="155" t="s">
        <v>77</v>
      </c>
      <c r="C29" s="75"/>
      <c r="D29" s="76"/>
      <c r="E29" s="75"/>
      <c r="F29" s="224"/>
      <c r="G29" s="225"/>
      <c r="H29" s="225"/>
      <c r="I29" s="225"/>
      <c r="J29" s="227">
        <v>0</v>
      </c>
      <c r="K29" s="228">
        <f>'기성총괄표(2024용인_지성_제조)'!M31</f>
        <v>79802531</v>
      </c>
      <c r="L29" s="228">
        <f t="shared" si="1"/>
        <v>79802531</v>
      </c>
      <c r="M29" s="81"/>
    </row>
    <row r="30" spans="1:13" ht="30" customHeight="1">
      <c r="A30" s="144" t="s">
        <v>78</v>
      </c>
      <c r="B30" s="146" t="s">
        <v>79</v>
      </c>
      <c r="C30" s="35">
        <v>0.04</v>
      </c>
      <c r="D30" s="7">
        <v>1</v>
      </c>
      <c r="E30" s="6" t="s">
        <v>5</v>
      </c>
      <c r="F30" s="219" t="s">
        <v>80</v>
      </c>
      <c r="G30" s="220"/>
      <c r="H30" s="220"/>
      <c r="I30" s="220"/>
      <c r="J30" s="218">
        <v>0</v>
      </c>
      <c r="K30" s="30">
        <f>'기성총괄표(2024용인_지성_제조)'!M32</f>
        <v>2793088</v>
      </c>
      <c r="L30" s="30">
        <f t="shared" si="1"/>
        <v>2793088</v>
      </c>
      <c r="M30" s="8"/>
    </row>
    <row r="31" spans="1:13" ht="30" customHeight="1">
      <c r="A31" s="144" t="s">
        <v>81</v>
      </c>
      <c r="B31" s="146" t="s">
        <v>82</v>
      </c>
      <c r="C31" s="35">
        <v>0.05</v>
      </c>
      <c r="D31" s="7">
        <v>1</v>
      </c>
      <c r="E31" s="6" t="s">
        <v>5</v>
      </c>
      <c r="F31" s="219" t="s">
        <v>83</v>
      </c>
      <c r="G31" s="220"/>
      <c r="H31" s="220"/>
      <c r="I31" s="220"/>
      <c r="J31" s="218">
        <v>0</v>
      </c>
      <c r="K31" s="30">
        <f>'기성총괄표(2024용인_지성_제조)'!M33</f>
        <v>984381</v>
      </c>
      <c r="L31" s="30">
        <f t="shared" si="1"/>
        <v>984381</v>
      </c>
      <c r="M31" s="49"/>
    </row>
    <row r="32" spans="1:13" s="57" customFormat="1" ht="30" customHeight="1">
      <c r="A32" s="154"/>
      <c r="B32" s="155" t="s">
        <v>85</v>
      </c>
      <c r="C32" s="75"/>
      <c r="D32" s="76"/>
      <c r="E32" s="75"/>
      <c r="F32" s="224"/>
      <c r="G32" s="225"/>
      <c r="H32" s="225"/>
      <c r="I32" s="225"/>
      <c r="J32" s="227">
        <v>0</v>
      </c>
      <c r="K32" s="228">
        <f>'기성총괄표(2024용인_지성_제조)'!M34</f>
        <v>83580000</v>
      </c>
      <c r="L32" s="228">
        <f t="shared" si="1"/>
        <v>83580000</v>
      </c>
      <c r="M32" s="81"/>
    </row>
    <row r="33" spans="1:118" s="57" customFormat="1" ht="30" customHeight="1">
      <c r="A33" s="229"/>
      <c r="B33" s="230" t="s">
        <v>86</v>
      </c>
      <c r="C33" s="231"/>
      <c r="D33" s="232"/>
      <c r="E33" s="231"/>
      <c r="F33" s="224"/>
      <c r="G33" s="225"/>
      <c r="H33" s="225"/>
      <c r="I33" s="225"/>
      <c r="J33" s="227">
        <v>0</v>
      </c>
      <c r="K33" s="228">
        <f>'기성총괄표(2024용인_지성_제조)'!M35</f>
        <v>83580000</v>
      </c>
      <c r="L33" s="228">
        <f t="shared" si="1"/>
        <v>83580000</v>
      </c>
      <c r="M33" s="233"/>
    </row>
    <row r="34" spans="1:118" s="57" customFormat="1" ht="30" customHeight="1">
      <c r="A34" s="154"/>
      <c r="B34" s="155" t="s">
        <v>146</v>
      </c>
      <c r="C34" s="75"/>
      <c r="D34" s="76"/>
      <c r="E34" s="75"/>
      <c r="F34" s="224"/>
      <c r="G34" s="225"/>
      <c r="H34" s="225"/>
      <c r="I34" s="225"/>
      <c r="J34" s="227">
        <v>0</v>
      </c>
      <c r="K34" s="228">
        <f>'기성총괄표(2024용인_지성_제조)'!M36</f>
        <v>8358000</v>
      </c>
      <c r="L34" s="228">
        <f t="shared" si="1"/>
        <v>8358000</v>
      </c>
      <c r="M34" s="81"/>
    </row>
    <row r="35" spans="1:118" s="57" customFormat="1" ht="30" customHeight="1" thickBot="1">
      <c r="A35" s="156"/>
      <c r="B35" s="157" t="s">
        <v>152</v>
      </c>
      <c r="C35" s="158"/>
      <c r="D35" s="159"/>
      <c r="E35" s="158"/>
      <c r="F35" s="234"/>
      <c r="G35" s="235"/>
      <c r="H35" s="235"/>
      <c r="I35" s="235"/>
      <c r="J35" s="237">
        <v>0</v>
      </c>
      <c r="K35" s="228">
        <f>'기성총괄표(2024용인_지성_제조)'!M37</f>
        <v>91938000</v>
      </c>
      <c r="L35" s="238">
        <f t="shared" si="1"/>
        <v>91938000</v>
      </c>
      <c r="M35" s="164"/>
    </row>
    <row r="36" spans="1:118" s="2" customFormat="1" ht="33" customHeight="1">
      <c r="A36" s="1"/>
      <c r="B36" s="1"/>
      <c r="D36" s="38"/>
      <c r="E36" s="5"/>
      <c r="F36" s="39"/>
      <c r="G36" s="38"/>
      <c r="H36" s="40"/>
      <c r="I36" s="38"/>
      <c r="J36" s="38"/>
      <c r="K36" s="40"/>
      <c r="L36" s="40"/>
      <c r="M36" s="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</row>
    <row r="37" spans="1:118" s="2" customFormat="1" ht="30" customHeight="1">
      <c r="A37" s="1"/>
      <c r="B37" s="1"/>
      <c r="D37" s="38"/>
      <c r="E37" s="5"/>
      <c r="F37" s="39"/>
      <c r="G37" s="38"/>
      <c r="H37" s="40"/>
      <c r="I37" s="38"/>
      <c r="J37" s="38"/>
      <c r="K37" s="40"/>
      <c r="L37" s="40"/>
      <c r="M37" s="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</row>
    <row r="41" spans="1:118" s="2" customFormat="1" ht="34.700000000000003" customHeight="1">
      <c r="A41" s="1"/>
      <c r="B41" s="1"/>
      <c r="D41" s="38"/>
      <c r="E41" s="5"/>
      <c r="F41" s="39"/>
      <c r="G41" s="38"/>
      <c r="H41" s="40"/>
      <c r="I41" s="38"/>
      <c r="J41" s="38"/>
      <c r="K41" s="40"/>
      <c r="L41" s="40"/>
      <c r="M41" s="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</row>
  </sheetData>
  <mergeCells count="10">
    <mergeCell ref="F6:I6"/>
    <mergeCell ref="F7:I7"/>
    <mergeCell ref="F8:I8"/>
    <mergeCell ref="A1:M1"/>
    <mergeCell ref="A2:E2"/>
    <mergeCell ref="F2:I2"/>
    <mergeCell ref="F3:I3"/>
    <mergeCell ref="F4:I4"/>
    <mergeCell ref="F5:I5"/>
    <mergeCell ref="L2:M2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r:id="rId1"/>
  <headerFooter alignWithMargins="0">
    <oddFooter>&amp;C&amp;"굴림체,보통"한 국 지 역 난 방 공 사&amp;R- &amp;P -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79998168889431442"/>
  </sheetPr>
  <dimension ref="A1:DS45"/>
  <sheetViews>
    <sheetView view="pageBreakPreview" topLeftCell="B19" zoomScale="85" zoomScaleNormal="85" zoomScaleSheetLayoutView="85" workbookViewId="0">
      <selection activeCell="P33" sqref="P33"/>
    </sheetView>
  </sheetViews>
  <sheetFormatPr defaultRowHeight="34.700000000000003" customHeight="1"/>
  <cols>
    <col min="1" max="1" width="4.625" style="1" customWidth="1"/>
    <col min="2" max="2" width="34.62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6.5" style="38" bestFit="1" customWidth="1"/>
    <col min="8" max="8" width="10.625" style="40" customWidth="1"/>
    <col min="9" max="9" width="14.625" style="38" customWidth="1"/>
    <col min="10" max="10" width="10.625" style="40" customWidth="1"/>
    <col min="11" max="11" width="14.625" style="38" customWidth="1"/>
    <col min="12" max="12" width="10.625" style="40" customWidth="1"/>
    <col min="13" max="13" width="18.625" style="40" customWidth="1"/>
    <col min="14" max="14" width="13" style="5" bestFit="1" customWidth="1"/>
    <col min="15" max="15" width="10.5" style="5" customWidth="1"/>
    <col min="16" max="16" width="20" style="1" customWidth="1"/>
    <col min="17" max="238" width="9" style="1"/>
    <col min="239" max="239" width="4.625" style="1" customWidth="1"/>
    <col min="240" max="240" width="34.625" style="1" customWidth="1"/>
    <col min="241" max="241" width="11.625" style="1" customWidth="1"/>
    <col min="242" max="243" width="6.625" style="1" customWidth="1"/>
    <col min="244" max="244" width="10.625" style="1" customWidth="1"/>
    <col min="245" max="245" width="14.625" style="1" customWidth="1"/>
    <col min="246" max="246" width="10.625" style="1" customWidth="1"/>
    <col min="247" max="247" width="14.625" style="1" customWidth="1"/>
    <col min="248" max="248" width="10.625" style="1" customWidth="1"/>
    <col min="249" max="249" width="14.625" style="1" customWidth="1"/>
    <col min="250" max="250" width="10.625" style="1" customWidth="1"/>
    <col min="251" max="251" width="18.625" style="1" customWidth="1"/>
    <col min="252" max="252" width="9.625" style="1" customWidth="1"/>
    <col min="253" max="253" width="10.5" style="1" customWidth="1"/>
    <col min="254" max="254" width="20.375" style="1" bestFit="1" customWidth="1"/>
    <col min="255" max="255" width="12.5" style="1" customWidth="1"/>
    <col min="256" max="256" width="13.125" style="1" customWidth="1"/>
    <col min="257" max="261" width="9" style="1"/>
    <col min="262" max="262" width="11.25" style="1" bestFit="1" customWidth="1"/>
    <col min="263" max="263" width="11.625" style="1" bestFit="1" customWidth="1"/>
    <col min="264" max="494" width="9" style="1"/>
    <col min="495" max="495" width="4.625" style="1" customWidth="1"/>
    <col min="496" max="496" width="34.625" style="1" customWidth="1"/>
    <col min="497" max="497" width="11.625" style="1" customWidth="1"/>
    <col min="498" max="499" width="6.625" style="1" customWidth="1"/>
    <col min="500" max="500" width="10.625" style="1" customWidth="1"/>
    <col min="501" max="501" width="14.625" style="1" customWidth="1"/>
    <col min="502" max="502" width="10.625" style="1" customWidth="1"/>
    <col min="503" max="503" width="14.625" style="1" customWidth="1"/>
    <col min="504" max="504" width="10.625" style="1" customWidth="1"/>
    <col min="505" max="505" width="14.625" style="1" customWidth="1"/>
    <col min="506" max="506" width="10.625" style="1" customWidth="1"/>
    <col min="507" max="507" width="18.625" style="1" customWidth="1"/>
    <col min="508" max="508" width="9.625" style="1" customWidth="1"/>
    <col min="509" max="509" width="10.5" style="1" customWidth="1"/>
    <col min="510" max="510" width="20.375" style="1" bestFit="1" customWidth="1"/>
    <col min="511" max="511" width="12.5" style="1" customWidth="1"/>
    <col min="512" max="512" width="13.125" style="1" customWidth="1"/>
    <col min="513" max="517" width="9" style="1"/>
    <col min="518" max="518" width="11.25" style="1" bestFit="1" customWidth="1"/>
    <col min="519" max="519" width="11.625" style="1" bestFit="1" customWidth="1"/>
    <col min="520" max="750" width="9" style="1"/>
    <col min="751" max="751" width="4.625" style="1" customWidth="1"/>
    <col min="752" max="752" width="34.625" style="1" customWidth="1"/>
    <col min="753" max="753" width="11.625" style="1" customWidth="1"/>
    <col min="754" max="755" width="6.625" style="1" customWidth="1"/>
    <col min="756" max="756" width="10.625" style="1" customWidth="1"/>
    <col min="757" max="757" width="14.625" style="1" customWidth="1"/>
    <col min="758" max="758" width="10.625" style="1" customWidth="1"/>
    <col min="759" max="759" width="14.625" style="1" customWidth="1"/>
    <col min="760" max="760" width="10.625" style="1" customWidth="1"/>
    <col min="761" max="761" width="14.625" style="1" customWidth="1"/>
    <col min="762" max="762" width="10.625" style="1" customWidth="1"/>
    <col min="763" max="763" width="18.625" style="1" customWidth="1"/>
    <col min="764" max="764" width="9.625" style="1" customWidth="1"/>
    <col min="765" max="765" width="10.5" style="1" customWidth="1"/>
    <col min="766" max="766" width="20.375" style="1" bestFit="1" customWidth="1"/>
    <col min="767" max="767" width="12.5" style="1" customWidth="1"/>
    <col min="768" max="768" width="13.125" style="1" customWidth="1"/>
    <col min="769" max="773" width="9" style="1"/>
    <col min="774" max="774" width="11.25" style="1" bestFit="1" customWidth="1"/>
    <col min="775" max="775" width="11.625" style="1" bestFit="1" customWidth="1"/>
    <col min="776" max="1006" width="9" style="1"/>
    <col min="1007" max="1007" width="4.625" style="1" customWidth="1"/>
    <col min="1008" max="1008" width="34.625" style="1" customWidth="1"/>
    <col min="1009" max="1009" width="11.625" style="1" customWidth="1"/>
    <col min="1010" max="1011" width="6.625" style="1" customWidth="1"/>
    <col min="1012" max="1012" width="10.625" style="1" customWidth="1"/>
    <col min="1013" max="1013" width="14.625" style="1" customWidth="1"/>
    <col min="1014" max="1014" width="10.625" style="1" customWidth="1"/>
    <col min="1015" max="1015" width="14.625" style="1" customWidth="1"/>
    <col min="1016" max="1016" width="10.625" style="1" customWidth="1"/>
    <col min="1017" max="1017" width="14.625" style="1" customWidth="1"/>
    <col min="1018" max="1018" width="10.625" style="1" customWidth="1"/>
    <col min="1019" max="1019" width="18.625" style="1" customWidth="1"/>
    <col min="1020" max="1020" width="9.625" style="1" customWidth="1"/>
    <col min="1021" max="1021" width="10.5" style="1" customWidth="1"/>
    <col min="1022" max="1022" width="20.375" style="1" bestFit="1" customWidth="1"/>
    <col min="1023" max="1023" width="12.5" style="1" customWidth="1"/>
    <col min="1024" max="1024" width="13.125" style="1" customWidth="1"/>
    <col min="1025" max="1029" width="9" style="1"/>
    <col min="1030" max="1030" width="11.25" style="1" bestFit="1" customWidth="1"/>
    <col min="1031" max="1031" width="11.625" style="1" bestFit="1" customWidth="1"/>
    <col min="1032" max="1262" width="9" style="1"/>
    <col min="1263" max="1263" width="4.625" style="1" customWidth="1"/>
    <col min="1264" max="1264" width="34.625" style="1" customWidth="1"/>
    <col min="1265" max="1265" width="11.625" style="1" customWidth="1"/>
    <col min="1266" max="1267" width="6.625" style="1" customWidth="1"/>
    <col min="1268" max="1268" width="10.625" style="1" customWidth="1"/>
    <col min="1269" max="1269" width="14.625" style="1" customWidth="1"/>
    <col min="1270" max="1270" width="10.625" style="1" customWidth="1"/>
    <col min="1271" max="1271" width="14.625" style="1" customWidth="1"/>
    <col min="1272" max="1272" width="10.625" style="1" customWidth="1"/>
    <col min="1273" max="1273" width="14.625" style="1" customWidth="1"/>
    <col min="1274" max="1274" width="10.625" style="1" customWidth="1"/>
    <col min="1275" max="1275" width="18.625" style="1" customWidth="1"/>
    <col min="1276" max="1276" width="9.625" style="1" customWidth="1"/>
    <col min="1277" max="1277" width="10.5" style="1" customWidth="1"/>
    <col min="1278" max="1278" width="20.375" style="1" bestFit="1" customWidth="1"/>
    <col min="1279" max="1279" width="12.5" style="1" customWidth="1"/>
    <col min="1280" max="1280" width="13.125" style="1" customWidth="1"/>
    <col min="1281" max="1285" width="9" style="1"/>
    <col min="1286" max="1286" width="11.25" style="1" bestFit="1" customWidth="1"/>
    <col min="1287" max="1287" width="11.625" style="1" bestFit="1" customWidth="1"/>
    <col min="1288" max="1518" width="9" style="1"/>
    <col min="1519" max="1519" width="4.625" style="1" customWidth="1"/>
    <col min="1520" max="1520" width="34.625" style="1" customWidth="1"/>
    <col min="1521" max="1521" width="11.625" style="1" customWidth="1"/>
    <col min="1522" max="1523" width="6.625" style="1" customWidth="1"/>
    <col min="1524" max="1524" width="10.625" style="1" customWidth="1"/>
    <col min="1525" max="1525" width="14.625" style="1" customWidth="1"/>
    <col min="1526" max="1526" width="10.625" style="1" customWidth="1"/>
    <col min="1527" max="1527" width="14.625" style="1" customWidth="1"/>
    <col min="1528" max="1528" width="10.625" style="1" customWidth="1"/>
    <col min="1529" max="1529" width="14.625" style="1" customWidth="1"/>
    <col min="1530" max="1530" width="10.625" style="1" customWidth="1"/>
    <col min="1531" max="1531" width="18.625" style="1" customWidth="1"/>
    <col min="1532" max="1532" width="9.625" style="1" customWidth="1"/>
    <col min="1533" max="1533" width="10.5" style="1" customWidth="1"/>
    <col min="1534" max="1534" width="20.375" style="1" bestFit="1" customWidth="1"/>
    <col min="1535" max="1535" width="12.5" style="1" customWidth="1"/>
    <col min="1536" max="1536" width="13.125" style="1" customWidth="1"/>
    <col min="1537" max="1541" width="9" style="1"/>
    <col min="1542" max="1542" width="11.25" style="1" bestFit="1" customWidth="1"/>
    <col min="1543" max="1543" width="11.625" style="1" bestFit="1" customWidth="1"/>
    <col min="1544" max="1774" width="9" style="1"/>
    <col min="1775" max="1775" width="4.625" style="1" customWidth="1"/>
    <col min="1776" max="1776" width="34.625" style="1" customWidth="1"/>
    <col min="1777" max="1777" width="11.625" style="1" customWidth="1"/>
    <col min="1778" max="1779" width="6.625" style="1" customWidth="1"/>
    <col min="1780" max="1780" width="10.625" style="1" customWidth="1"/>
    <col min="1781" max="1781" width="14.625" style="1" customWidth="1"/>
    <col min="1782" max="1782" width="10.625" style="1" customWidth="1"/>
    <col min="1783" max="1783" width="14.625" style="1" customWidth="1"/>
    <col min="1784" max="1784" width="10.625" style="1" customWidth="1"/>
    <col min="1785" max="1785" width="14.625" style="1" customWidth="1"/>
    <col min="1786" max="1786" width="10.625" style="1" customWidth="1"/>
    <col min="1787" max="1787" width="18.625" style="1" customWidth="1"/>
    <col min="1788" max="1788" width="9.625" style="1" customWidth="1"/>
    <col min="1789" max="1789" width="10.5" style="1" customWidth="1"/>
    <col min="1790" max="1790" width="20.375" style="1" bestFit="1" customWidth="1"/>
    <col min="1791" max="1791" width="12.5" style="1" customWidth="1"/>
    <col min="1792" max="1792" width="13.125" style="1" customWidth="1"/>
    <col min="1793" max="1797" width="9" style="1"/>
    <col min="1798" max="1798" width="11.25" style="1" bestFit="1" customWidth="1"/>
    <col min="1799" max="1799" width="11.625" style="1" bestFit="1" customWidth="1"/>
    <col min="1800" max="2030" width="9" style="1"/>
    <col min="2031" max="2031" width="4.625" style="1" customWidth="1"/>
    <col min="2032" max="2032" width="34.625" style="1" customWidth="1"/>
    <col min="2033" max="2033" width="11.625" style="1" customWidth="1"/>
    <col min="2034" max="2035" width="6.625" style="1" customWidth="1"/>
    <col min="2036" max="2036" width="10.625" style="1" customWidth="1"/>
    <col min="2037" max="2037" width="14.625" style="1" customWidth="1"/>
    <col min="2038" max="2038" width="10.625" style="1" customWidth="1"/>
    <col min="2039" max="2039" width="14.625" style="1" customWidth="1"/>
    <col min="2040" max="2040" width="10.625" style="1" customWidth="1"/>
    <col min="2041" max="2041" width="14.625" style="1" customWidth="1"/>
    <col min="2042" max="2042" width="10.625" style="1" customWidth="1"/>
    <col min="2043" max="2043" width="18.625" style="1" customWidth="1"/>
    <col min="2044" max="2044" width="9.625" style="1" customWidth="1"/>
    <col min="2045" max="2045" width="10.5" style="1" customWidth="1"/>
    <col min="2046" max="2046" width="20.375" style="1" bestFit="1" customWidth="1"/>
    <col min="2047" max="2047" width="12.5" style="1" customWidth="1"/>
    <col min="2048" max="2048" width="13.125" style="1" customWidth="1"/>
    <col min="2049" max="2053" width="9" style="1"/>
    <col min="2054" max="2054" width="11.25" style="1" bestFit="1" customWidth="1"/>
    <col min="2055" max="2055" width="11.625" style="1" bestFit="1" customWidth="1"/>
    <col min="2056" max="2286" width="9" style="1"/>
    <col min="2287" max="2287" width="4.625" style="1" customWidth="1"/>
    <col min="2288" max="2288" width="34.625" style="1" customWidth="1"/>
    <col min="2289" max="2289" width="11.625" style="1" customWidth="1"/>
    <col min="2290" max="2291" width="6.625" style="1" customWidth="1"/>
    <col min="2292" max="2292" width="10.625" style="1" customWidth="1"/>
    <col min="2293" max="2293" width="14.625" style="1" customWidth="1"/>
    <col min="2294" max="2294" width="10.625" style="1" customWidth="1"/>
    <col min="2295" max="2295" width="14.625" style="1" customWidth="1"/>
    <col min="2296" max="2296" width="10.625" style="1" customWidth="1"/>
    <col min="2297" max="2297" width="14.625" style="1" customWidth="1"/>
    <col min="2298" max="2298" width="10.625" style="1" customWidth="1"/>
    <col min="2299" max="2299" width="18.625" style="1" customWidth="1"/>
    <col min="2300" max="2300" width="9.625" style="1" customWidth="1"/>
    <col min="2301" max="2301" width="10.5" style="1" customWidth="1"/>
    <col min="2302" max="2302" width="20.375" style="1" bestFit="1" customWidth="1"/>
    <col min="2303" max="2303" width="12.5" style="1" customWidth="1"/>
    <col min="2304" max="2304" width="13.125" style="1" customWidth="1"/>
    <col min="2305" max="2309" width="9" style="1"/>
    <col min="2310" max="2310" width="11.25" style="1" bestFit="1" customWidth="1"/>
    <col min="2311" max="2311" width="11.625" style="1" bestFit="1" customWidth="1"/>
    <col min="2312" max="2542" width="9" style="1"/>
    <col min="2543" max="2543" width="4.625" style="1" customWidth="1"/>
    <col min="2544" max="2544" width="34.625" style="1" customWidth="1"/>
    <col min="2545" max="2545" width="11.625" style="1" customWidth="1"/>
    <col min="2546" max="2547" width="6.625" style="1" customWidth="1"/>
    <col min="2548" max="2548" width="10.625" style="1" customWidth="1"/>
    <col min="2549" max="2549" width="14.625" style="1" customWidth="1"/>
    <col min="2550" max="2550" width="10.625" style="1" customWidth="1"/>
    <col min="2551" max="2551" width="14.625" style="1" customWidth="1"/>
    <col min="2552" max="2552" width="10.625" style="1" customWidth="1"/>
    <col min="2553" max="2553" width="14.625" style="1" customWidth="1"/>
    <col min="2554" max="2554" width="10.625" style="1" customWidth="1"/>
    <col min="2555" max="2555" width="18.625" style="1" customWidth="1"/>
    <col min="2556" max="2556" width="9.625" style="1" customWidth="1"/>
    <col min="2557" max="2557" width="10.5" style="1" customWidth="1"/>
    <col min="2558" max="2558" width="20.375" style="1" bestFit="1" customWidth="1"/>
    <col min="2559" max="2559" width="12.5" style="1" customWidth="1"/>
    <col min="2560" max="2560" width="13.125" style="1" customWidth="1"/>
    <col min="2561" max="2565" width="9" style="1"/>
    <col min="2566" max="2566" width="11.25" style="1" bestFit="1" customWidth="1"/>
    <col min="2567" max="2567" width="11.625" style="1" bestFit="1" customWidth="1"/>
    <col min="2568" max="2798" width="9" style="1"/>
    <col min="2799" max="2799" width="4.625" style="1" customWidth="1"/>
    <col min="2800" max="2800" width="34.625" style="1" customWidth="1"/>
    <col min="2801" max="2801" width="11.625" style="1" customWidth="1"/>
    <col min="2802" max="2803" width="6.625" style="1" customWidth="1"/>
    <col min="2804" max="2804" width="10.625" style="1" customWidth="1"/>
    <col min="2805" max="2805" width="14.625" style="1" customWidth="1"/>
    <col min="2806" max="2806" width="10.625" style="1" customWidth="1"/>
    <col min="2807" max="2807" width="14.625" style="1" customWidth="1"/>
    <col min="2808" max="2808" width="10.625" style="1" customWidth="1"/>
    <col min="2809" max="2809" width="14.625" style="1" customWidth="1"/>
    <col min="2810" max="2810" width="10.625" style="1" customWidth="1"/>
    <col min="2811" max="2811" width="18.625" style="1" customWidth="1"/>
    <col min="2812" max="2812" width="9.625" style="1" customWidth="1"/>
    <col min="2813" max="2813" width="10.5" style="1" customWidth="1"/>
    <col min="2814" max="2814" width="20.375" style="1" bestFit="1" customWidth="1"/>
    <col min="2815" max="2815" width="12.5" style="1" customWidth="1"/>
    <col min="2816" max="2816" width="13.125" style="1" customWidth="1"/>
    <col min="2817" max="2821" width="9" style="1"/>
    <col min="2822" max="2822" width="11.25" style="1" bestFit="1" customWidth="1"/>
    <col min="2823" max="2823" width="11.625" style="1" bestFit="1" customWidth="1"/>
    <col min="2824" max="3054" width="9" style="1"/>
    <col min="3055" max="3055" width="4.625" style="1" customWidth="1"/>
    <col min="3056" max="3056" width="34.625" style="1" customWidth="1"/>
    <col min="3057" max="3057" width="11.625" style="1" customWidth="1"/>
    <col min="3058" max="3059" width="6.625" style="1" customWidth="1"/>
    <col min="3060" max="3060" width="10.625" style="1" customWidth="1"/>
    <col min="3061" max="3061" width="14.625" style="1" customWidth="1"/>
    <col min="3062" max="3062" width="10.625" style="1" customWidth="1"/>
    <col min="3063" max="3063" width="14.625" style="1" customWidth="1"/>
    <col min="3064" max="3064" width="10.625" style="1" customWidth="1"/>
    <col min="3065" max="3065" width="14.625" style="1" customWidth="1"/>
    <col min="3066" max="3066" width="10.625" style="1" customWidth="1"/>
    <col min="3067" max="3067" width="18.625" style="1" customWidth="1"/>
    <col min="3068" max="3068" width="9.625" style="1" customWidth="1"/>
    <col min="3069" max="3069" width="10.5" style="1" customWidth="1"/>
    <col min="3070" max="3070" width="20.375" style="1" bestFit="1" customWidth="1"/>
    <col min="3071" max="3071" width="12.5" style="1" customWidth="1"/>
    <col min="3072" max="3072" width="13.125" style="1" customWidth="1"/>
    <col min="3073" max="3077" width="9" style="1"/>
    <col min="3078" max="3078" width="11.25" style="1" bestFit="1" customWidth="1"/>
    <col min="3079" max="3079" width="11.625" style="1" bestFit="1" customWidth="1"/>
    <col min="3080" max="3310" width="9" style="1"/>
    <col min="3311" max="3311" width="4.625" style="1" customWidth="1"/>
    <col min="3312" max="3312" width="34.625" style="1" customWidth="1"/>
    <col min="3313" max="3313" width="11.625" style="1" customWidth="1"/>
    <col min="3314" max="3315" width="6.625" style="1" customWidth="1"/>
    <col min="3316" max="3316" width="10.625" style="1" customWidth="1"/>
    <col min="3317" max="3317" width="14.625" style="1" customWidth="1"/>
    <col min="3318" max="3318" width="10.625" style="1" customWidth="1"/>
    <col min="3319" max="3319" width="14.625" style="1" customWidth="1"/>
    <col min="3320" max="3320" width="10.625" style="1" customWidth="1"/>
    <col min="3321" max="3321" width="14.625" style="1" customWidth="1"/>
    <col min="3322" max="3322" width="10.625" style="1" customWidth="1"/>
    <col min="3323" max="3323" width="18.625" style="1" customWidth="1"/>
    <col min="3324" max="3324" width="9.625" style="1" customWidth="1"/>
    <col min="3325" max="3325" width="10.5" style="1" customWidth="1"/>
    <col min="3326" max="3326" width="20.375" style="1" bestFit="1" customWidth="1"/>
    <col min="3327" max="3327" width="12.5" style="1" customWidth="1"/>
    <col min="3328" max="3328" width="13.125" style="1" customWidth="1"/>
    <col min="3329" max="3333" width="9" style="1"/>
    <col min="3334" max="3334" width="11.25" style="1" bestFit="1" customWidth="1"/>
    <col min="3335" max="3335" width="11.625" style="1" bestFit="1" customWidth="1"/>
    <col min="3336" max="3566" width="9" style="1"/>
    <col min="3567" max="3567" width="4.625" style="1" customWidth="1"/>
    <col min="3568" max="3568" width="34.625" style="1" customWidth="1"/>
    <col min="3569" max="3569" width="11.625" style="1" customWidth="1"/>
    <col min="3570" max="3571" width="6.625" style="1" customWidth="1"/>
    <col min="3572" max="3572" width="10.625" style="1" customWidth="1"/>
    <col min="3573" max="3573" width="14.625" style="1" customWidth="1"/>
    <col min="3574" max="3574" width="10.625" style="1" customWidth="1"/>
    <col min="3575" max="3575" width="14.625" style="1" customWidth="1"/>
    <col min="3576" max="3576" width="10.625" style="1" customWidth="1"/>
    <col min="3577" max="3577" width="14.625" style="1" customWidth="1"/>
    <col min="3578" max="3578" width="10.625" style="1" customWidth="1"/>
    <col min="3579" max="3579" width="18.625" style="1" customWidth="1"/>
    <col min="3580" max="3580" width="9.625" style="1" customWidth="1"/>
    <col min="3581" max="3581" width="10.5" style="1" customWidth="1"/>
    <col min="3582" max="3582" width="20.375" style="1" bestFit="1" customWidth="1"/>
    <col min="3583" max="3583" width="12.5" style="1" customWidth="1"/>
    <col min="3584" max="3584" width="13.125" style="1" customWidth="1"/>
    <col min="3585" max="3589" width="9" style="1"/>
    <col min="3590" max="3590" width="11.25" style="1" bestFit="1" customWidth="1"/>
    <col min="3591" max="3591" width="11.625" style="1" bestFit="1" customWidth="1"/>
    <col min="3592" max="3822" width="9" style="1"/>
    <col min="3823" max="3823" width="4.625" style="1" customWidth="1"/>
    <col min="3824" max="3824" width="34.625" style="1" customWidth="1"/>
    <col min="3825" max="3825" width="11.625" style="1" customWidth="1"/>
    <col min="3826" max="3827" width="6.625" style="1" customWidth="1"/>
    <col min="3828" max="3828" width="10.625" style="1" customWidth="1"/>
    <col min="3829" max="3829" width="14.625" style="1" customWidth="1"/>
    <col min="3830" max="3830" width="10.625" style="1" customWidth="1"/>
    <col min="3831" max="3831" width="14.625" style="1" customWidth="1"/>
    <col min="3832" max="3832" width="10.625" style="1" customWidth="1"/>
    <col min="3833" max="3833" width="14.625" style="1" customWidth="1"/>
    <col min="3834" max="3834" width="10.625" style="1" customWidth="1"/>
    <col min="3835" max="3835" width="18.625" style="1" customWidth="1"/>
    <col min="3836" max="3836" width="9.625" style="1" customWidth="1"/>
    <col min="3837" max="3837" width="10.5" style="1" customWidth="1"/>
    <col min="3838" max="3838" width="20.375" style="1" bestFit="1" customWidth="1"/>
    <col min="3839" max="3839" width="12.5" style="1" customWidth="1"/>
    <col min="3840" max="3840" width="13.125" style="1" customWidth="1"/>
    <col min="3841" max="3845" width="9" style="1"/>
    <col min="3846" max="3846" width="11.25" style="1" bestFit="1" customWidth="1"/>
    <col min="3847" max="3847" width="11.625" style="1" bestFit="1" customWidth="1"/>
    <col min="3848" max="4078" width="9" style="1"/>
    <col min="4079" max="4079" width="4.625" style="1" customWidth="1"/>
    <col min="4080" max="4080" width="34.625" style="1" customWidth="1"/>
    <col min="4081" max="4081" width="11.625" style="1" customWidth="1"/>
    <col min="4082" max="4083" width="6.625" style="1" customWidth="1"/>
    <col min="4084" max="4084" width="10.625" style="1" customWidth="1"/>
    <col min="4085" max="4085" width="14.625" style="1" customWidth="1"/>
    <col min="4086" max="4086" width="10.625" style="1" customWidth="1"/>
    <col min="4087" max="4087" width="14.625" style="1" customWidth="1"/>
    <col min="4088" max="4088" width="10.625" style="1" customWidth="1"/>
    <col min="4089" max="4089" width="14.625" style="1" customWidth="1"/>
    <col min="4090" max="4090" width="10.625" style="1" customWidth="1"/>
    <col min="4091" max="4091" width="18.625" style="1" customWidth="1"/>
    <col min="4092" max="4092" width="9.625" style="1" customWidth="1"/>
    <col min="4093" max="4093" width="10.5" style="1" customWidth="1"/>
    <col min="4094" max="4094" width="20.375" style="1" bestFit="1" customWidth="1"/>
    <col min="4095" max="4095" width="12.5" style="1" customWidth="1"/>
    <col min="4096" max="4096" width="13.125" style="1" customWidth="1"/>
    <col min="4097" max="4101" width="9" style="1"/>
    <col min="4102" max="4102" width="11.25" style="1" bestFit="1" customWidth="1"/>
    <col min="4103" max="4103" width="11.625" style="1" bestFit="1" customWidth="1"/>
    <col min="4104" max="4334" width="9" style="1"/>
    <col min="4335" max="4335" width="4.625" style="1" customWidth="1"/>
    <col min="4336" max="4336" width="34.625" style="1" customWidth="1"/>
    <col min="4337" max="4337" width="11.625" style="1" customWidth="1"/>
    <col min="4338" max="4339" width="6.625" style="1" customWidth="1"/>
    <col min="4340" max="4340" width="10.625" style="1" customWidth="1"/>
    <col min="4341" max="4341" width="14.625" style="1" customWidth="1"/>
    <col min="4342" max="4342" width="10.625" style="1" customWidth="1"/>
    <col min="4343" max="4343" width="14.625" style="1" customWidth="1"/>
    <col min="4344" max="4344" width="10.625" style="1" customWidth="1"/>
    <col min="4345" max="4345" width="14.625" style="1" customWidth="1"/>
    <col min="4346" max="4346" width="10.625" style="1" customWidth="1"/>
    <col min="4347" max="4347" width="18.625" style="1" customWidth="1"/>
    <col min="4348" max="4348" width="9.625" style="1" customWidth="1"/>
    <col min="4349" max="4349" width="10.5" style="1" customWidth="1"/>
    <col min="4350" max="4350" width="20.375" style="1" bestFit="1" customWidth="1"/>
    <col min="4351" max="4351" width="12.5" style="1" customWidth="1"/>
    <col min="4352" max="4352" width="13.125" style="1" customWidth="1"/>
    <col min="4353" max="4357" width="9" style="1"/>
    <col min="4358" max="4358" width="11.25" style="1" bestFit="1" customWidth="1"/>
    <col min="4359" max="4359" width="11.625" style="1" bestFit="1" customWidth="1"/>
    <col min="4360" max="4590" width="9" style="1"/>
    <col min="4591" max="4591" width="4.625" style="1" customWidth="1"/>
    <col min="4592" max="4592" width="34.625" style="1" customWidth="1"/>
    <col min="4593" max="4593" width="11.625" style="1" customWidth="1"/>
    <col min="4594" max="4595" width="6.625" style="1" customWidth="1"/>
    <col min="4596" max="4596" width="10.625" style="1" customWidth="1"/>
    <col min="4597" max="4597" width="14.625" style="1" customWidth="1"/>
    <col min="4598" max="4598" width="10.625" style="1" customWidth="1"/>
    <col min="4599" max="4599" width="14.625" style="1" customWidth="1"/>
    <col min="4600" max="4600" width="10.625" style="1" customWidth="1"/>
    <col min="4601" max="4601" width="14.625" style="1" customWidth="1"/>
    <col min="4602" max="4602" width="10.625" style="1" customWidth="1"/>
    <col min="4603" max="4603" width="18.625" style="1" customWidth="1"/>
    <col min="4604" max="4604" width="9.625" style="1" customWidth="1"/>
    <col min="4605" max="4605" width="10.5" style="1" customWidth="1"/>
    <col min="4606" max="4606" width="20.375" style="1" bestFit="1" customWidth="1"/>
    <col min="4607" max="4607" width="12.5" style="1" customWidth="1"/>
    <col min="4608" max="4608" width="13.125" style="1" customWidth="1"/>
    <col min="4609" max="4613" width="9" style="1"/>
    <col min="4614" max="4614" width="11.25" style="1" bestFit="1" customWidth="1"/>
    <col min="4615" max="4615" width="11.625" style="1" bestFit="1" customWidth="1"/>
    <col min="4616" max="4846" width="9" style="1"/>
    <col min="4847" max="4847" width="4.625" style="1" customWidth="1"/>
    <col min="4848" max="4848" width="34.625" style="1" customWidth="1"/>
    <col min="4849" max="4849" width="11.625" style="1" customWidth="1"/>
    <col min="4850" max="4851" width="6.625" style="1" customWidth="1"/>
    <col min="4852" max="4852" width="10.625" style="1" customWidth="1"/>
    <col min="4853" max="4853" width="14.625" style="1" customWidth="1"/>
    <col min="4854" max="4854" width="10.625" style="1" customWidth="1"/>
    <col min="4855" max="4855" width="14.625" style="1" customWidth="1"/>
    <col min="4856" max="4856" width="10.625" style="1" customWidth="1"/>
    <col min="4857" max="4857" width="14.625" style="1" customWidth="1"/>
    <col min="4858" max="4858" width="10.625" style="1" customWidth="1"/>
    <col min="4859" max="4859" width="18.625" style="1" customWidth="1"/>
    <col min="4860" max="4860" width="9.625" style="1" customWidth="1"/>
    <col min="4861" max="4861" width="10.5" style="1" customWidth="1"/>
    <col min="4862" max="4862" width="20.375" style="1" bestFit="1" customWidth="1"/>
    <col min="4863" max="4863" width="12.5" style="1" customWidth="1"/>
    <col min="4864" max="4864" width="13.125" style="1" customWidth="1"/>
    <col min="4865" max="4869" width="9" style="1"/>
    <col min="4870" max="4870" width="11.25" style="1" bestFit="1" customWidth="1"/>
    <col min="4871" max="4871" width="11.625" style="1" bestFit="1" customWidth="1"/>
    <col min="4872" max="5102" width="9" style="1"/>
    <col min="5103" max="5103" width="4.625" style="1" customWidth="1"/>
    <col min="5104" max="5104" width="34.625" style="1" customWidth="1"/>
    <col min="5105" max="5105" width="11.625" style="1" customWidth="1"/>
    <col min="5106" max="5107" width="6.625" style="1" customWidth="1"/>
    <col min="5108" max="5108" width="10.625" style="1" customWidth="1"/>
    <col min="5109" max="5109" width="14.625" style="1" customWidth="1"/>
    <col min="5110" max="5110" width="10.625" style="1" customWidth="1"/>
    <col min="5111" max="5111" width="14.625" style="1" customWidth="1"/>
    <col min="5112" max="5112" width="10.625" style="1" customWidth="1"/>
    <col min="5113" max="5113" width="14.625" style="1" customWidth="1"/>
    <col min="5114" max="5114" width="10.625" style="1" customWidth="1"/>
    <col min="5115" max="5115" width="18.625" style="1" customWidth="1"/>
    <col min="5116" max="5116" width="9.625" style="1" customWidth="1"/>
    <col min="5117" max="5117" width="10.5" style="1" customWidth="1"/>
    <col min="5118" max="5118" width="20.375" style="1" bestFit="1" customWidth="1"/>
    <col min="5119" max="5119" width="12.5" style="1" customWidth="1"/>
    <col min="5120" max="5120" width="13.125" style="1" customWidth="1"/>
    <col min="5121" max="5125" width="9" style="1"/>
    <col min="5126" max="5126" width="11.25" style="1" bestFit="1" customWidth="1"/>
    <col min="5127" max="5127" width="11.625" style="1" bestFit="1" customWidth="1"/>
    <col min="5128" max="5358" width="9" style="1"/>
    <col min="5359" max="5359" width="4.625" style="1" customWidth="1"/>
    <col min="5360" max="5360" width="34.625" style="1" customWidth="1"/>
    <col min="5361" max="5361" width="11.625" style="1" customWidth="1"/>
    <col min="5362" max="5363" width="6.625" style="1" customWidth="1"/>
    <col min="5364" max="5364" width="10.625" style="1" customWidth="1"/>
    <col min="5365" max="5365" width="14.625" style="1" customWidth="1"/>
    <col min="5366" max="5366" width="10.625" style="1" customWidth="1"/>
    <col min="5367" max="5367" width="14.625" style="1" customWidth="1"/>
    <col min="5368" max="5368" width="10.625" style="1" customWidth="1"/>
    <col min="5369" max="5369" width="14.625" style="1" customWidth="1"/>
    <col min="5370" max="5370" width="10.625" style="1" customWidth="1"/>
    <col min="5371" max="5371" width="18.625" style="1" customWidth="1"/>
    <col min="5372" max="5372" width="9.625" style="1" customWidth="1"/>
    <col min="5373" max="5373" width="10.5" style="1" customWidth="1"/>
    <col min="5374" max="5374" width="20.375" style="1" bestFit="1" customWidth="1"/>
    <col min="5375" max="5375" width="12.5" style="1" customWidth="1"/>
    <col min="5376" max="5376" width="13.125" style="1" customWidth="1"/>
    <col min="5377" max="5381" width="9" style="1"/>
    <col min="5382" max="5382" width="11.25" style="1" bestFit="1" customWidth="1"/>
    <col min="5383" max="5383" width="11.625" style="1" bestFit="1" customWidth="1"/>
    <col min="5384" max="5614" width="9" style="1"/>
    <col min="5615" max="5615" width="4.625" style="1" customWidth="1"/>
    <col min="5616" max="5616" width="34.625" style="1" customWidth="1"/>
    <col min="5617" max="5617" width="11.625" style="1" customWidth="1"/>
    <col min="5618" max="5619" width="6.625" style="1" customWidth="1"/>
    <col min="5620" max="5620" width="10.625" style="1" customWidth="1"/>
    <col min="5621" max="5621" width="14.625" style="1" customWidth="1"/>
    <col min="5622" max="5622" width="10.625" style="1" customWidth="1"/>
    <col min="5623" max="5623" width="14.625" style="1" customWidth="1"/>
    <col min="5624" max="5624" width="10.625" style="1" customWidth="1"/>
    <col min="5625" max="5625" width="14.625" style="1" customWidth="1"/>
    <col min="5626" max="5626" width="10.625" style="1" customWidth="1"/>
    <col min="5627" max="5627" width="18.625" style="1" customWidth="1"/>
    <col min="5628" max="5628" width="9.625" style="1" customWidth="1"/>
    <col min="5629" max="5629" width="10.5" style="1" customWidth="1"/>
    <col min="5630" max="5630" width="20.375" style="1" bestFit="1" customWidth="1"/>
    <col min="5631" max="5631" width="12.5" style="1" customWidth="1"/>
    <col min="5632" max="5632" width="13.125" style="1" customWidth="1"/>
    <col min="5633" max="5637" width="9" style="1"/>
    <col min="5638" max="5638" width="11.25" style="1" bestFit="1" customWidth="1"/>
    <col min="5639" max="5639" width="11.625" style="1" bestFit="1" customWidth="1"/>
    <col min="5640" max="5870" width="9" style="1"/>
    <col min="5871" max="5871" width="4.625" style="1" customWidth="1"/>
    <col min="5872" max="5872" width="34.625" style="1" customWidth="1"/>
    <col min="5873" max="5873" width="11.625" style="1" customWidth="1"/>
    <col min="5874" max="5875" width="6.625" style="1" customWidth="1"/>
    <col min="5876" max="5876" width="10.625" style="1" customWidth="1"/>
    <col min="5877" max="5877" width="14.625" style="1" customWidth="1"/>
    <col min="5878" max="5878" width="10.625" style="1" customWidth="1"/>
    <col min="5879" max="5879" width="14.625" style="1" customWidth="1"/>
    <col min="5880" max="5880" width="10.625" style="1" customWidth="1"/>
    <col min="5881" max="5881" width="14.625" style="1" customWidth="1"/>
    <col min="5882" max="5882" width="10.625" style="1" customWidth="1"/>
    <col min="5883" max="5883" width="18.625" style="1" customWidth="1"/>
    <col min="5884" max="5884" width="9.625" style="1" customWidth="1"/>
    <col min="5885" max="5885" width="10.5" style="1" customWidth="1"/>
    <col min="5886" max="5886" width="20.375" style="1" bestFit="1" customWidth="1"/>
    <col min="5887" max="5887" width="12.5" style="1" customWidth="1"/>
    <col min="5888" max="5888" width="13.125" style="1" customWidth="1"/>
    <col min="5889" max="5893" width="9" style="1"/>
    <col min="5894" max="5894" width="11.25" style="1" bestFit="1" customWidth="1"/>
    <col min="5895" max="5895" width="11.625" style="1" bestFit="1" customWidth="1"/>
    <col min="5896" max="6126" width="9" style="1"/>
    <col min="6127" max="6127" width="4.625" style="1" customWidth="1"/>
    <col min="6128" max="6128" width="34.625" style="1" customWidth="1"/>
    <col min="6129" max="6129" width="11.625" style="1" customWidth="1"/>
    <col min="6130" max="6131" width="6.625" style="1" customWidth="1"/>
    <col min="6132" max="6132" width="10.625" style="1" customWidth="1"/>
    <col min="6133" max="6133" width="14.625" style="1" customWidth="1"/>
    <col min="6134" max="6134" width="10.625" style="1" customWidth="1"/>
    <col min="6135" max="6135" width="14.625" style="1" customWidth="1"/>
    <col min="6136" max="6136" width="10.625" style="1" customWidth="1"/>
    <col min="6137" max="6137" width="14.625" style="1" customWidth="1"/>
    <col min="6138" max="6138" width="10.625" style="1" customWidth="1"/>
    <col min="6139" max="6139" width="18.625" style="1" customWidth="1"/>
    <col min="6140" max="6140" width="9.625" style="1" customWidth="1"/>
    <col min="6141" max="6141" width="10.5" style="1" customWidth="1"/>
    <col min="6142" max="6142" width="20.375" style="1" bestFit="1" customWidth="1"/>
    <col min="6143" max="6143" width="12.5" style="1" customWidth="1"/>
    <col min="6144" max="6144" width="13.125" style="1" customWidth="1"/>
    <col min="6145" max="6149" width="9" style="1"/>
    <col min="6150" max="6150" width="11.25" style="1" bestFit="1" customWidth="1"/>
    <col min="6151" max="6151" width="11.625" style="1" bestFit="1" customWidth="1"/>
    <col min="6152" max="6382" width="9" style="1"/>
    <col min="6383" max="6383" width="4.625" style="1" customWidth="1"/>
    <col min="6384" max="6384" width="34.625" style="1" customWidth="1"/>
    <col min="6385" max="6385" width="11.625" style="1" customWidth="1"/>
    <col min="6386" max="6387" width="6.625" style="1" customWidth="1"/>
    <col min="6388" max="6388" width="10.625" style="1" customWidth="1"/>
    <col min="6389" max="6389" width="14.625" style="1" customWidth="1"/>
    <col min="6390" max="6390" width="10.625" style="1" customWidth="1"/>
    <col min="6391" max="6391" width="14.625" style="1" customWidth="1"/>
    <col min="6392" max="6392" width="10.625" style="1" customWidth="1"/>
    <col min="6393" max="6393" width="14.625" style="1" customWidth="1"/>
    <col min="6394" max="6394" width="10.625" style="1" customWidth="1"/>
    <col min="6395" max="6395" width="18.625" style="1" customWidth="1"/>
    <col min="6396" max="6396" width="9.625" style="1" customWidth="1"/>
    <col min="6397" max="6397" width="10.5" style="1" customWidth="1"/>
    <col min="6398" max="6398" width="20.375" style="1" bestFit="1" customWidth="1"/>
    <col min="6399" max="6399" width="12.5" style="1" customWidth="1"/>
    <col min="6400" max="6400" width="13.125" style="1" customWidth="1"/>
    <col min="6401" max="6405" width="9" style="1"/>
    <col min="6406" max="6406" width="11.25" style="1" bestFit="1" customWidth="1"/>
    <col min="6407" max="6407" width="11.625" style="1" bestFit="1" customWidth="1"/>
    <col min="6408" max="6638" width="9" style="1"/>
    <col min="6639" max="6639" width="4.625" style="1" customWidth="1"/>
    <col min="6640" max="6640" width="34.625" style="1" customWidth="1"/>
    <col min="6641" max="6641" width="11.625" style="1" customWidth="1"/>
    <col min="6642" max="6643" width="6.625" style="1" customWidth="1"/>
    <col min="6644" max="6644" width="10.625" style="1" customWidth="1"/>
    <col min="6645" max="6645" width="14.625" style="1" customWidth="1"/>
    <col min="6646" max="6646" width="10.625" style="1" customWidth="1"/>
    <col min="6647" max="6647" width="14.625" style="1" customWidth="1"/>
    <col min="6648" max="6648" width="10.625" style="1" customWidth="1"/>
    <col min="6649" max="6649" width="14.625" style="1" customWidth="1"/>
    <col min="6650" max="6650" width="10.625" style="1" customWidth="1"/>
    <col min="6651" max="6651" width="18.625" style="1" customWidth="1"/>
    <col min="6652" max="6652" width="9.625" style="1" customWidth="1"/>
    <col min="6653" max="6653" width="10.5" style="1" customWidth="1"/>
    <col min="6654" max="6654" width="20.375" style="1" bestFit="1" customWidth="1"/>
    <col min="6655" max="6655" width="12.5" style="1" customWidth="1"/>
    <col min="6656" max="6656" width="13.125" style="1" customWidth="1"/>
    <col min="6657" max="6661" width="9" style="1"/>
    <col min="6662" max="6662" width="11.25" style="1" bestFit="1" customWidth="1"/>
    <col min="6663" max="6663" width="11.625" style="1" bestFit="1" customWidth="1"/>
    <col min="6664" max="6894" width="9" style="1"/>
    <col min="6895" max="6895" width="4.625" style="1" customWidth="1"/>
    <col min="6896" max="6896" width="34.625" style="1" customWidth="1"/>
    <col min="6897" max="6897" width="11.625" style="1" customWidth="1"/>
    <col min="6898" max="6899" width="6.625" style="1" customWidth="1"/>
    <col min="6900" max="6900" width="10.625" style="1" customWidth="1"/>
    <col min="6901" max="6901" width="14.625" style="1" customWidth="1"/>
    <col min="6902" max="6902" width="10.625" style="1" customWidth="1"/>
    <col min="6903" max="6903" width="14.625" style="1" customWidth="1"/>
    <col min="6904" max="6904" width="10.625" style="1" customWidth="1"/>
    <col min="6905" max="6905" width="14.625" style="1" customWidth="1"/>
    <col min="6906" max="6906" width="10.625" style="1" customWidth="1"/>
    <col min="6907" max="6907" width="18.625" style="1" customWidth="1"/>
    <col min="6908" max="6908" width="9.625" style="1" customWidth="1"/>
    <col min="6909" max="6909" width="10.5" style="1" customWidth="1"/>
    <col min="6910" max="6910" width="20.375" style="1" bestFit="1" customWidth="1"/>
    <col min="6911" max="6911" width="12.5" style="1" customWidth="1"/>
    <col min="6912" max="6912" width="13.125" style="1" customWidth="1"/>
    <col min="6913" max="6917" width="9" style="1"/>
    <col min="6918" max="6918" width="11.25" style="1" bestFit="1" customWidth="1"/>
    <col min="6919" max="6919" width="11.625" style="1" bestFit="1" customWidth="1"/>
    <col min="6920" max="7150" width="9" style="1"/>
    <col min="7151" max="7151" width="4.625" style="1" customWidth="1"/>
    <col min="7152" max="7152" width="34.625" style="1" customWidth="1"/>
    <col min="7153" max="7153" width="11.625" style="1" customWidth="1"/>
    <col min="7154" max="7155" width="6.625" style="1" customWidth="1"/>
    <col min="7156" max="7156" width="10.625" style="1" customWidth="1"/>
    <col min="7157" max="7157" width="14.625" style="1" customWidth="1"/>
    <col min="7158" max="7158" width="10.625" style="1" customWidth="1"/>
    <col min="7159" max="7159" width="14.625" style="1" customWidth="1"/>
    <col min="7160" max="7160" width="10.625" style="1" customWidth="1"/>
    <col min="7161" max="7161" width="14.625" style="1" customWidth="1"/>
    <col min="7162" max="7162" width="10.625" style="1" customWidth="1"/>
    <col min="7163" max="7163" width="18.625" style="1" customWidth="1"/>
    <col min="7164" max="7164" width="9.625" style="1" customWidth="1"/>
    <col min="7165" max="7165" width="10.5" style="1" customWidth="1"/>
    <col min="7166" max="7166" width="20.375" style="1" bestFit="1" customWidth="1"/>
    <col min="7167" max="7167" width="12.5" style="1" customWidth="1"/>
    <col min="7168" max="7168" width="13.125" style="1" customWidth="1"/>
    <col min="7169" max="7173" width="9" style="1"/>
    <col min="7174" max="7174" width="11.25" style="1" bestFit="1" customWidth="1"/>
    <col min="7175" max="7175" width="11.625" style="1" bestFit="1" customWidth="1"/>
    <col min="7176" max="7406" width="9" style="1"/>
    <col min="7407" max="7407" width="4.625" style="1" customWidth="1"/>
    <col min="7408" max="7408" width="34.625" style="1" customWidth="1"/>
    <col min="7409" max="7409" width="11.625" style="1" customWidth="1"/>
    <col min="7410" max="7411" width="6.625" style="1" customWidth="1"/>
    <col min="7412" max="7412" width="10.625" style="1" customWidth="1"/>
    <col min="7413" max="7413" width="14.625" style="1" customWidth="1"/>
    <col min="7414" max="7414" width="10.625" style="1" customWidth="1"/>
    <col min="7415" max="7415" width="14.625" style="1" customWidth="1"/>
    <col min="7416" max="7416" width="10.625" style="1" customWidth="1"/>
    <col min="7417" max="7417" width="14.625" style="1" customWidth="1"/>
    <col min="7418" max="7418" width="10.625" style="1" customWidth="1"/>
    <col min="7419" max="7419" width="18.625" style="1" customWidth="1"/>
    <col min="7420" max="7420" width="9.625" style="1" customWidth="1"/>
    <col min="7421" max="7421" width="10.5" style="1" customWidth="1"/>
    <col min="7422" max="7422" width="20.375" style="1" bestFit="1" customWidth="1"/>
    <col min="7423" max="7423" width="12.5" style="1" customWidth="1"/>
    <col min="7424" max="7424" width="13.125" style="1" customWidth="1"/>
    <col min="7425" max="7429" width="9" style="1"/>
    <col min="7430" max="7430" width="11.25" style="1" bestFit="1" customWidth="1"/>
    <col min="7431" max="7431" width="11.625" style="1" bestFit="1" customWidth="1"/>
    <col min="7432" max="7662" width="9" style="1"/>
    <col min="7663" max="7663" width="4.625" style="1" customWidth="1"/>
    <col min="7664" max="7664" width="34.625" style="1" customWidth="1"/>
    <col min="7665" max="7665" width="11.625" style="1" customWidth="1"/>
    <col min="7666" max="7667" width="6.625" style="1" customWidth="1"/>
    <col min="7668" max="7668" width="10.625" style="1" customWidth="1"/>
    <col min="7669" max="7669" width="14.625" style="1" customWidth="1"/>
    <col min="7670" max="7670" width="10.625" style="1" customWidth="1"/>
    <col min="7671" max="7671" width="14.625" style="1" customWidth="1"/>
    <col min="7672" max="7672" width="10.625" style="1" customWidth="1"/>
    <col min="7673" max="7673" width="14.625" style="1" customWidth="1"/>
    <col min="7674" max="7674" width="10.625" style="1" customWidth="1"/>
    <col min="7675" max="7675" width="18.625" style="1" customWidth="1"/>
    <col min="7676" max="7676" width="9.625" style="1" customWidth="1"/>
    <col min="7677" max="7677" width="10.5" style="1" customWidth="1"/>
    <col min="7678" max="7678" width="20.375" style="1" bestFit="1" customWidth="1"/>
    <col min="7679" max="7679" width="12.5" style="1" customWidth="1"/>
    <col min="7680" max="7680" width="13.125" style="1" customWidth="1"/>
    <col min="7681" max="7685" width="9" style="1"/>
    <col min="7686" max="7686" width="11.25" style="1" bestFit="1" customWidth="1"/>
    <col min="7687" max="7687" width="11.625" style="1" bestFit="1" customWidth="1"/>
    <col min="7688" max="7918" width="9" style="1"/>
    <col min="7919" max="7919" width="4.625" style="1" customWidth="1"/>
    <col min="7920" max="7920" width="34.625" style="1" customWidth="1"/>
    <col min="7921" max="7921" width="11.625" style="1" customWidth="1"/>
    <col min="7922" max="7923" width="6.625" style="1" customWidth="1"/>
    <col min="7924" max="7924" width="10.625" style="1" customWidth="1"/>
    <col min="7925" max="7925" width="14.625" style="1" customWidth="1"/>
    <col min="7926" max="7926" width="10.625" style="1" customWidth="1"/>
    <col min="7927" max="7927" width="14.625" style="1" customWidth="1"/>
    <col min="7928" max="7928" width="10.625" style="1" customWidth="1"/>
    <col min="7929" max="7929" width="14.625" style="1" customWidth="1"/>
    <col min="7930" max="7930" width="10.625" style="1" customWidth="1"/>
    <col min="7931" max="7931" width="18.625" style="1" customWidth="1"/>
    <col min="7932" max="7932" width="9.625" style="1" customWidth="1"/>
    <col min="7933" max="7933" width="10.5" style="1" customWidth="1"/>
    <col min="7934" max="7934" width="20.375" style="1" bestFit="1" customWidth="1"/>
    <col min="7935" max="7935" width="12.5" style="1" customWidth="1"/>
    <col min="7936" max="7936" width="13.125" style="1" customWidth="1"/>
    <col min="7937" max="7941" width="9" style="1"/>
    <col min="7942" max="7942" width="11.25" style="1" bestFit="1" customWidth="1"/>
    <col min="7943" max="7943" width="11.625" style="1" bestFit="1" customWidth="1"/>
    <col min="7944" max="8174" width="9" style="1"/>
    <col min="8175" max="8175" width="4.625" style="1" customWidth="1"/>
    <col min="8176" max="8176" width="34.625" style="1" customWidth="1"/>
    <col min="8177" max="8177" width="11.625" style="1" customWidth="1"/>
    <col min="8178" max="8179" width="6.625" style="1" customWidth="1"/>
    <col min="8180" max="8180" width="10.625" style="1" customWidth="1"/>
    <col min="8181" max="8181" width="14.625" style="1" customWidth="1"/>
    <col min="8182" max="8182" width="10.625" style="1" customWidth="1"/>
    <col min="8183" max="8183" width="14.625" style="1" customWidth="1"/>
    <col min="8184" max="8184" width="10.625" style="1" customWidth="1"/>
    <col min="8185" max="8185" width="14.625" style="1" customWidth="1"/>
    <col min="8186" max="8186" width="10.625" style="1" customWidth="1"/>
    <col min="8187" max="8187" width="18.625" style="1" customWidth="1"/>
    <col min="8188" max="8188" width="9.625" style="1" customWidth="1"/>
    <col min="8189" max="8189" width="10.5" style="1" customWidth="1"/>
    <col min="8190" max="8190" width="20.375" style="1" bestFit="1" customWidth="1"/>
    <col min="8191" max="8191" width="12.5" style="1" customWidth="1"/>
    <col min="8192" max="8192" width="13.125" style="1" customWidth="1"/>
    <col min="8193" max="8197" width="9" style="1"/>
    <col min="8198" max="8198" width="11.25" style="1" bestFit="1" customWidth="1"/>
    <col min="8199" max="8199" width="11.625" style="1" bestFit="1" customWidth="1"/>
    <col min="8200" max="8430" width="9" style="1"/>
    <col min="8431" max="8431" width="4.625" style="1" customWidth="1"/>
    <col min="8432" max="8432" width="34.625" style="1" customWidth="1"/>
    <col min="8433" max="8433" width="11.625" style="1" customWidth="1"/>
    <col min="8434" max="8435" width="6.625" style="1" customWidth="1"/>
    <col min="8436" max="8436" width="10.625" style="1" customWidth="1"/>
    <col min="8437" max="8437" width="14.625" style="1" customWidth="1"/>
    <col min="8438" max="8438" width="10.625" style="1" customWidth="1"/>
    <col min="8439" max="8439" width="14.625" style="1" customWidth="1"/>
    <col min="8440" max="8440" width="10.625" style="1" customWidth="1"/>
    <col min="8441" max="8441" width="14.625" style="1" customWidth="1"/>
    <col min="8442" max="8442" width="10.625" style="1" customWidth="1"/>
    <col min="8443" max="8443" width="18.625" style="1" customWidth="1"/>
    <col min="8444" max="8444" width="9.625" style="1" customWidth="1"/>
    <col min="8445" max="8445" width="10.5" style="1" customWidth="1"/>
    <col min="8446" max="8446" width="20.375" style="1" bestFit="1" customWidth="1"/>
    <col min="8447" max="8447" width="12.5" style="1" customWidth="1"/>
    <col min="8448" max="8448" width="13.125" style="1" customWidth="1"/>
    <col min="8449" max="8453" width="9" style="1"/>
    <col min="8454" max="8454" width="11.25" style="1" bestFit="1" customWidth="1"/>
    <col min="8455" max="8455" width="11.625" style="1" bestFit="1" customWidth="1"/>
    <col min="8456" max="8686" width="9" style="1"/>
    <col min="8687" max="8687" width="4.625" style="1" customWidth="1"/>
    <col min="8688" max="8688" width="34.625" style="1" customWidth="1"/>
    <col min="8689" max="8689" width="11.625" style="1" customWidth="1"/>
    <col min="8690" max="8691" width="6.625" style="1" customWidth="1"/>
    <col min="8692" max="8692" width="10.625" style="1" customWidth="1"/>
    <col min="8693" max="8693" width="14.625" style="1" customWidth="1"/>
    <col min="8694" max="8694" width="10.625" style="1" customWidth="1"/>
    <col min="8695" max="8695" width="14.625" style="1" customWidth="1"/>
    <col min="8696" max="8696" width="10.625" style="1" customWidth="1"/>
    <col min="8697" max="8697" width="14.625" style="1" customWidth="1"/>
    <col min="8698" max="8698" width="10.625" style="1" customWidth="1"/>
    <col min="8699" max="8699" width="18.625" style="1" customWidth="1"/>
    <col min="8700" max="8700" width="9.625" style="1" customWidth="1"/>
    <col min="8701" max="8701" width="10.5" style="1" customWidth="1"/>
    <col min="8702" max="8702" width="20.375" style="1" bestFit="1" customWidth="1"/>
    <col min="8703" max="8703" width="12.5" style="1" customWidth="1"/>
    <col min="8704" max="8704" width="13.125" style="1" customWidth="1"/>
    <col min="8705" max="8709" width="9" style="1"/>
    <col min="8710" max="8710" width="11.25" style="1" bestFit="1" customWidth="1"/>
    <col min="8711" max="8711" width="11.625" style="1" bestFit="1" customWidth="1"/>
    <col min="8712" max="8942" width="9" style="1"/>
    <col min="8943" max="8943" width="4.625" style="1" customWidth="1"/>
    <col min="8944" max="8944" width="34.625" style="1" customWidth="1"/>
    <col min="8945" max="8945" width="11.625" style="1" customWidth="1"/>
    <col min="8946" max="8947" width="6.625" style="1" customWidth="1"/>
    <col min="8948" max="8948" width="10.625" style="1" customWidth="1"/>
    <col min="8949" max="8949" width="14.625" style="1" customWidth="1"/>
    <col min="8950" max="8950" width="10.625" style="1" customWidth="1"/>
    <col min="8951" max="8951" width="14.625" style="1" customWidth="1"/>
    <col min="8952" max="8952" width="10.625" style="1" customWidth="1"/>
    <col min="8953" max="8953" width="14.625" style="1" customWidth="1"/>
    <col min="8954" max="8954" width="10.625" style="1" customWidth="1"/>
    <col min="8955" max="8955" width="18.625" style="1" customWidth="1"/>
    <col min="8956" max="8956" width="9.625" style="1" customWidth="1"/>
    <col min="8957" max="8957" width="10.5" style="1" customWidth="1"/>
    <col min="8958" max="8958" width="20.375" style="1" bestFit="1" customWidth="1"/>
    <col min="8959" max="8959" width="12.5" style="1" customWidth="1"/>
    <col min="8960" max="8960" width="13.125" style="1" customWidth="1"/>
    <col min="8961" max="8965" width="9" style="1"/>
    <col min="8966" max="8966" width="11.25" style="1" bestFit="1" customWidth="1"/>
    <col min="8967" max="8967" width="11.625" style="1" bestFit="1" customWidth="1"/>
    <col min="8968" max="9198" width="9" style="1"/>
    <col min="9199" max="9199" width="4.625" style="1" customWidth="1"/>
    <col min="9200" max="9200" width="34.625" style="1" customWidth="1"/>
    <col min="9201" max="9201" width="11.625" style="1" customWidth="1"/>
    <col min="9202" max="9203" width="6.625" style="1" customWidth="1"/>
    <col min="9204" max="9204" width="10.625" style="1" customWidth="1"/>
    <col min="9205" max="9205" width="14.625" style="1" customWidth="1"/>
    <col min="9206" max="9206" width="10.625" style="1" customWidth="1"/>
    <col min="9207" max="9207" width="14.625" style="1" customWidth="1"/>
    <col min="9208" max="9208" width="10.625" style="1" customWidth="1"/>
    <col min="9209" max="9209" width="14.625" style="1" customWidth="1"/>
    <col min="9210" max="9210" width="10.625" style="1" customWidth="1"/>
    <col min="9211" max="9211" width="18.625" style="1" customWidth="1"/>
    <col min="9212" max="9212" width="9.625" style="1" customWidth="1"/>
    <col min="9213" max="9213" width="10.5" style="1" customWidth="1"/>
    <col min="9214" max="9214" width="20.375" style="1" bestFit="1" customWidth="1"/>
    <col min="9215" max="9215" width="12.5" style="1" customWidth="1"/>
    <col min="9216" max="9216" width="13.125" style="1" customWidth="1"/>
    <col min="9217" max="9221" width="9" style="1"/>
    <col min="9222" max="9222" width="11.25" style="1" bestFit="1" customWidth="1"/>
    <col min="9223" max="9223" width="11.625" style="1" bestFit="1" customWidth="1"/>
    <col min="9224" max="9454" width="9" style="1"/>
    <col min="9455" max="9455" width="4.625" style="1" customWidth="1"/>
    <col min="9456" max="9456" width="34.625" style="1" customWidth="1"/>
    <col min="9457" max="9457" width="11.625" style="1" customWidth="1"/>
    <col min="9458" max="9459" width="6.625" style="1" customWidth="1"/>
    <col min="9460" max="9460" width="10.625" style="1" customWidth="1"/>
    <col min="9461" max="9461" width="14.625" style="1" customWidth="1"/>
    <col min="9462" max="9462" width="10.625" style="1" customWidth="1"/>
    <col min="9463" max="9463" width="14.625" style="1" customWidth="1"/>
    <col min="9464" max="9464" width="10.625" style="1" customWidth="1"/>
    <col min="9465" max="9465" width="14.625" style="1" customWidth="1"/>
    <col min="9466" max="9466" width="10.625" style="1" customWidth="1"/>
    <col min="9467" max="9467" width="18.625" style="1" customWidth="1"/>
    <col min="9468" max="9468" width="9.625" style="1" customWidth="1"/>
    <col min="9469" max="9469" width="10.5" style="1" customWidth="1"/>
    <col min="9470" max="9470" width="20.375" style="1" bestFit="1" customWidth="1"/>
    <col min="9471" max="9471" width="12.5" style="1" customWidth="1"/>
    <col min="9472" max="9472" width="13.125" style="1" customWidth="1"/>
    <col min="9473" max="9477" width="9" style="1"/>
    <col min="9478" max="9478" width="11.25" style="1" bestFit="1" customWidth="1"/>
    <col min="9479" max="9479" width="11.625" style="1" bestFit="1" customWidth="1"/>
    <col min="9480" max="9710" width="9" style="1"/>
    <col min="9711" max="9711" width="4.625" style="1" customWidth="1"/>
    <col min="9712" max="9712" width="34.625" style="1" customWidth="1"/>
    <col min="9713" max="9713" width="11.625" style="1" customWidth="1"/>
    <col min="9714" max="9715" width="6.625" style="1" customWidth="1"/>
    <col min="9716" max="9716" width="10.625" style="1" customWidth="1"/>
    <col min="9717" max="9717" width="14.625" style="1" customWidth="1"/>
    <col min="9718" max="9718" width="10.625" style="1" customWidth="1"/>
    <col min="9719" max="9719" width="14.625" style="1" customWidth="1"/>
    <col min="9720" max="9720" width="10.625" style="1" customWidth="1"/>
    <col min="9721" max="9721" width="14.625" style="1" customWidth="1"/>
    <col min="9722" max="9722" width="10.625" style="1" customWidth="1"/>
    <col min="9723" max="9723" width="18.625" style="1" customWidth="1"/>
    <col min="9724" max="9724" width="9.625" style="1" customWidth="1"/>
    <col min="9725" max="9725" width="10.5" style="1" customWidth="1"/>
    <col min="9726" max="9726" width="20.375" style="1" bestFit="1" customWidth="1"/>
    <col min="9727" max="9727" width="12.5" style="1" customWidth="1"/>
    <col min="9728" max="9728" width="13.125" style="1" customWidth="1"/>
    <col min="9729" max="9733" width="9" style="1"/>
    <col min="9734" max="9734" width="11.25" style="1" bestFit="1" customWidth="1"/>
    <col min="9735" max="9735" width="11.625" style="1" bestFit="1" customWidth="1"/>
    <col min="9736" max="9966" width="9" style="1"/>
    <col min="9967" max="9967" width="4.625" style="1" customWidth="1"/>
    <col min="9968" max="9968" width="34.625" style="1" customWidth="1"/>
    <col min="9969" max="9969" width="11.625" style="1" customWidth="1"/>
    <col min="9970" max="9971" width="6.625" style="1" customWidth="1"/>
    <col min="9972" max="9972" width="10.625" style="1" customWidth="1"/>
    <col min="9973" max="9973" width="14.625" style="1" customWidth="1"/>
    <col min="9974" max="9974" width="10.625" style="1" customWidth="1"/>
    <col min="9975" max="9975" width="14.625" style="1" customWidth="1"/>
    <col min="9976" max="9976" width="10.625" style="1" customWidth="1"/>
    <col min="9977" max="9977" width="14.625" style="1" customWidth="1"/>
    <col min="9978" max="9978" width="10.625" style="1" customWidth="1"/>
    <col min="9979" max="9979" width="18.625" style="1" customWidth="1"/>
    <col min="9980" max="9980" width="9.625" style="1" customWidth="1"/>
    <col min="9981" max="9981" width="10.5" style="1" customWidth="1"/>
    <col min="9982" max="9982" width="20.375" style="1" bestFit="1" customWidth="1"/>
    <col min="9983" max="9983" width="12.5" style="1" customWidth="1"/>
    <col min="9984" max="9984" width="13.125" style="1" customWidth="1"/>
    <col min="9985" max="9989" width="9" style="1"/>
    <col min="9990" max="9990" width="11.25" style="1" bestFit="1" customWidth="1"/>
    <col min="9991" max="9991" width="11.625" style="1" bestFit="1" customWidth="1"/>
    <col min="9992" max="10222" width="9" style="1"/>
    <col min="10223" max="10223" width="4.625" style="1" customWidth="1"/>
    <col min="10224" max="10224" width="34.625" style="1" customWidth="1"/>
    <col min="10225" max="10225" width="11.625" style="1" customWidth="1"/>
    <col min="10226" max="10227" width="6.625" style="1" customWidth="1"/>
    <col min="10228" max="10228" width="10.625" style="1" customWidth="1"/>
    <col min="10229" max="10229" width="14.625" style="1" customWidth="1"/>
    <col min="10230" max="10230" width="10.625" style="1" customWidth="1"/>
    <col min="10231" max="10231" width="14.625" style="1" customWidth="1"/>
    <col min="10232" max="10232" width="10.625" style="1" customWidth="1"/>
    <col min="10233" max="10233" width="14.625" style="1" customWidth="1"/>
    <col min="10234" max="10234" width="10.625" style="1" customWidth="1"/>
    <col min="10235" max="10235" width="18.625" style="1" customWidth="1"/>
    <col min="10236" max="10236" width="9.625" style="1" customWidth="1"/>
    <col min="10237" max="10237" width="10.5" style="1" customWidth="1"/>
    <col min="10238" max="10238" width="20.375" style="1" bestFit="1" customWidth="1"/>
    <col min="10239" max="10239" width="12.5" style="1" customWidth="1"/>
    <col min="10240" max="10240" width="13.125" style="1" customWidth="1"/>
    <col min="10241" max="10245" width="9" style="1"/>
    <col min="10246" max="10246" width="11.25" style="1" bestFit="1" customWidth="1"/>
    <col min="10247" max="10247" width="11.625" style="1" bestFit="1" customWidth="1"/>
    <col min="10248" max="10478" width="9" style="1"/>
    <col min="10479" max="10479" width="4.625" style="1" customWidth="1"/>
    <col min="10480" max="10480" width="34.625" style="1" customWidth="1"/>
    <col min="10481" max="10481" width="11.625" style="1" customWidth="1"/>
    <col min="10482" max="10483" width="6.625" style="1" customWidth="1"/>
    <col min="10484" max="10484" width="10.625" style="1" customWidth="1"/>
    <col min="10485" max="10485" width="14.625" style="1" customWidth="1"/>
    <col min="10486" max="10486" width="10.625" style="1" customWidth="1"/>
    <col min="10487" max="10487" width="14.625" style="1" customWidth="1"/>
    <col min="10488" max="10488" width="10.625" style="1" customWidth="1"/>
    <col min="10489" max="10489" width="14.625" style="1" customWidth="1"/>
    <col min="10490" max="10490" width="10.625" style="1" customWidth="1"/>
    <col min="10491" max="10491" width="18.625" style="1" customWidth="1"/>
    <col min="10492" max="10492" width="9.625" style="1" customWidth="1"/>
    <col min="10493" max="10493" width="10.5" style="1" customWidth="1"/>
    <col min="10494" max="10494" width="20.375" style="1" bestFit="1" customWidth="1"/>
    <col min="10495" max="10495" width="12.5" style="1" customWidth="1"/>
    <col min="10496" max="10496" width="13.125" style="1" customWidth="1"/>
    <col min="10497" max="10501" width="9" style="1"/>
    <col min="10502" max="10502" width="11.25" style="1" bestFit="1" customWidth="1"/>
    <col min="10503" max="10503" width="11.625" style="1" bestFit="1" customWidth="1"/>
    <col min="10504" max="10734" width="9" style="1"/>
    <col min="10735" max="10735" width="4.625" style="1" customWidth="1"/>
    <col min="10736" max="10736" width="34.625" style="1" customWidth="1"/>
    <col min="10737" max="10737" width="11.625" style="1" customWidth="1"/>
    <col min="10738" max="10739" width="6.625" style="1" customWidth="1"/>
    <col min="10740" max="10740" width="10.625" style="1" customWidth="1"/>
    <col min="10741" max="10741" width="14.625" style="1" customWidth="1"/>
    <col min="10742" max="10742" width="10.625" style="1" customWidth="1"/>
    <col min="10743" max="10743" width="14.625" style="1" customWidth="1"/>
    <col min="10744" max="10744" width="10.625" style="1" customWidth="1"/>
    <col min="10745" max="10745" width="14.625" style="1" customWidth="1"/>
    <col min="10746" max="10746" width="10.625" style="1" customWidth="1"/>
    <col min="10747" max="10747" width="18.625" style="1" customWidth="1"/>
    <col min="10748" max="10748" width="9.625" style="1" customWidth="1"/>
    <col min="10749" max="10749" width="10.5" style="1" customWidth="1"/>
    <col min="10750" max="10750" width="20.375" style="1" bestFit="1" customWidth="1"/>
    <col min="10751" max="10751" width="12.5" style="1" customWidth="1"/>
    <col min="10752" max="10752" width="13.125" style="1" customWidth="1"/>
    <col min="10753" max="10757" width="9" style="1"/>
    <col min="10758" max="10758" width="11.25" style="1" bestFit="1" customWidth="1"/>
    <col min="10759" max="10759" width="11.625" style="1" bestFit="1" customWidth="1"/>
    <col min="10760" max="10990" width="9" style="1"/>
    <col min="10991" max="10991" width="4.625" style="1" customWidth="1"/>
    <col min="10992" max="10992" width="34.625" style="1" customWidth="1"/>
    <col min="10993" max="10993" width="11.625" style="1" customWidth="1"/>
    <col min="10994" max="10995" width="6.625" style="1" customWidth="1"/>
    <col min="10996" max="10996" width="10.625" style="1" customWidth="1"/>
    <col min="10997" max="10997" width="14.625" style="1" customWidth="1"/>
    <col min="10998" max="10998" width="10.625" style="1" customWidth="1"/>
    <col min="10999" max="10999" width="14.625" style="1" customWidth="1"/>
    <col min="11000" max="11000" width="10.625" style="1" customWidth="1"/>
    <col min="11001" max="11001" width="14.625" style="1" customWidth="1"/>
    <col min="11002" max="11002" width="10.625" style="1" customWidth="1"/>
    <col min="11003" max="11003" width="18.625" style="1" customWidth="1"/>
    <col min="11004" max="11004" width="9.625" style="1" customWidth="1"/>
    <col min="11005" max="11005" width="10.5" style="1" customWidth="1"/>
    <col min="11006" max="11006" width="20.375" style="1" bestFit="1" customWidth="1"/>
    <col min="11007" max="11007" width="12.5" style="1" customWidth="1"/>
    <col min="11008" max="11008" width="13.125" style="1" customWidth="1"/>
    <col min="11009" max="11013" width="9" style="1"/>
    <col min="11014" max="11014" width="11.25" style="1" bestFit="1" customWidth="1"/>
    <col min="11015" max="11015" width="11.625" style="1" bestFit="1" customWidth="1"/>
    <col min="11016" max="11246" width="9" style="1"/>
    <col min="11247" max="11247" width="4.625" style="1" customWidth="1"/>
    <col min="11248" max="11248" width="34.625" style="1" customWidth="1"/>
    <col min="11249" max="11249" width="11.625" style="1" customWidth="1"/>
    <col min="11250" max="11251" width="6.625" style="1" customWidth="1"/>
    <col min="11252" max="11252" width="10.625" style="1" customWidth="1"/>
    <col min="11253" max="11253" width="14.625" style="1" customWidth="1"/>
    <col min="11254" max="11254" width="10.625" style="1" customWidth="1"/>
    <col min="11255" max="11255" width="14.625" style="1" customWidth="1"/>
    <col min="11256" max="11256" width="10.625" style="1" customWidth="1"/>
    <col min="11257" max="11257" width="14.625" style="1" customWidth="1"/>
    <col min="11258" max="11258" width="10.625" style="1" customWidth="1"/>
    <col min="11259" max="11259" width="18.625" style="1" customWidth="1"/>
    <col min="11260" max="11260" width="9.625" style="1" customWidth="1"/>
    <col min="11261" max="11261" width="10.5" style="1" customWidth="1"/>
    <col min="11262" max="11262" width="20.375" style="1" bestFit="1" customWidth="1"/>
    <col min="11263" max="11263" width="12.5" style="1" customWidth="1"/>
    <col min="11264" max="11264" width="13.125" style="1" customWidth="1"/>
    <col min="11265" max="11269" width="9" style="1"/>
    <col min="11270" max="11270" width="11.25" style="1" bestFit="1" customWidth="1"/>
    <col min="11271" max="11271" width="11.625" style="1" bestFit="1" customWidth="1"/>
    <col min="11272" max="11502" width="9" style="1"/>
    <col min="11503" max="11503" width="4.625" style="1" customWidth="1"/>
    <col min="11504" max="11504" width="34.625" style="1" customWidth="1"/>
    <col min="11505" max="11505" width="11.625" style="1" customWidth="1"/>
    <col min="11506" max="11507" width="6.625" style="1" customWidth="1"/>
    <col min="11508" max="11508" width="10.625" style="1" customWidth="1"/>
    <col min="11509" max="11509" width="14.625" style="1" customWidth="1"/>
    <col min="11510" max="11510" width="10.625" style="1" customWidth="1"/>
    <col min="11511" max="11511" width="14.625" style="1" customWidth="1"/>
    <col min="11512" max="11512" width="10.625" style="1" customWidth="1"/>
    <col min="11513" max="11513" width="14.625" style="1" customWidth="1"/>
    <col min="11514" max="11514" width="10.625" style="1" customWidth="1"/>
    <col min="11515" max="11515" width="18.625" style="1" customWidth="1"/>
    <col min="11516" max="11516" width="9.625" style="1" customWidth="1"/>
    <col min="11517" max="11517" width="10.5" style="1" customWidth="1"/>
    <col min="11518" max="11518" width="20.375" style="1" bestFit="1" customWidth="1"/>
    <col min="11519" max="11519" width="12.5" style="1" customWidth="1"/>
    <col min="11520" max="11520" width="13.125" style="1" customWidth="1"/>
    <col min="11521" max="11525" width="9" style="1"/>
    <col min="11526" max="11526" width="11.25" style="1" bestFit="1" customWidth="1"/>
    <col min="11527" max="11527" width="11.625" style="1" bestFit="1" customWidth="1"/>
    <col min="11528" max="11758" width="9" style="1"/>
    <col min="11759" max="11759" width="4.625" style="1" customWidth="1"/>
    <col min="11760" max="11760" width="34.625" style="1" customWidth="1"/>
    <col min="11761" max="11761" width="11.625" style="1" customWidth="1"/>
    <col min="11762" max="11763" width="6.625" style="1" customWidth="1"/>
    <col min="11764" max="11764" width="10.625" style="1" customWidth="1"/>
    <col min="11765" max="11765" width="14.625" style="1" customWidth="1"/>
    <col min="11766" max="11766" width="10.625" style="1" customWidth="1"/>
    <col min="11767" max="11767" width="14.625" style="1" customWidth="1"/>
    <col min="11768" max="11768" width="10.625" style="1" customWidth="1"/>
    <col min="11769" max="11769" width="14.625" style="1" customWidth="1"/>
    <col min="11770" max="11770" width="10.625" style="1" customWidth="1"/>
    <col min="11771" max="11771" width="18.625" style="1" customWidth="1"/>
    <col min="11772" max="11772" width="9.625" style="1" customWidth="1"/>
    <col min="11773" max="11773" width="10.5" style="1" customWidth="1"/>
    <col min="11774" max="11774" width="20.375" style="1" bestFit="1" customWidth="1"/>
    <col min="11775" max="11775" width="12.5" style="1" customWidth="1"/>
    <col min="11776" max="11776" width="13.125" style="1" customWidth="1"/>
    <col min="11777" max="11781" width="9" style="1"/>
    <col min="11782" max="11782" width="11.25" style="1" bestFit="1" customWidth="1"/>
    <col min="11783" max="11783" width="11.625" style="1" bestFit="1" customWidth="1"/>
    <col min="11784" max="12014" width="9" style="1"/>
    <col min="12015" max="12015" width="4.625" style="1" customWidth="1"/>
    <col min="12016" max="12016" width="34.625" style="1" customWidth="1"/>
    <col min="12017" max="12017" width="11.625" style="1" customWidth="1"/>
    <col min="12018" max="12019" width="6.625" style="1" customWidth="1"/>
    <col min="12020" max="12020" width="10.625" style="1" customWidth="1"/>
    <col min="12021" max="12021" width="14.625" style="1" customWidth="1"/>
    <col min="12022" max="12022" width="10.625" style="1" customWidth="1"/>
    <col min="12023" max="12023" width="14.625" style="1" customWidth="1"/>
    <col min="12024" max="12024" width="10.625" style="1" customWidth="1"/>
    <col min="12025" max="12025" width="14.625" style="1" customWidth="1"/>
    <col min="12026" max="12026" width="10.625" style="1" customWidth="1"/>
    <col min="12027" max="12027" width="18.625" style="1" customWidth="1"/>
    <col min="12028" max="12028" width="9.625" style="1" customWidth="1"/>
    <col min="12029" max="12029" width="10.5" style="1" customWidth="1"/>
    <col min="12030" max="12030" width="20.375" style="1" bestFit="1" customWidth="1"/>
    <col min="12031" max="12031" width="12.5" style="1" customWidth="1"/>
    <col min="12032" max="12032" width="13.125" style="1" customWidth="1"/>
    <col min="12033" max="12037" width="9" style="1"/>
    <col min="12038" max="12038" width="11.25" style="1" bestFit="1" customWidth="1"/>
    <col min="12039" max="12039" width="11.625" style="1" bestFit="1" customWidth="1"/>
    <col min="12040" max="12270" width="9" style="1"/>
    <col min="12271" max="12271" width="4.625" style="1" customWidth="1"/>
    <col min="12272" max="12272" width="34.625" style="1" customWidth="1"/>
    <col min="12273" max="12273" width="11.625" style="1" customWidth="1"/>
    <col min="12274" max="12275" width="6.625" style="1" customWidth="1"/>
    <col min="12276" max="12276" width="10.625" style="1" customWidth="1"/>
    <col min="12277" max="12277" width="14.625" style="1" customWidth="1"/>
    <col min="12278" max="12278" width="10.625" style="1" customWidth="1"/>
    <col min="12279" max="12279" width="14.625" style="1" customWidth="1"/>
    <col min="12280" max="12280" width="10.625" style="1" customWidth="1"/>
    <col min="12281" max="12281" width="14.625" style="1" customWidth="1"/>
    <col min="12282" max="12282" width="10.625" style="1" customWidth="1"/>
    <col min="12283" max="12283" width="18.625" style="1" customWidth="1"/>
    <col min="12284" max="12284" width="9.625" style="1" customWidth="1"/>
    <col min="12285" max="12285" width="10.5" style="1" customWidth="1"/>
    <col min="12286" max="12286" width="20.375" style="1" bestFit="1" customWidth="1"/>
    <col min="12287" max="12287" width="12.5" style="1" customWidth="1"/>
    <col min="12288" max="12288" width="13.125" style="1" customWidth="1"/>
    <col min="12289" max="12293" width="9" style="1"/>
    <col min="12294" max="12294" width="11.25" style="1" bestFit="1" customWidth="1"/>
    <col min="12295" max="12295" width="11.625" style="1" bestFit="1" customWidth="1"/>
    <col min="12296" max="12526" width="9" style="1"/>
    <col min="12527" max="12527" width="4.625" style="1" customWidth="1"/>
    <col min="12528" max="12528" width="34.625" style="1" customWidth="1"/>
    <col min="12529" max="12529" width="11.625" style="1" customWidth="1"/>
    <col min="12530" max="12531" width="6.625" style="1" customWidth="1"/>
    <col min="12532" max="12532" width="10.625" style="1" customWidth="1"/>
    <col min="12533" max="12533" width="14.625" style="1" customWidth="1"/>
    <col min="12534" max="12534" width="10.625" style="1" customWidth="1"/>
    <col min="12535" max="12535" width="14.625" style="1" customWidth="1"/>
    <col min="12536" max="12536" width="10.625" style="1" customWidth="1"/>
    <col min="12537" max="12537" width="14.625" style="1" customWidth="1"/>
    <col min="12538" max="12538" width="10.625" style="1" customWidth="1"/>
    <col min="12539" max="12539" width="18.625" style="1" customWidth="1"/>
    <col min="12540" max="12540" width="9.625" style="1" customWidth="1"/>
    <col min="12541" max="12541" width="10.5" style="1" customWidth="1"/>
    <col min="12542" max="12542" width="20.375" style="1" bestFit="1" customWidth="1"/>
    <col min="12543" max="12543" width="12.5" style="1" customWidth="1"/>
    <col min="12544" max="12544" width="13.125" style="1" customWidth="1"/>
    <col min="12545" max="12549" width="9" style="1"/>
    <col min="12550" max="12550" width="11.25" style="1" bestFit="1" customWidth="1"/>
    <col min="12551" max="12551" width="11.625" style="1" bestFit="1" customWidth="1"/>
    <col min="12552" max="12782" width="9" style="1"/>
    <col min="12783" max="12783" width="4.625" style="1" customWidth="1"/>
    <col min="12784" max="12784" width="34.625" style="1" customWidth="1"/>
    <col min="12785" max="12785" width="11.625" style="1" customWidth="1"/>
    <col min="12786" max="12787" width="6.625" style="1" customWidth="1"/>
    <col min="12788" max="12788" width="10.625" style="1" customWidth="1"/>
    <col min="12789" max="12789" width="14.625" style="1" customWidth="1"/>
    <col min="12790" max="12790" width="10.625" style="1" customWidth="1"/>
    <col min="12791" max="12791" width="14.625" style="1" customWidth="1"/>
    <col min="12792" max="12792" width="10.625" style="1" customWidth="1"/>
    <col min="12793" max="12793" width="14.625" style="1" customWidth="1"/>
    <col min="12794" max="12794" width="10.625" style="1" customWidth="1"/>
    <col min="12795" max="12795" width="18.625" style="1" customWidth="1"/>
    <col min="12796" max="12796" width="9.625" style="1" customWidth="1"/>
    <col min="12797" max="12797" width="10.5" style="1" customWidth="1"/>
    <col min="12798" max="12798" width="20.375" style="1" bestFit="1" customWidth="1"/>
    <col min="12799" max="12799" width="12.5" style="1" customWidth="1"/>
    <col min="12800" max="12800" width="13.125" style="1" customWidth="1"/>
    <col min="12801" max="12805" width="9" style="1"/>
    <col min="12806" max="12806" width="11.25" style="1" bestFit="1" customWidth="1"/>
    <col min="12807" max="12807" width="11.625" style="1" bestFit="1" customWidth="1"/>
    <col min="12808" max="13038" width="9" style="1"/>
    <col min="13039" max="13039" width="4.625" style="1" customWidth="1"/>
    <col min="13040" max="13040" width="34.625" style="1" customWidth="1"/>
    <col min="13041" max="13041" width="11.625" style="1" customWidth="1"/>
    <col min="13042" max="13043" width="6.625" style="1" customWidth="1"/>
    <col min="13044" max="13044" width="10.625" style="1" customWidth="1"/>
    <col min="13045" max="13045" width="14.625" style="1" customWidth="1"/>
    <col min="13046" max="13046" width="10.625" style="1" customWidth="1"/>
    <col min="13047" max="13047" width="14.625" style="1" customWidth="1"/>
    <col min="13048" max="13048" width="10.625" style="1" customWidth="1"/>
    <col min="13049" max="13049" width="14.625" style="1" customWidth="1"/>
    <col min="13050" max="13050" width="10.625" style="1" customWidth="1"/>
    <col min="13051" max="13051" width="18.625" style="1" customWidth="1"/>
    <col min="13052" max="13052" width="9.625" style="1" customWidth="1"/>
    <col min="13053" max="13053" width="10.5" style="1" customWidth="1"/>
    <col min="13054" max="13054" width="20.375" style="1" bestFit="1" customWidth="1"/>
    <col min="13055" max="13055" width="12.5" style="1" customWidth="1"/>
    <col min="13056" max="13056" width="13.125" style="1" customWidth="1"/>
    <col min="13057" max="13061" width="9" style="1"/>
    <col min="13062" max="13062" width="11.25" style="1" bestFit="1" customWidth="1"/>
    <col min="13063" max="13063" width="11.625" style="1" bestFit="1" customWidth="1"/>
    <col min="13064" max="13294" width="9" style="1"/>
    <col min="13295" max="13295" width="4.625" style="1" customWidth="1"/>
    <col min="13296" max="13296" width="34.625" style="1" customWidth="1"/>
    <col min="13297" max="13297" width="11.625" style="1" customWidth="1"/>
    <col min="13298" max="13299" width="6.625" style="1" customWidth="1"/>
    <col min="13300" max="13300" width="10.625" style="1" customWidth="1"/>
    <col min="13301" max="13301" width="14.625" style="1" customWidth="1"/>
    <col min="13302" max="13302" width="10.625" style="1" customWidth="1"/>
    <col min="13303" max="13303" width="14.625" style="1" customWidth="1"/>
    <col min="13304" max="13304" width="10.625" style="1" customWidth="1"/>
    <col min="13305" max="13305" width="14.625" style="1" customWidth="1"/>
    <col min="13306" max="13306" width="10.625" style="1" customWidth="1"/>
    <col min="13307" max="13307" width="18.625" style="1" customWidth="1"/>
    <col min="13308" max="13308" width="9.625" style="1" customWidth="1"/>
    <col min="13309" max="13309" width="10.5" style="1" customWidth="1"/>
    <col min="13310" max="13310" width="20.375" style="1" bestFit="1" customWidth="1"/>
    <col min="13311" max="13311" width="12.5" style="1" customWidth="1"/>
    <col min="13312" max="13312" width="13.125" style="1" customWidth="1"/>
    <col min="13313" max="13317" width="9" style="1"/>
    <col min="13318" max="13318" width="11.25" style="1" bestFit="1" customWidth="1"/>
    <col min="13319" max="13319" width="11.625" style="1" bestFit="1" customWidth="1"/>
    <col min="13320" max="13550" width="9" style="1"/>
    <col min="13551" max="13551" width="4.625" style="1" customWidth="1"/>
    <col min="13552" max="13552" width="34.625" style="1" customWidth="1"/>
    <col min="13553" max="13553" width="11.625" style="1" customWidth="1"/>
    <col min="13554" max="13555" width="6.625" style="1" customWidth="1"/>
    <col min="13556" max="13556" width="10.625" style="1" customWidth="1"/>
    <col min="13557" max="13557" width="14.625" style="1" customWidth="1"/>
    <col min="13558" max="13558" width="10.625" style="1" customWidth="1"/>
    <col min="13559" max="13559" width="14.625" style="1" customWidth="1"/>
    <col min="13560" max="13560" width="10.625" style="1" customWidth="1"/>
    <col min="13561" max="13561" width="14.625" style="1" customWidth="1"/>
    <col min="13562" max="13562" width="10.625" style="1" customWidth="1"/>
    <col min="13563" max="13563" width="18.625" style="1" customWidth="1"/>
    <col min="13564" max="13564" width="9.625" style="1" customWidth="1"/>
    <col min="13565" max="13565" width="10.5" style="1" customWidth="1"/>
    <col min="13566" max="13566" width="20.375" style="1" bestFit="1" customWidth="1"/>
    <col min="13567" max="13567" width="12.5" style="1" customWidth="1"/>
    <col min="13568" max="13568" width="13.125" style="1" customWidth="1"/>
    <col min="13569" max="13573" width="9" style="1"/>
    <col min="13574" max="13574" width="11.25" style="1" bestFit="1" customWidth="1"/>
    <col min="13575" max="13575" width="11.625" style="1" bestFit="1" customWidth="1"/>
    <col min="13576" max="13806" width="9" style="1"/>
    <col min="13807" max="13807" width="4.625" style="1" customWidth="1"/>
    <col min="13808" max="13808" width="34.625" style="1" customWidth="1"/>
    <col min="13809" max="13809" width="11.625" style="1" customWidth="1"/>
    <col min="13810" max="13811" width="6.625" style="1" customWidth="1"/>
    <col min="13812" max="13812" width="10.625" style="1" customWidth="1"/>
    <col min="13813" max="13813" width="14.625" style="1" customWidth="1"/>
    <col min="13814" max="13814" width="10.625" style="1" customWidth="1"/>
    <col min="13815" max="13815" width="14.625" style="1" customWidth="1"/>
    <col min="13816" max="13816" width="10.625" style="1" customWidth="1"/>
    <col min="13817" max="13817" width="14.625" style="1" customWidth="1"/>
    <col min="13818" max="13818" width="10.625" style="1" customWidth="1"/>
    <col min="13819" max="13819" width="18.625" style="1" customWidth="1"/>
    <col min="13820" max="13820" width="9.625" style="1" customWidth="1"/>
    <col min="13821" max="13821" width="10.5" style="1" customWidth="1"/>
    <col min="13822" max="13822" width="20.375" style="1" bestFit="1" customWidth="1"/>
    <col min="13823" max="13823" width="12.5" style="1" customWidth="1"/>
    <col min="13824" max="13824" width="13.125" style="1" customWidth="1"/>
    <col min="13825" max="13829" width="9" style="1"/>
    <col min="13830" max="13830" width="11.25" style="1" bestFit="1" customWidth="1"/>
    <col min="13831" max="13831" width="11.625" style="1" bestFit="1" customWidth="1"/>
    <col min="13832" max="14062" width="9" style="1"/>
    <col min="14063" max="14063" width="4.625" style="1" customWidth="1"/>
    <col min="14064" max="14064" width="34.625" style="1" customWidth="1"/>
    <col min="14065" max="14065" width="11.625" style="1" customWidth="1"/>
    <col min="14066" max="14067" width="6.625" style="1" customWidth="1"/>
    <col min="14068" max="14068" width="10.625" style="1" customWidth="1"/>
    <col min="14069" max="14069" width="14.625" style="1" customWidth="1"/>
    <col min="14070" max="14070" width="10.625" style="1" customWidth="1"/>
    <col min="14071" max="14071" width="14.625" style="1" customWidth="1"/>
    <col min="14072" max="14072" width="10.625" style="1" customWidth="1"/>
    <col min="14073" max="14073" width="14.625" style="1" customWidth="1"/>
    <col min="14074" max="14074" width="10.625" style="1" customWidth="1"/>
    <col min="14075" max="14075" width="18.625" style="1" customWidth="1"/>
    <col min="14076" max="14076" width="9.625" style="1" customWidth="1"/>
    <col min="14077" max="14077" width="10.5" style="1" customWidth="1"/>
    <col min="14078" max="14078" width="20.375" style="1" bestFit="1" customWidth="1"/>
    <col min="14079" max="14079" width="12.5" style="1" customWidth="1"/>
    <col min="14080" max="14080" width="13.125" style="1" customWidth="1"/>
    <col min="14081" max="14085" width="9" style="1"/>
    <col min="14086" max="14086" width="11.25" style="1" bestFit="1" customWidth="1"/>
    <col min="14087" max="14087" width="11.625" style="1" bestFit="1" customWidth="1"/>
    <col min="14088" max="14318" width="9" style="1"/>
    <col min="14319" max="14319" width="4.625" style="1" customWidth="1"/>
    <col min="14320" max="14320" width="34.625" style="1" customWidth="1"/>
    <col min="14321" max="14321" width="11.625" style="1" customWidth="1"/>
    <col min="14322" max="14323" width="6.625" style="1" customWidth="1"/>
    <col min="14324" max="14324" width="10.625" style="1" customWidth="1"/>
    <col min="14325" max="14325" width="14.625" style="1" customWidth="1"/>
    <col min="14326" max="14326" width="10.625" style="1" customWidth="1"/>
    <col min="14327" max="14327" width="14.625" style="1" customWidth="1"/>
    <col min="14328" max="14328" width="10.625" style="1" customWidth="1"/>
    <col min="14329" max="14329" width="14.625" style="1" customWidth="1"/>
    <col min="14330" max="14330" width="10.625" style="1" customWidth="1"/>
    <col min="14331" max="14331" width="18.625" style="1" customWidth="1"/>
    <col min="14332" max="14332" width="9.625" style="1" customWidth="1"/>
    <col min="14333" max="14333" width="10.5" style="1" customWidth="1"/>
    <col min="14334" max="14334" width="20.375" style="1" bestFit="1" customWidth="1"/>
    <col min="14335" max="14335" width="12.5" style="1" customWidth="1"/>
    <col min="14336" max="14336" width="13.125" style="1" customWidth="1"/>
    <col min="14337" max="14341" width="9" style="1"/>
    <col min="14342" max="14342" width="11.25" style="1" bestFit="1" customWidth="1"/>
    <col min="14343" max="14343" width="11.625" style="1" bestFit="1" customWidth="1"/>
    <col min="14344" max="14574" width="9" style="1"/>
    <col min="14575" max="14575" width="4.625" style="1" customWidth="1"/>
    <col min="14576" max="14576" width="34.625" style="1" customWidth="1"/>
    <col min="14577" max="14577" width="11.625" style="1" customWidth="1"/>
    <col min="14578" max="14579" width="6.625" style="1" customWidth="1"/>
    <col min="14580" max="14580" width="10.625" style="1" customWidth="1"/>
    <col min="14581" max="14581" width="14.625" style="1" customWidth="1"/>
    <col min="14582" max="14582" width="10.625" style="1" customWidth="1"/>
    <col min="14583" max="14583" width="14.625" style="1" customWidth="1"/>
    <col min="14584" max="14584" width="10.625" style="1" customWidth="1"/>
    <col min="14585" max="14585" width="14.625" style="1" customWidth="1"/>
    <col min="14586" max="14586" width="10.625" style="1" customWidth="1"/>
    <col min="14587" max="14587" width="18.625" style="1" customWidth="1"/>
    <col min="14588" max="14588" width="9.625" style="1" customWidth="1"/>
    <col min="14589" max="14589" width="10.5" style="1" customWidth="1"/>
    <col min="14590" max="14590" width="20.375" style="1" bestFit="1" customWidth="1"/>
    <col min="14591" max="14591" width="12.5" style="1" customWidth="1"/>
    <col min="14592" max="14592" width="13.125" style="1" customWidth="1"/>
    <col min="14593" max="14597" width="9" style="1"/>
    <col min="14598" max="14598" width="11.25" style="1" bestFit="1" customWidth="1"/>
    <col min="14599" max="14599" width="11.625" style="1" bestFit="1" customWidth="1"/>
    <col min="14600" max="14830" width="9" style="1"/>
    <col min="14831" max="14831" width="4.625" style="1" customWidth="1"/>
    <col min="14832" max="14832" width="34.625" style="1" customWidth="1"/>
    <col min="14833" max="14833" width="11.625" style="1" customWidth="1"/>
    <col min="14834" max="14835" width="6.625" style="1" customWidth="1"/>
    <col min="14836" max="14836" width="10.625" style="1" customWidth="1"/>
    <col min="14837" max="14837" width="14.625" style="1" customWidth="1"/>
    <col min="14838" max="14838" width="10.625" style="1" customWidth="1"/>
    <col min="14839" max="14839" width="14.625" style="1" customWidth="1"/>
    <col min="14840" max="14840" width="10.625" style="1" customWidth="1"/>
    <col min="14841" max="14841" width="14.625" style="1" customWidth="1"/>
    <col min="14842" max="14842" width="10.625" style="1" customWidth="1"/>
    <col min="14843" max="14843" width="18.625" style="1" customWidth="1"/>
    <col min="14844" max="14844" width="9.625" style="1" customWidth="1"/>
    <col min="14845" max="14845" width="10.5" style="1" customWidth="1"/>
    <col min="14846" max="14846" width="20.375" style="1" bestFit="1" customWidth="1"/>
    <col min="14847" max="14847" width="12.5" style="1" customWidth="1"/>
    <col min="14848" max="14848" width="13.125" style="1" customWidth="1"/>
    <col min="14849" max="14853" width="9" style="1"/>
    <col min="14854" max="14854" width="11.25" style="1" bestFit="1" customWidth="1"/>
    <col min="14855" max="14855" width="11.625" style="1" bestFit="1" customWidth="1"/>
    <col min="14856" max="15086" width="9" style="1"/>
    <col min="15087" max="15087" width="4.625" style="1" customWidth="1"/>
    <col min="15088" max="15088" width="34.625" style="1" customWidth="1"/>
    <col min="15089" max="15089" width="11.625" style="1" customWidth="1"/>
    <col min="15090" max="15091" width="6.625" style="1" customWidth="1"/>
    <col min="15092" max="15092" width="10.625" style="1" customWidth="1"/>
    <col min="15093" max="15093" width="14.625" style="1" customWidth="1"/>
    <col min="15094" max="15094" width="10.625" style="1" customWidth="1"/>
    <col min="15095" max="15095" width="14.625" style="1" customWidth="1"/>
    <col min="15096" max="15096" width="10.625" style="1" customWidth="1"/>
    <col min="15097" max="15097" width="14.625" style="1" customWidth="1"/>
    <col min="15098" max="15098" width="10.625" style="1" customWidth="1"/>
    <col min="15099" max="15099" width="18.625" style="1" customWidth="1"/>
    <col min="15100" max="15100" width="9.625" style="1" customWidth="1"/>
    <col min="15101" max="15101" width="10.5" style="1" customWidth="1"/>
    <col min="15102" max="15102" width="20.375" style="1" bestFit="1" customWidth="1"/>
    <col min="15103" max="15103" width="12.5" style="1" customWidth="1"/>
    <col min="15104" max="15104" width="13.125" style="1" customWidth="1"/>
    <col min="15105" max="15109" width="9" style="1"/>
    <col min="15110" max="15110" width="11.25" style="1" bestFit="1" customWidth="1"/>
    <col min="15111" max="15111" width="11.625" style="1" bestFit="1" customWidth="1"/>
    <col min="15112" max="15342" width="9" style="1"/>
    <col min="15343" max="15343" width="4.625" style="1" customWidth="1"/>
    <col min="15344" max="15344" width="34.625" style="1" customWidth="1"/>
    <col min="15345" max="15345" width="11.625" style="1" customWidth="1"/>
    <col min="15346" max="15347" width="6.625" style="1" customWidth="1"/>
    <col min="15348" max="15348" width="10.625" style="1" customWidth="1"/>
    <col min="15349" max="15349" width="14.625" style="1" customWidth="1"/>
    <col min="15350" max="15350" width="10.625" style="1" customWidth="1"/>
    <col min="15351" max="15351" width="14.625" style="1" customWidth="1"/>
    <col min="15352" max="15352" width="10.625" style="1" customWidth="1"/>
    <col min="15353" max="15353" width="14.625" style="1" customWidth="1"/>
    <col min="15354" max="15354" width="10.625" style="1" customWidth="1"/>
    <col min="15355" max="15355" width="18.625" style="1" customWidth="1"/>
    <col min="15356" max="15356" width="9.625" style="1" customWidth="1"/>
    <col min="15357" max="15357" width="10.5" style="1" customWidth="1"/>
    <col min="15358" max="15358" width="20.375" style="1" bestFit="1" customWidth="1"/>
    <col min="15359" max="15359" width="12.5" style="1" customWidth="1"/>
    <col min="15360" max="15360" width="13.125" style="1" customWidth="1"/>
    <col min="15361" max="15365" width="9" style="1"/>
    <col min="15366" max="15366" width="11.25" style="1" bestFit="1" customWidth="1"/>
    <col min="15367" max="15367" width="11.625" style="1" bestFit="1" customWidth="1"/>
    <col min="15368" max="15598" width="9" style="1"/>
    <col min="15599" max="15599" width="4.625" style="1" customWidth="1"/>
    <col min="15600" max="15600" width="34.625" style="1" customWidth="1"/>
    <col min="15601" max="15601" width="11.625" style="1" customWidth="1"/>
    <col min="15602" max="15603" width="6.625" style="1" customWidth="1"/>
    <col min="15604" max="15604" width="10.625" style="1" customWidth="1"/>
    <col min="15605" max="15605" width="14.625" style="1" customWidth="1"/>
    <col min="15606" max="15606" width="10.625" style="1" customWidth="1"/>
    <col min="15607" max="15607" width="14.625" style="1" customWidth="1"/>
    <col min="15608" max="15608" width="10.625" style="1" customWidth="1"/>
    <col min="15609" max="15609" width="14.625" style="1" customWidth="1"/>
    <col min="15610" max="15610" width="10.625" style="1" customWidth="1"/>
    <col min="15611" max="15611" width="18.625" style="1" customWidth="1"/>
    <col min="15612" max="15612" width="9.625" style="1" customWidth="1"/>
    <col min="15613" max="15613" width="10.5" style="1" customWidth="1"/>
    <col min="15614" max="15614" width="20.375" style="1" bestFit="1" customWidth="1"/>
    <col min="15615" max="15615" width="12.5" style="1" customWidth="1"/>
    <col min="15616" max="15616" width="13.125" style="1" customWidth="1"/>
    <col min="15617" max="15621" width="9" style="1"/>
    <col min="15622" max="15622" width="11.25" style="1" bestFit="1" customWidth="1"/>
    <col min="15623" max="15623" width="11.625" style="1" bestFit="1" customWidth="1"/>
    <col min="15624" max="15854" width="9" style="1"/>
    <col min="15855" max="15855" width="4.625" style="1" customWidth="1"/>
    <col min="15856" max="15856" width="34.625" style="1" customWidth="1"/>
    <col min="15857" max="15857" width="11.625" style="1" customWidth="1"/>
    <col min="15858" max="15859" width="6.625" style="1" customWidth="1"/>
    <col min="15860" max="15860" width="10.625" style="1" customWidth="1"/>
    <col min="15861" max="15861" width="14.625" style="1" customWidth="1"/>
    <col min="15862" max="15862" width="10.625" style="1" customWidth="1"/>
    <col min="15863" max="15863" width="14.625" style="1" customWidth="1"/>
    <col min="15864" max="15864" width="10.625" style="1" customWidth="1"/>
    <col min="15865" max="15865" width="14.625" style="1" customWidth="1"/>
    <col min="15866" max="15866" width="10.625" style="1" customWidth="1"/>
    <col min="15867" max="15867" width="18.625" style="1" customWidth="1"/>
    <col min="15868" max="15868" width="9.625" style="1" customWidth="1"/>
    <col min="15869" max="15869" width="10.5" style="1" customWidth="1"/>
    <col min="15870" max="15870" width="20.375" style="1" bestFit="1" customWidth="1"/>
    <col min="15871" max="15871" width="12.5" style="1" customWidth="1"/>
    <col min="15872" max="15872" width="13.125" style="1" customWidth="1"/>
    <col min="15873" max="15877" width="9" style="1"/>
    <col min="15878" max="15878" width="11.25" style="1" bestFit="1" customWidth="1"/>
    <col min="15879" max="15879" width="11.625" style="1" bestFit="1" customWidth="1"/>
    <col min="15880" max="16110" width="9" style="1"/>
    <col min="16111" max="16111" width="4.625" style="1" customWidth="1"/>
    <col min="16112" max="16112" width="34.625" style="1" customWidth="1"/>
    <col min="16113" max="16113" width="11.625" style="1" customWidth="1"/>
    <col min="16114" max="16115" width="6.625" style="1" customWidth="1"/>
    <col min="16116" max="16116" width="10.625" style="1" customWidth="1"/>
    <col min="16117" max="16117" width="14.625" style="1" customWidth="1"/>
    <col min="16118" max="16118" width="10.625" style="1" customWidth="1"/>
    <col min="16119" max="16119" width="14.625" style="1" customWidth="1"/>
    <col min="16120" max="16120" width="10.625" style="1" customWidth="1"/>
    <col min="16121" max="16121" width="14.625" style="1" customWidth="1"/>
    <col min="16122" max="16122" width="10.625" style="1" customWidth="1"/>
    <col min="16123" max="16123" width="18.625" style="1" customWidth="1"/>
    <col min="16124" max="16124" width="9.625" style="1" customWidth="1"/>
    <col min="16125" max="16125" width="10.5" style="1" customWidth="1"/>
    <col min="16126" max="16126" width="20.375" style="1" bestFit="1" customWidth="1"/>
    <col min="16127" max="16127" width="12.5" style="1" customWidth="1"/>
    <col min="16128" max="16128" width="13.125" style="1" customWidth="1"/>
    <col min="16129" max="16133" width="9" style="1"/>
    <col min="16134" max="16134" width="11.25" style="1" bestFit="1" customWidth="1"/>
    <col min="16135" max="16135" width="11.625" style="1" bestFit="1" customWidth="1"/>
    <col min="16136" max="16384" width="9" style="1"/>
  </cols>
  <sheetData>
    <row r="1" spans="1:123" ht="35.1" customHeight="1">
      <c r="A1" s="330" t="s">
        <v>402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2"/>
    </row>
    <row r="2" spans="1:123" customFormat="1" ht="19.5" customHeight="1" thickBot="1">
      <c r="A2" s="356" t="s">
        <v>289</v>
      </c>
      <c r="B2" s="356"/>
      <c r="C2" s="356"/>
      <c r="D2" s="356"/>
      <c r="E2" s="356"/>
      <c r="F2" s="60"/>
      <c r="G2" s="60"/>
      <c r="H2" s="60"/>
      <c r="I2" s="60"/>
      <c r="J2" s="60"/>
      <c r="K2" s="60"/>
      <c r="L2" s="60"/>
      <c r="M2" s="368" t="s">
        <v>427</v>
      </c>
      <c r="N2" s="368"/>
    </row>
    <row r="3" spans="1:123" ht="30" customHeight="1">
      <c r="A3" s="121"/>
      <c r="B3" s="346" t="s">
        <v>56</v>
      </c>
      <c r="C3" s="348" t="s">
        <v>39</v>
      </c>
      <c r="D3" s="348" t="s">
        <v>38</v>
      </c>
      <c r="E3" s="348" t="s">
        <v>37</v>
      </c>
      <c r="F3" s="350" t="s">
        <v>40</v>
      </c>
      <c r="G3" s="351"/>
      <c r="H3" s="350" t="s">
        <v>57</v>
      </c>
      <c r="I3" s="351"/>
      <c r="J3" s="350" t="s">
        <v>41</v>
      </c>
      <c r="K3" s="351"/>
      <c r="L3" s="350" t="s">
        <v>4</v>
      </c>
      <c r="M3" s="351"/>
      <c r="N3" s="352" t="s">
        <v>0</v>
      </c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</row>
    <row r="4" spans="1:123" s="5" customFormat="1" ht="30" customHeight="1" thickBot="1">
      <c r="A4" s="122"/>
      <c r="B4" s="347"/>
      <c r="C4" s="349"/>
      <c r="D4" s="349"/>
      <c r="E4" s="349"/>
      <c r="F4" s="74" t="s">
        <v>58</v>
      </c>
      <c r="G4" s="74" t="s">
        <v>59</v>
      </c>
      <c r="H4" s="74" t="s">
        <v>58</v>
      </c>
      <c r="I4" s="74" t="s">
        <v>59</v>
      </c>
      <c r="J4" s="74" t="s">
        <v>58</v>
      </c>
      <c r="K4" s="74" t="s">
        <v>59</v>
      </c>
      <c r="L4" s="74" t="s">
        <v>58</v>
      </c>
      <c r="M4" s="74" t="s">
        <v>59</v>
      </c>
      <c r="N4" s="353"/>
      <c r="O4" s="2"/>
    </row>
    <row r="5" spans="1:123" s="2" customFormat="1" ht="30" hidden="1" customHeight="1">
      <c r="A5" s="123"/>
      <c r="B5" s="342" t="s">
        <v>60</v>
      </c>
      <c r="C5" s="342"/>
      <c r="D5" s="342"/>
      <c r="E5" s="343"/>
      <c r="F5" s="124"/>
      <c r="G5" s="124"/>
      <c r="H5" s="124"/>
      <c r="I5" s="124"/>
      <c r="J5" s="124"/>
      <c r="K5" s="124"/>
      <c r="L5" s="124"/>
      <c r="M5" s="124"/>
      <c r="N5" s="125"/>
    </row>
    <row r="6" spans="1:123" ht="30" customHeight="1">
      <c r="A6" s="165" t="s">
        <v>54</v>
      </c>
      <c r="B6" s="44"/>
      <c r="C6" s="44"/>
      <c r="D6" s="44"/>
      <c r="E6" s="47"/>
      <c r="F6" s="48"/>
      <c r="G6" s="48">
        <f>'기성내역서(2024용인_지성_제조)'!G61</f>
        <v>59679678</v>
      </c>
      <c r="H6" s="48"/>
      <c r="I6" s="48">
        <f>'기성내역서(2024용인_지성_제조)'!I61</f>
        <v>12697022</v>
      </c>
      <c r="J6" s="48"/>
      <c r="K6" s="48">
        <f>'기성내역서(2024용인_지성_제조)'!K61</f>
        <v>1968956</v>
      </c>
      <c r="L6" s="46"/>
      <c r="M6" s="45">
        <f>G6+I6+K6</f>
        <v>74345656</v>
      </c>
      <c r="N6" s="166"/>
      <c r="O6" s="2"/>
    </row>
    <row r="7" spans="1:123" s="3" customFormat="1" ht="30" customHeight="1">
      <c r="A7" s="127"/>
      <c r="B7" s="132"/>
      <c r="C7" s="129"/>
      <c r="D7" s="130"/>
      <c r="E7" s="128"/>
      <c r="F7" s="131"/>
      <c r="G7" s="80"/>
      <c r="H7" s="80"/>
      <c r="I7" s="80"/>
      <c r="J7" s="80"/>
      <c r="K7" s="80"/>
      <c r="L7" s="80"/>
      <c r="M7" s="80"/>
      <c r="N7" s="8"/>
      <c r="O7" s="2"/>
    </row>
    <row r="8" spans="1:123" s="3" customFormat="1" ht="30" customHeight="1">
      <c r="A8" s="127"/>
      <c r="B8" s="132"/>
      <c r="C8" s="129"/>
      <c r="D8" s="130"/>
      <c r="E8" s="128"/>
      <c r="F8" s="131"/>
      <c r="G8" s="80"/>
      <c r="H8" s="80"/>
      <c r="I8" s="80"/>
      <c r="J8" s="80"/>
      <c r="K8" s="80"/>
      <c r="L8" s="80"/>
      <c r="M8" s="80"/>
      <c r="N8" s="8"/>
      <c r="O8" s="2"/>
    </row>
    <row r="9" spans="1:123" s="3" customFormat="1" ht="30" customHeight="1" thickBot="1">
      <c r="A9" s="133"/>
      <c r="B9" s="134"/>
      <c r="C9" s="135"/>
      <c r="D9" s="62"/>
      <c r="E9" s="62"/>
      <c r="F9" s="22"/>
      <c r="G9" s="23"/>
      <c r="H9" s="23"/>
      <c r="I9" s="23"/>
      <c r="J9" s="23"/>
      <c r="K9" s="23"/>
      <c r="L9" s="23"/>
      <c r="M9" s="23"/>
      <c r="N9" s="63"/>
      <c r="O9" s="2"/>
    </row>
    <row r="10" spans="1:123" s="52" customFormat="1" ht="30" customHeight="1" thickBot="1">
      <c r="A10" s="136"/>
      <c r="B10" s="137" t="s">
        <v>46</v>
      </c>
      <c r="C10" s="138"/>
      <c r="D10" s="139"/>
      <c r="E10" s="138"/>
      <c r="F10" s="140"/>
      <c r="G10" s="140">
        <f>SUM(G6:G9)</f>
        <v>59679678</v>
      </c>
      <c r="H10" s="140"/>
      <c r="I10" s="140">
        <f>SUM(I6:I9)</f>
        <v>12697022</v>
      </c>
      <c r="J10" s="140"/>
      <c r="K10" s="140">
        <f>SUM(K6:K9)</f>
        <v>1968956</v>
      </c>
      <c r="L10" s="140"/>
      <c r="M10" s="140">
        <f>SUM(M6:M9)</f>
        <v>74345656</v>
      </c>
      <c r="N10" s="141"/>
      <c r="O10" s="51"/>
    </row>
    <row r="11" spans="1:123" s="92" customFormat="1" ht="30" customHeight="1">
      <c r="A11" s="142"/>
      <c r="B11" s="143" t="s">
        <v>1</v>
      </c>
      <c r="C11" s="82"/>
      <c r="D11" s="83"/>
      <c r="E11" s="84"/>
      <c r="F11" s="85"/>
      <c r="G11" s="86"/>
      <c r="H11" s="87"/>
      <c r="I11" s="86"/>
      <c r="J11" s="87"/>
      <c r="K11" s="86"/>
      <c r="L11" s="88"/>
      <c r="M11" s="89"/>
      <c r="N11" s="90"/>
      <c r="O11" s="91"/>
    </row>
    <row r="12" spans="1:123" s="3" customFormat="1" ht="30" customHeight="1">
      <c r="A12" s="144" t="s">
        <v>36</v>
      </c>
      <c r="B12" s="145" t="s">
        <v>61</v>
      </c>
      <c r="C12" s="6"/>
      <c r="D12" s="7">
        <v>1</v>
      </c>
      <c r="E12" s="6" t="s">
        <v>5</v>
      </c>
      <c r="F12" s="27"/>
      <c r="G12" s="28"/>
      <c r="H12" s="29"/>
      <c r="I12" s="28"/>
      <c r="J12" s="29"/>
      <c r="K12" s="28"/>
      <c r="L12" s="29"/>
      <c r="M12" s="30">
        <f>G10</f>
        <v>59679678</v>
      </c>
      <c r="N12" s="8"/>
      <c r="O12" s="2"/>
    </row>
    <row r="13" spans="1:123" s="3" customFormat="1" ht="30" customHeight="1">
      <c r="A13" s="144" t="s">
        <v>34</v>
      </c>
      <c r="B13" s="146" t="s">
        <v>47</v>
      </c>
      <c r="C13" s="6"/>
      <c r="D13" s="31"/>
      <c r="E13" s="32"/>
      <c r="F13" s="27"/>
      <c r="G13" s="28"/>
      <c r="H13" s="29"/>
      <c r="I13" s="28"/>
      <c r="J13" s="29"/>
      <c r="K13" s="28"/>
      <c r="L13" s="29"/>
      <c r="M13" s="30">
        <f>SUM(M14:M15)</f>
        <v>14385725</v>
      </c>
      <c r="N13" s="8"/>
      <c r="O13" s="2"/>
    </row>
    <row r="14" spans="1:123" ht="30" customHeight="1">
      <c r="A14" s="126"/>
      <c r="B14" s="145" t="s">
        <v>42</v>
      </c>
      <c r="C14" s="33"/>
      <c r="D14" s="7">
        <v>1</v>
      </c>
      <c r="E14" s="6" t="s">
        <v>5</v>
      </c>
      <c r="F14" s="34"/>
      <c r="G14" s="25"/>
      <c r="H14" s="25"/>
      <c r="I14" s="25"/>
      <c r="J14" s="25"/>
      <c r="K14" s="25"/>
      <c r="L14" s="26"/>
      <c r="M14" s="24">
        <f>I10</f>
        <v>12697022</v>
      </c>
      <c r="N14" s="8"/>
    </row>
    <row r="15" spans="1:123" ht="30" customHeight="1">
      <c r="A15" s="126"/>
      <c r="B15" s="145" t="s">
        <v>43</v>
      </c>
      <c r="C15" s="35">
        <v>0.13300000000000001</v>
      </c>
      <c r="D15" s="7">
        <v>1</v>
      </c>
      <c r="E15" s="6" t="s">
        <v>5</v>
      </c>
      <c r="F15" s="34" t="s">
        <v>2</v>
      </c>
      <c r="G15" s="25"/>
      <c r="H15" s="25"/>
      <c r="I15" s="25"/>
      <c r="J15" s="25"/>
      <c r="K15" s="25"/>
      <c r="L15" s="26"/>
      <c r="M15" s="24">
        <f>INT(I10*C15)</f>
        <v>1688703</v>
      </c>
      <c r="N15" s="8"/>
      <c r="O15" s="41"/>
    </row>
    <row r="16" spans="1:123" ht="30" customHeight="1">
      <c r="A16" s="144" t="s">
        <v>35</v>
      </c>
      <c r="B16" s="146" t="s">
        <v>62</v>
      </c>
      <c r="C16" s="33"/>
      <c r="D16" s="7"/>
      <c r="E16" s="6"/>
      <c r="F16" s="34"/>
      <c r="G16" s="25"/>
      <c r="H16" s="25"/>
      <c r="I16" s="25"/>
      <c r="J16" s="25"/>
      <c r="K16" s="25"/>
      <c r="L16" s="26"/>
      <c r="M16" s="24">
        <f>SUM(M17:M30)</f>
        <v>5737128</v>
      </c>
      <c r="N16" s="8"/>
    </row>
    <row r="17" spans="1:16" ht="30" customHeight="1">
      <c r="A17" s="126"/>
      <c r="B17" s="145" t="s">
        <v>63</v>
      </c>
      <c r="C17" s="33"/>
      <c r="D17" s="7">
        <v>1</v>
      </c>
      <c r="E17" s="6" t="s">
        <v>5</v>
      </c>
      <c r="F17" s="34"/>
      <c r="G17" s="25"/>
      <c r="H17" s="25"/>
      <c r="I17" s="25"/>
      <c r="J17" s="25"/>
      <c r="K17" s="25"/>
      <c r="L17" s="26"/>
      <c r="M17" s="24">
        <f>K10</f>
        <v>1968956</v>
      </c>
      <c r="N17" s="8"/>
    </row>
    <row r="18" spans="1:16" ht="30" customHeight="1">
      <c r="A18" s="126"/>
      <c r="B18" s="145" t="s">
        <v>87</v>
      </c>
      <c r="C18" s="36"/>
      <c r="D18" s="7"/>
      <c r="E18" s="6"/>
      <c r="F18" s="34"/>
      <c r="G18" s="25"/>
      <c r="H18" s="25"/>
      <c r="I18" s="25"/>
      <c r="J18" s="25"/>
      <c r="K18" s="25"/>
      <c r="L18" s="26"/>
      <c r="M18" s="24"/>
      <c r="N18" s="49"/>
      <c r="P18" s="5"/>
    </row>
    <row r="19" spans="1:16" ht="30" customHeight="1">
      <c r="A19" s="126"/>
      <c r="B19" s="146" t="s">
        <v>65</v>
      </c>
      <c r="C19" s="33">
        <v>3.56E-2</v>
      </c>
      <c r="D19" s="7">
        <v>1</v>
      </c>
      <c r="E19" s="6" t="s">
        <v>5</v>
      </c>
      <c r="F19" s="34" t="s">
        <v>66</v>
      </c>
      <c r="G19" s="25"/>
      <c r="H19" s="25"/>
      <c r="I19" s="25"/>
      <c r="J19" s="25"/>
      <c r="K19" s="25"/>
      <c r="L19" s="26"/>
      <c r="M19" s="24">
        <f>INT((I10+M15)*C19)</f>
        <v>512131</v>
      </c>
      <c r="N19" s="8"/>
      <c r="O19" s="42"/>
      <c r="P19" s="52"/>
    </row>
    <row r="20" spans="1:16" ht="30" customHeight="1">
      <c r="A20" s="126"/>
      <c r="B20" s="146" t="s">
        <v>67</v>
      </c>
      <c r="C20" s="33">
        <v>1.01E-2</v>
      </c>
      <c r="D20" s="7">
        <v>1</v>
      </c>
      <c r="E20" s="6" t="s">
        <v>5</v>
      </c>
      <c r="F20" s="34" t="s">
        <v>66</v>
      </c>
      <c r="G20" s="25"/>
      <c r="H20" s="25"/>
      <c r="I20" s="25"/>
      <c r="J20" s="25"/>
      <c r="K20" s="25"/>
      <c r="L20" s="26"/>
      <c r="M20" s="24">
        <f>INT((M15+I10)*C20)</f>
        <v>145295</v>
      </c>
      <c r="N20" s="8"/>
      <c r="O20" s="42"/>
      <c r="P20" s="52"/>
    </row>
    <row r="21" spans="1:16" ht="30" customHeight="1">
      <c r="A21" s="126"/>
      <c r="B21" s="146" t="s">
        <v>68</v>
      </c>
      <c r="C21" s="33">
        <v>4.4999999999999998E-2</v>
      </c>
      <c r="D21" s="7">
        <v>1</v>
      </c>
      <c r="E21" s="6" t="s">
        <v>5</v>
      </c>
      <c r="F21" s="34" t="s">
        <v>2</v>
      </c>
      <c r="G21" s="25"/>
      <c r="H21" s="25"/>
      <c r="I21" s="25"/>
      <c r="J21" s="25"/>
      <c r="K21" s="25"/>
      <c r="L21" s="26"/>
      <c r="M21" s="50">
        <v>0</v>
      </c>
      <c r="N21" s="54" t="s">
        <v>64</v>
      </c>
      <c r="O21" s="42"/>
    </row>
    <row r="22" spans="1:16" ht="30" customHeight="1">
      <c r="A22" s="126"/>
      <c r="B22" s="146" t="s">
        <v>70</v>
      </c>
      <c r="C22" s="172">
        <v>3.5450000000000002E-2</v>
      </c>
      <c r="D22" s="7">
        <v>1</v>
      </c>
      <c r="E22" s="6" t="s">
        <v>5</v>
      </c>
      <c r="F22" s="34" t="s">
        <v>2</v>
      </c>
      <c r="G22" s="25"/>
      <c r="H22" s="25"/>
      <c r="I22" s="25"/>
      <c r="J22" s="25"/>
      <c r="K22" s="25"/>
      <c r="L22" s="26"/>
      <c r="M22" s="50">
        <v>0</v>
      </c>
      <c r="N22" s="54" t="s">
        <v>64</v>
      </c>
      <c r="O22" s="42"/>
    </row>
    <row r="23" spans="1:16" ht="30" customHeight="1">
      <c r="A23" s="126"/>
      <c r="B23" s="146" t="s">
        <v>71</v>
      </c>
      <c r="C23" s="33">
        <v>0.1295</v>
      </c>
      <c r="D23" s="7">
        <v>1</v>
      </c>
      <c r="E23" s="6" t="s">
        <v>5</v>
      </c>
      <c r="F23" s="34" t="s">
        <v>72</v>
      </c>
      <c r="G23" s="25"/>
      <c r="H23" s="25"/>
      <c r="I23" s="25"/>
      <c r="J23" s="25"/>
      <c r="K23" s="25"/>
      <c r="L23" s="26"/>
      <c r="M23" s="50">
        <v>0</v>
      </c>
      <c r="N23" s="54" t="s">
        <v>64</v>
      </c>
      <c r="O23" s="42"/>
    </row>
    <row r="24" spans="1:16" ht="30" customHeight="1">
      <c r="A24" s="126"/>
      <c r="B24" s="145" t="s">
        <v>88</v>
      </c>
      <c r="C24" s="35">
        <v>2.3E-2</v>
      </c>
      <c r="D24" s="7">
        <v>1</v>
      </c>
      <c r="E24" s="6" t="s">
        <v>5</v>
      </c>
      <c r="F24" s="34" t="s">
        <v>2</v>
      </c>
      <c r="G24" s="25"/>
      <c r="H24" s="25"/>
      <c r="I24" s="25"/>
      <c r="J24" s="25"/>
      <c r="K24" s="25"/>
      <c r="L24" s="26"/>
      <c r="M24" s="50">
        <v>0</v>
      </c>
      <c r="N24" s="54" t="s">
        <v>64</v>
      </c>
      <c r="O24" s="41"/>
    </row>
    <row r="25" spans="1:16" s="52" customFormat="1" ht="30" customHeight="1">
      <c r="A25" s="126"/>
      <c r="B25" s="145" t="s">
        <v>89</v>
      </c>
      <c r="C25" s="33">
        <v>2.5999999999999999E-2</v>
      </c>
      <c r="D25" s="7">
        <v>1</v>
      </c>
      <c r="E25" s="6" t="s">
        <v>5</v>
      </c>
      <c r="F25" s="153" t="s">
        <v>145</v>
      </c>
      <c r="G25" s="167"/>
      <c r="H25" s="167"/>
      <c r="I25" s="167"/>
      <c r="J25" s="167"/>
      <c r="K25" s="25"/>
      <c r="L25" s="26"/>
      <c r="M25" s="50">
        <v>0</v>
      </c>
      <c r="N25" s="54" t="s">
        <v>64</v>
      </c>
      <c r="O25" s="53"/>
    </row>
    <row r="26" spans="1:16" ht="30" customHeight="1">
      <c r="A26" s="126"/>
      <c r="B26" s="145" t="s">
        <v>90</v>
      </c>
      <c r="C26" s="33">
        <v>4.2000000000000003E-2</v>
      </c>
      <c r="D26" s="7">
        <v>1</v>
      </c>
      <c r="E26" s="6" t="s">
        <v>5</v>
      </c>
      <c r="F26" s="34" t="s">
        <v>73</v>
      </c>
      <c r="G26" s="25"/>
      <c r="H26" s="25"/>
      <c r="I26" s="25"/>
      <c r="J26" s="25"/>
      <c r="K26" s="25"/>
      <c r="L26" s="147"/>
      <c r="M26" s="24">
        <f>INT(($G$10+$I$10+$M$15)*C26)</f>
        <v>3110746</v>
      </c>
      <c r="N26" s="8"/>
      <c r="O26" s="41"/>
    </row>
    <row r="27" spans="1:16" ht="30" customHeight="1">
      <c r="A27" s="126"/>
      <c r="B27" s="145" t="s">
        <v>91</v>
      </c>
      <c r="C27" s="35">
        <v>5.0000000000000001E-3</v>
      </c>
      <c r="D27" s="7">
        <v>1</v>
      </c>
      <c r="E27" s="6" t="s">
        <v>5</v>
      </c>
      <c r="F27" s="34" t="s">
        <v>74</v>
      </c>
      <c r="G27" s="25"/>
      <c r="H27" s="25"/>
      <c r="I27" s="25"/>
      <c r="J27" s="25"/>
      <c r="K27" s="25"/>
      <c r="L27" s="26"/>
      <c r="M27" s="50">
        <v>0</v>
      </c>
      <c r="N27" s="54" t="s">
        <v>64</v>
      </c>
      <c r="O27" s="41"/>
    </row>
    <row r="28" spans="1:16" ht="30" customHeight="1">
      <c r="A28" s="148"/>
      <c r="B28" s="149" t="s">
        <v>92</v>
      </c>
      <c r="C28" s="150"/>
      <c r="D28" s="64"/>
      <c r="E28" s="61"/>
      <c r="F28" s="65"/>
      <c r="G28" s="66"/>
      <c r="H28" s="66"/>
      <c r="I28" s="66"/>
      <c r="J28" s="66"/>
      <c r="K28" s="66"/>
      <c r="L28" s="67"/>
      <c r="M28" s="68"/>
      <c r="N28" s="151"/>
    </row>
    <row r="29" spans="1:16" ht="30" customHeight="1">
      <c r="A29" s="148"/>
      <c r="B29" s="146" t="s">
        <v>75</v>
      </c>
      <c r="C29" s="152">
        <v>8.0000000000000004E-4</v>
      </c>
      <c r="D29" s="64">
        <v>1</v>
      </c>
      <c r="E29" s="61" t="s">
        <v>5</v>
      </c>
      <c r="F29" s="65" t="s">
        <v>74</v>
      </c>
      <c r="G29" s="66"/>
      <c r="H29" s="66"/>
      <c r="I29" s="66"/>
      <c r="J29" s="66"/>
      <c r="K29" s="66"/>
      <c r="L29" s="67"/>
      <c r="M29" s="205">
        <v>0</v>
      </c>
      <c r="N29" s="206" t="s">
        <v>64</v>
      </c>
      <c r="O29" s="43"/>
    </row>
    <row r="30" spans="1:16" ht="30" customHeight="1">
      <c r="A30" s="126"/>
      <c r="B30" s="146" t="s">
        <v>76</v>
      </c>
      <c r="C30" s="33">
        <v>3.2000000000000002E-3</v>
      </c>
      <c r="D30" s="7">
        <v>1</v>
      </c>
      <c r="E30" s="6" t="s">
        <v>5</v>
      </c>
      <c r="F30" s="34" t="s">
        <v>74</v>
      </c>
      <c r="G30" s="25"/>
      <c r="H30" s="25"/>
      <c r="I30" s="25"/>
      <c r="J30" s="25"/>
      <c r="K30" s="25"/>
      <c r="L30" s="26"/>
      <c r="M30" s="50">
        <v>0</v>
      </c>
      <c r="N30" s="54" t="s">
        <v>64</v>
      </c>
      <c r="O30" s="42"/>
    </row>
    <row r="31" spans="1:16" s="57" customFormat="1" ht="30" customHeight="1">
      <c r="A31" s="154"/>
      <c r="B31" s="155" t="s">
        <v>77</v>
      </c>
      <c r="C31" s="75"/>
      <c r="D31" s="76"/>
      <c r="E31" s="75"/>
      <c r="F31" s="77"/>
      <c r="G31" s="78"/>
      <c r="H31" s="78"/>
      <c r="I31" s="78"/>
      <c r="J31" s="78"/>
      <c r="K31" s="78"/>
      <c r="L31" s="79"/>
      <c r="M31" s="80">
        <f>M12+M13+M16</f>
        <v>79802531</v>
      </c>
      <c r="N31" s="81"/>
      <c r="O31" s="120"/>
    </row>
    <row r="32" spans="1:16" ht="30" customHeight="1">
      <c r="A32" s="144" t="s">
        <v>78</v>
      </c>
      <c r="B32" s="146" t="s">
        <v>79</v>
      </c>
      <c r="C32" s="33">
        <v>3.5000000000000003E-2</v>
      </c>
      <c r="D32" s="7">
        <v>1</v>
      </c>
      <c r="E32" s="6" t="s">
        <v>5</v>
      </c>
      <c r="F32" s="34" t="s">
        <v>80</v>
      </c>
      <c r="G32" s="25"/>
      <c r="H32" s="25"/>
      <c r="I32" s="25"/>
      <c r="J32" s="25"/>
      <c r="K32" s="25"/>
      <c r="L32" s="26"/>
      <c r="M32" s="24">
        <f>INT((M12+M13+M16)*C32)</f>
        <v>2793088</v>
      </c>
      <c r="N32" s="8"/>
      <c r="O32" s="41"/>
    </row>
    <row r="33" spans="1:123" ht="30" customHeight="1">
      <c r="A33" s="144" t="s">
        <v>81</v>
      </c>
      <c r="B33" s="146" t="s">
        <v>82</v>
      </c>
      <c r="C33" s="33">
        <v>4.2999999999999997E-2</v>
      </c>
      <c r="D33" s="7">
        <v>1</v>
      </c>
      <c r="E33" s="6" t="s">
        <v>5</v>
      </c>
      <c r="F33" s="34" t="s">
        <v>83</v>
      </c>
      <c r="G33" s="25"/>
      <c r="H33" s="25"/>
      <c r="I33" s="25"/>
      <c r="J33" s="37" t="s">
        <v>84</v>
      </c>
      <c r="K33" s="344">
        <f>INT((M13+M16+M32)*C33)</f>
        <v>985385</v>
      </c>
      <c r="L33" s="345"/>
      <c r="M33" s="24">
        <f>INT((M13+M16+M32)*C33)-N33</f>
        <v>984381</v>
      </c>
      <c r="N33" s="170">
        <v>1004</v>
      </c>
      <c r="O33" s="41"/>
    </row>
    <row r="34" spans="1:123" s="57" customFormat="1" ht="30" customHeight="1">
      <c r="A34" s="154"/>
      <c r="B34" s="155" t="s">
        <v>85</v>
      </c>
      <c r="C34" s="75"/>
      <c r="D34" s="76"/>
      <c r="E34" s="75"/>
      <c r="F34" s="77"/>
      <c r="G34" s="78"/>
      <c r="H34" s="78"/>
      <c r="I34" s="78"/>
      <c r="J34" s="78"/>
      <c r="K34" s="78"/>
      <c r="L34" s="79"/>
      <c r="M34" s="80">
        <f>SUM(M31:M33)</f>
        <v>83580000</v>
      </c>
      <c r="N34" s="81"/>
      <c r="O34" s="120"/>
    </row>
    <row r="35" spans="1:123" s="55" customFormat="1" ht="30" customHeight="1">
      <c r="A35" s="154"/>
      <c r="B35" s="155" t="s">
        <v>86</v>
      </c>
      <c r="C35" s="75"/>
      <c r="D35" s="76"/>
      <c r="E35" s="75"/>
      <c r="F35" s="77"/>
      <c r="G35" s="78"/>
      <c r="H35" s="78"/>
      <c r="I35" s="78"/>
      <c r="J35" s="78"/>
      <c r="K35" s="78"/>
      <c r="L35" s="79"/>
      <c r="M35" s="80">
        <f>M34</f>
        <v>83580000</v>
      </c>
      <c r="N35" s="81"/>
      <c r="O35" s="59"/>
    </row>
    <row r="36" spans="1:123" s="55" customFormat="1" ht="30" customHeight="1">
      <c r="A36" s="154"/>
      <c r="B36" s="155" t="s">
        <v>146</v>
      </c>
      <c r="C36" s="75"/>
      <c r="D36" s="76"/>
      <c r="E36" s="75"/>
      <c r="F36" s="77"/>
      <c r="G36" s="78"/>
      <c r="H36" s="78"/>
      <c r="I36" s="78"/>
      <c r="J36" s="78"/>
      <c r="K36" s="78"/>
      <c r="L36" s="79"/>
      <c r="M36" s="80">
        <f>M35*0.1</f>
        <v>8358000</v>
      </c>
      <c r="N36" s="81"/>
      <c r="O36" s="59"/>
    </row>
    <row r="37" spans="1:123" s="57" customFormat="1" ht="30" customHeight="1" thickBot="1">
      <c r="A37" s="156"/>
      <c r="B37" s="157" t="s">
        <v>152</v>
      </c>
      <c r="C37" s="158"/>
      <c r="D37" s="159"/>
      <c r="E37" s="158"/>
      <c r="F37" s="160"/>
      <c r="G37" s="161"/>
      <c r="H37" s="161"/>
      <c r="I37" s="161"/>
      <c r="J37" s="161"/>
      <c r="K37" s="161"/>
      <c r="L37" s="162"/>
      <c r="M37" s="163">
        <f>M35+M36</f>
        <v>91938000</v>
      </c>
      <c r="N37" s="164"/>
      <c r="O37" s="120"/>
    </row>
    <row r="38" spans="1:123" s="2" customFormat="1" ht="30" customHeight="1">
      <c r="A38" s="1"/>
      <c r="B38" s="1"/>
      <c r="D38" s="38"/>
      <c r="E38" s="5"/>
      <c r="F38" s="39"/>
      <c r="G38" s="38"/>
      <c r="H38" s="40"/>
      <c r="I38" s="38"/>
      <c r="J38" s="40"/>
      <c r="K38" s="38"/>
      <c r="L38" s="40"/>
      <c r="M38" s="40"/>
      <c r="N38" s="5"/>
      <c r="O38" s="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</row>
    <row r="39" spans="1:123" s="2" customFormat="1" ht="33" customHeight="1">
      <c r="A39" s="1"/>
      <c r="B39" s="1"/>
      <c r="D39" s="38"/>
      <c r="E39" s="5"/>
      <c r="F39" s="39"/>
      <c r="G39" s="38"/>
      <c r="H39" s="40"/>
      <c r="I39" s="38"/>
      <c r="J39" s="40"/>
      <c r="K39" s="38"/>
      <c r="L39" s="40"/>
      <c r="M39" s="168">
        <f>ROUND(M37/M10,5)</f>
        <v>1.2366299999999999</v>
      </c>
      <c r="N39" s="5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</row>
    <row r="40" spans="1:123" s="2" customFormat="1" ht="33" customHeight="1">
      <c r="A40" s="1"/>
      <c r="B40" s="1"/>
      <c r="D40" s="38"/>
      <c r="E40" s="5"/>
      <c r="F40" s="39"/>
      <c r="G40" s="38"/>
      <c r="H40" s="40"/>
      <c r="I40" s="38"/>
      <c r="J40" s="40"/>
      <c r="K40" s="38"/>
      <c r="L40" s="40"/>
      <c r="M40" s="40"/>
      <c r="N40" s="5"/>
      <c r="O40" s="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</row>
    <row r="41" spans="1:123" s="2" customFormat="1" ht="30" customHeight="1">
      <c r="A41" s="1"/>
      <c r="B41" s="1"/>
      <c r="D41" s="38"/>
      <c r="E41" s="5"/>
      <c r="F41" s="39"/>
      <c r="G41" s="38"/>
      <c r="H41" s="40"/>
      <c r="I41" s="38"/>
      <c r="J41" s="40"/>
      <c r="K41" s="38"/>
      <c r="L41" s="40"/>
      <c r="M41" s="40"/>
      <c r="N41" s="5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</row>
    <row r="45" spans="1:123" s="2" customFormat="1" ht="34.700000000000003" customHeight="1">
      <c r="A45" s="1"/>
      <c r="B45" s="1"/>
      <c r="D45" s="38"/>
      <c r="E45" s="5"/>
      <c r="F45" s="39"/>
      <c r="G45" s="38"/>
      <c r="H45" s="40"/>
      <c r="I45" s="38"/>
      <c r="J45" s="40"/>
      <c r="K45" s="38"/>
      <c r="L45" s="40"/>
      <c r="M45" s="40"/>
      <c r="N45" s="5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</row>
  </sheetData>
  <mergeCells count="14">
    <mergeCell ref="N3:N4"/>
    <mergeCell ref="B5:E5"/>
    <mergeCell ref="K33:L33"/>
    <mergeCell ref="A1:N1"/>
    <mergeCell ref="A2:E2"/>
    <mergeCell ref="B3:B4"/>
    <mergeCell ref="C3:C4"/>
    <mergeCell ref="D3:D4"/>
    <mergeCell ref="E3:E4"/>
    <mergeCell ref="F3:G3"/>
    <mergeCell ref="H3:I3"/>
    <mergeCell ref="J3:K3"/>
    <mergeCell ref="L3:M3"/>
    <mergeCell ref="M2:N2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horizontalDpi="1200" verticalDpi="1200" r:id="rId1"/>
  <headerFooter alignWithMargins="0">
    <oddHeader xml:space="preserve">&amp;C&amp;"돋움,보통"&amp;16&amp;U
</oddHead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A1:T62"/>
  <sheetViews>
    <sheetView view="pageBreakPreview" topLeftCell="A18" zoomScaleNormal="85" zoomScaleSheetLayoutView="100" workbookViewId="0">
      <selection activeCell="D12" sqref="D12"/>
    </sheetView>
  </sheetViews>
  <sheetFormatPr defaultColWidth="8" defaultRowHeight="14.25"/>
  <cols>
    <col min="1" max="1" width="10.5" customWidth="1"/>
    <col min="2" max="2" width="29.875" customWidth="1"/>
    <col min="3" max="3" width="18.75" customWidth="1"/>
    <col min="4" max="4" width="10.5" customWidth="1"/>
    <col min="5" max="5" width="5.25" customWidth="1"/>
    <col min="6" max="6" width="12.5" customWidth="1"/>
    <col min="7" max="7" width="15" customWidth="1"/>
    <col min="8" max="8" width="12.5" customWidth="1"/>
    <col min="9" max="9" width="16.875" customWidth="1"/>
    <col min="10" max="10" width="12.5" customWidth="1"/>
    <col min="11" max="11" width="16.875" customWidth="1"/>
    <col min="12" max="12" width="12.5" customWidth="1"/>
    <col min="13" max="13" width="16.875" customWidth="1"/>
    <col min="14" max="14" width="10.5" customWidth="1"/>
    <col min="16" max="16" width="19.25" bestFit="1" customWidth="1"/>
    <col min="18" max="18" width="10.625" bestFit="1" customWidth="1"/>
  </cols>
  <sheetData>
    <row r="1" spans="1:14" ht="35.1" customHeight="1">
      <c r="A1" s="338" t="s">
        <v>408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</row>
    <row r="2" spans="1:14" ht="15.4" customHeight="1">
      <c r="A2" s="305" t="s">
        <v>144</v>
      </c>
      <c r="B2" s="306"/>
      <c r="C2" s="116"/>
      <c r="D2" s="117"/>
      <c r="E2" s="306"/>
      <c r="F2" s="306"/>
      <c r="G2" s="306"/>
      <c r="H2" s="306"/>
      <c r="I2" s="306"/>
      <c r="J2" s="306"/>
      <c r="K2" s="306"/>
      <c r="L2" s="306"/>
      <c r="M2" s="369" t="s">
        <v>427</v>
      </c>
      <c r="N2" s="369"/>
    </row>
    <row r="3" spans="1:14" ht="19.5" customHeight="1">
      <c r="A3" s="115" t="s">
        <v>11</v>
      </c>
      <c r="B3" s="115" t="s">
        <v>12</v>
      </c>
      <c r="C3" s="115" t="s">
        <v>13</v>
      </c>
      <c r="D3" s="115" t="s">
        <v>14</v>
      </c>
      <c r="E3" s="115" t="s">
        <v>6</v>
      </c>
      <c r="F3" s="303" t="s">
        <v>8</v>
      </c>
      <c r="G3" s="304"/>
      <c r="H3" s="303" t="s">
        <v>9</v>
      </c>
      <c r="I3" s="304"/>
      <c r="J3" s="303" t="s">
        <v>15</v>
      </c>
      <c r="K3" s="304"/>
      <c r="L3" s="303" t="s">
        <v>16</v>
      </c>
      <c r="M3" s="304"/>
      <c r="N3" s="115" t="s">
        <v>44</v>
      </c>
    </row>
    <row r="4" spans="1:14" ht="19.5" customHeight="1">
      <c r="A4" s="97"/>
      <c r="B4" s="97"/>
      <c r="C4" s="97"/>
      <c r="D4" s="97"/>
      <c r="E4" s="97"/>
      <c r="F4" s="98" t="s">
        <v>17</v>
      </c>
      <c r="G4" s="98" t="s">
        <v>18</v>
      </c>
      <c r="H4" s="98" t="s">
        <v>17</v>
      </c>
      <c r="I4" s="98" t="s">
        <v>18</v>
      </c>
      <c r="J4" s="98" t="s">
        <v>17</v>
      </c>
      <c r="K4" s="98" t="s">
        <v>18</v>
      </c>
      <c r="L4" s="98" t="s">
        <v>17</v>
      </c>
      <c r="M4" s="98" t="s">
        <v>18</v>
      </c>
      <c r="N4" s="97"/>
    </row>
    <row r="5" spans="1:14" ht="22.5" customHeight="1">
      <c r="A5" s="99" t="s">
        <v>10</v>
      </c>
      <c r="B5" s="99" t="s">
        <v>19</v>
      </c>
      <c r="C5" s="99" t="s">
        <v>10</v>
      </c>
      <c r="D5" s="100">
        <v>0</v>
      </c>
      <c r="E5" s="98" t="s">
        <v>10</v>
      </c>
      <c r="F5" s="107" t="s">
        <v>10</v>
      </c>
      <c r="G5" s="107" t="s">
        <v>10</v>
      </c>
      <c r="H5" s="107" t="s">
        <v>10</v>
      </c>
      <c r="I5" s="107" t="s">
        <v>10</v>
      </c>
      <c r="J5" s="107" t="s">
        <v>10</v>
      </c>
      <c r="K5" s="107" t="s">
        <v>10</v>
      </c>
      <c r="L5" s="107" t="s">
        <v>10</v>
      </c>
      <c r="M5" s="107" t="s">
        <v>10</v>
      </c>
      <c r="N5" s="110" t="s">
        <v>10</v>
      </c>
    </row>
    <row r="6" spans="1:14" ht="22.5" customHeight="1">
      <c r="A6" s="103" t="s">
        <v>20</v>
      </c>
      <c r="B6" s="102" t="s">
        <v>93</v>
      </c>
      <c r="C6" s="103" t="s">
        <v>10</v>
      </c>
      <c r="D6" s="104">
        <v>0</v>
      </c>
      <c r="E6" s="105" t="s">
        <v>10</v>
      </c>
      <c r="F6" s="111" t="s">
        <v>10</v>
      </c>
      <c r="G6" s="111" t="s">
        <v>10</v>
      </c>
      <c r="H6" s="111" t="s">
        <v>10</v>
      </c>
      <c r="I6" s="111" t="s">
        <v>10</v>
      </c>
      <c r="J6" s="111" t="s">
        <v>10</v>
      </c>
      <c r="K6" s="111" t="s">
        <v>10</v>
      </c>
      <c r="L6" s="111" t="s">
        <v>10</v>
      </c>
      <c r="M6" s="111" t="s">
        <v>10</v>
      </c>
      <c r="N6" s="112" t="s">
        <v>10</v>
      </c>
    </row>
    <row r="7" spans="1:14" ht="22.5" customHeight="1">
      <c r="A7" s="101" t="s">
        <v>115</v>
      </c>
      <c r="B7" s="56" t="s">
        <v>49</v>
      </c>
      <c r="C7" s="101" t="s">
        <v>114</v>
      </c>
      <c r="D7" s="169"/>
      <c r="E7" s="101" t="s">
        <v>53</v>
      </c>
      <c r="F7" s="107">
        <v>473488</v>
      </c>
      <c r="G7" s="107">
        <f>D7*F7</f>
        <v>0</v>
      </c>
      <c r="H7" s="107">
        <v>364249</v>
      </c>
      <c r="I7" s="107">
        <f>D7*H7</f>
        <v>0</v>
      </c>
      <c r="J7" s="107">
        <v>13214</v>
      </c>
      <c r="K7" s="107">
        <f>D7*J7</f>
        <v>0</v>
      </c>
      <c r="L7" s="107">
        <f>F7+H7+J7</f>
        <v>850951</v>
      </c>
      <c r="M7" s="107">
        <f>D7*L7</f>
        <v>0</v>
      </c>
      <c r="N7" s="110"/>
    </row>
    <row r="8" spans="1:14" ht="22.5" customHeight="1">
      <c r="A8" s="101" t="s">
        <v>94</v>
      </c>
      <c r="B8" s="56" t="s">
        <v>49</v>
      </c>
      <c r="C8" s="101" t="s">
        <v>113</v>
      </c>
      <c r="D8" s="169"/>
      <c r="E8" s="101" t="s">
        <v>53</v>
      </c>
      <c r="F8" s="107">
        <v>2096059</v>
      </c>
      <c r="G8" s="107">
        <f>D8*F8</f>
        <v>0</v>
      </c>
      <c r="H8" s="107">
        <v>651150</v>
      </c>
      <c r="I8" s="107">
        <f>D8*H8</f>
        <v>0</v>
      </c>
      <c r="J8" s="107">
        <v>61358</v>
      </c>
      <c r="K8" s="107">
        <f>D8*J8</f>
        <v>0</v>
      </c>
      <c r="L8" s="107">
        <f t="shared" ref="L8:L27" si="0">F8+H8+J8</f>
        <v>2808567</v>
      </c>
      <c r="M8" s="107">
        <f t="shared" ref="M8:M27" si="1">D8*L8</f>
        <v>0</v>
      </c>
      <c r="N8" s="110"/>
    </row>
    <row r="9" spans="1:14" ht="22.5" customHeight="1">
      <c r="A9" s="101" t="s">
        <v>95</v>
      </c>
      <c r="B9" s="56" t="s">
        <v>49</v>
      </c>
      <c r="C9" s="101" t="s">
        <v>55</v>
      </c>
      <c r="D9" s="169"/>
      <c r="E9" s="101" t="s">
        <v>53</v>
      </c>
      <c r="F9" s="119">
        <v>2525128</v>
      </c>
      <c r="G9" s="107">
        <f>D9*F9</f>
        <v>0</v>
      </c>
      <c r="H9" s="107">
        <v>732040</v>
      </c>
      <c r="I9" s="107">
        <f>D9*H9</f>
        <v>0</v>
      </c>
      <c r="J9" s="107">
        <v>65243</v>
      </c>
      <c r="K9" s="107">
        <f>D9*J9</f>
        <v>0</v>
      </c>
      <c r="L9" s="107">
        <f t="shared" si="0"/>
        <v>3322411</v>
      </c>
      <c r="M9" s="107">
        <f t="shared" si="1"/>
        <v>0</v>
      </c>
      <c r="N9" s="110" t="s">
        <v>10</v>
      </c>
    </row>
    <row r="10" spans="1:14" ht="22.5" customHeight="1">
      <c r="A10" s="101" t="s">
        <v>96</v>
      </c>
      <c r="B10" s="56" t="s">
        <v>49</v>
      </c>
      <c r="C10" s="101" t="s">
        <v>48</v>
      </c>
      <c r="D10" s="169"/>
      <c r="E10" s="101" t="s">
        <v>53</v>
      </c>
      <c r="F10" s="119">
        <v>3251378</v>
      </c>
      <c r="G10" s="107">
        <f>D10*F10</f>
        <v>0</v>
      </c>
      <c r="H10" s="107">
        <v>774354</v>
      </c>
      <c r="I10" s="107">
        <f t="shared" ref="I10:I27" si="2">D10*H10</f>
        <v>0</v>
      </c>
      <c r="J10" s="107">
        <v>77677</v>
      </c>
      <c r="K10" s="107">
        <f t="shared" ref="K10:K27" si="3">D10*J10</f>
        <v>0</v>
      </c>
      <c r="L10" s="107">
        <f t="shared" si="0"/>
        <v>4103409</v>
      </c>
      <c r="M10" s="107">
        <f t="shared" si="1"/>
        <v>0</v>
      </c>
      <c r="N10" s="110" t="s">
        <v>10</v>
      </c>
    </row>
    <row r="11" spans="1:14" ht="22.5" customHeight="1">
      <c r="A11" s="101" t="s">
        <v>97</v>
      </c>
      <c r="B11" s="56" t="s">
        <v>49</v>
      </c>
      <c r="C11" s="101" t="s">
        <v>50</v>
      </c>
      <c r="D11" s="169"/>
      <c r="E11" s="101" t="s">
        <v>53</v>
      </c>
      <c r="F11" s="119">
        <v>3767327</v>
      </c>
      <c r="G11" s="107">
        <f t="shared" ref="G11:G27" si="4">D11*F11</f>
        <v>0</v>
      </c>
      <c r="H11" s="107">
        <v>835058</v>
      </c>
      <c r="I11" s="107">
        <f t="shared" si="2"/>
        <v>0</v>
      </c>
      <c r="J11" s="107">
        <v>126235</v>
      </c>
      <c r="K11" s="107">
        <f t="shared" si="3"/>
        <v>0</v>
      </c>
      <c r="L11" s="107">
        <f t="shared" si="0"/>
        <v>4728620</v>
      </c>
      <c r="M11" s="107">
        <f t="shared" si="1"/>
        <v>0</v>
      </c>
      <c r="N11" s="110"/>
    </row>
    <row r="12" spans="1:14" ht="22.5" customHeight="1">
      <c r="A12" s="101" t="s">
        <v>98</v>
      </c>
      <c r="B12" s="56" t="s">
        <v>49</v>
      </c>
      <c r="C12" s="101" t="s">
        <v>51</v>
      </c>
      <c r="D12" s="169">
        <v>2</v>
      </c>
      <c r="E12" s="101" t="s">
        <v>53</v>
      </c>
      <c r="F12" s="119">
        <v>4688285</v>
      </c>
      <c r="G12" s="107">
        <f t="shared" si="4"/>
        <v>9376570</v>
      </c>
      <c r="H12" s="107">
        <v>938836</v>
      </c>
      <c r="I12" s="107">
        <f t="shared" si="2"/>
        <v>1877672</v>
      </c>
      <c r="J12" s="107">
        <v>133031</v>
      </c>
      <c r="K12" s="107">
        <f t="shared" si="3"/>
        <v>266062</v>
      </c>
      <c r="L12" s="107">
        <f t="shared" si="0"/>
        <v>5760152</v>
      </c>
      <c r="M12" s="107">
        <f t="shared" si="1"/>
        <v>11520304</v>
      </c>
      <c r="N12" s="110"/>
    </row>
    <row r="13" spans="1:14" ht="22.5" customHeight="1">
      <c r="A13" s="101" t="s">
        <v>99</v>
      </c>
      <c r="B13" s="56" t="s">
        <v>49</v>
      </c>
      <c r="C13" s="101" t="s">
        <v>52</v>
      </c>
      <c r="D13" s="169">
        <v>2</v>
      </c>
      <c r="E13" s="101" t="s">
        <v>53</v>
      </c>
      <c r="F13" s="119">
        <v>7175084</v>
      </c>
      <c r="G13" s="107">
        <f t="shared" si="4"/>
        <v>14350168</v>
      </c>
      <c r="H13" s="107">
        <v>1344035</v>
      </c>
      <c r="I13" s="107">
        <f t="shared" si="2"/>
        <v>2688070</v>
      </c>
      <c r="J13" s="107">
        <v>256626</v>
      </c>
      <c r="K13" s="107">
        <f t="shared" si="3"/>
        <v>513252</v>
      </c>
      <c r="L13" s="107">
        <f t="shared" si="0"/>
        <v>8775745</v>
      </c>
      <c r="M13" s="107">
        <f t="shared" si="1"/>
        <v>17551490</v>
      </c>
      <c r="N13" s="110" t="s">
        <v>10</v>
      </c>
    </row>
    <row r="14" spans="1:14" ht="22.5" customHeight="1">
      <c r="A14" s="101" t="s">
        <v>100</v>
      </c>
      <c r="B14" s="56" t="s">
        <v>49</v>
      </c>
      <c r="C14" s="101" t="s">
        <v>23</v>
      </c>
      <c r="D14" s="169"/>
      <c r="E14" s="101" t="s">
        <v>53</v>
      </c>
      <c r="F14" s="119">
        <v>9658162</v>
      </c>
      <c r="G14" s="107">
        <f t="shared" si="4"/>
        <v>0</v>
      </c>
      <c r="H14" s="107">
        <v>1485827</v>
      </c>
      <c r="I14" s="107">
        <f t="shared" si="2"/>
        <v>0</v>
      </c>
      <c r="J14" s="107">
        <v>308857</v>
      </c>
      <c r="K14" s="107">
        <f t="shared" si="3"/>
        <v>0</v>
      </c>
      <c r="L14" s="107">
        <f t="shared" si="0"/>
        <v>11452846</v>
      </c>
      <c r="M14" s="107">
        <f t="shared" si="1"/>
        <v>0</v>
      </c>
      <c r="N14" s="110" t="s">
        <v>10</v>
      </c>
    </row>
    <row r="15" spans="1:14" ht="22.5" customHeight="1">
      <c r="A15" s="101" t="s">
        <v>101</v>
      </c>
      <c r="B15" s="56" t="s">
        <v>49</v>
      </c>
      <c r="C15" s="101" t="s">
        <v>22</v>
      </c>
      <c r="D15" s="169"/>
      <c r="E15" s="101" t="s">
        <v>53</v>
      </c>
      <c r="F15" s="119">
        <v>12169198</v>
      </c>
      <c r="G15" s="107">
        <f t="shared" si="4"/>
        <v>0</v>
      </c>
      <c r="H15" s="107">
        <v>1649432</v>
      </c>
      <c r="I15" s="107">
        <f t="shared" si="2"/>
        <v>0</v>
      </c>
      <c r="J15" s="107">
        <v>341364</v>
      </c>
      <c r="K15" s="107">
        <f t="shared" si="3"/>
        <v>0</v>
      </c>
      <c r="L15" s="107">
        <f t="shared" si="0"/>
        <v>14159994</v>
      </c>
      <c r="M15" s="107">
        <f t="shared" si="1"/>
        <v>0</v>
      </c>
      <c r="N15" s="110" t="s">
        <v>10</v>
      </c>
    </row>
    <row r="16" spans="1:14" ht="22.5" customHeight="1">
      <c r="A16" s="101" t="s">
        <v>102</v>
      </c>
      <c r="B16" s="56" t="s">
        <v>49</v>
      </c>
      <c r="C16" s="101" t="s">
        <v>26</v>
      </c>
      <c r="D16" s="169"/>
      <c r="E16" s="101" t="s">
        <v>53</v>
      </c>
      <c r="F16" s="119">
        <v>17976469</v>
      </c>
      <c r="G16" s="107">
        <f>D16*F16</f>
        <v>0</v>
      </c>
      <c r="H16" s="107">
        <v>2270083</v>
      </c>
      <c r="I16" s="107">
        <f>D16*H16</f>
        <v>0</v>
      </c>
      <c r="J16" s="107">
        <v>594821</v>
      </c>
      <c r="K16" s="107">
        <f>D16*J16</f>
        <v>0</v>
      </c>
      <c r="L16" s="107">
        <f t="shared" si="0"/>
        <v>20841373</v>
      </c>
      <c r="M16" s="107">
        <f>D16*L16</f>
        <v>0</v>
      </c>
      <c r="N16" s="110"/>
    </row>
    <row r="17" spans="1:14" ht="22.5" customHeight="1">
      <c r="A17" s="101" t="s">
        <v>103</v>
      </c>
      <c r="B17" s="56" t="s">
        <v>49</v>
      </c>
      <c r="C17" s="101" t="s">
        <v>33</v>
      </c>
      <c r="D17" s="169"/>
      <c r="E17" s="101" t="s">
        <v>53</v>
      </c>
      <c r="F17" s="119">
        <v>18408234</v>
      </c>
      <c r="G17" s="107">
        <f t="shared" si="4"/>
        <v>0</v>
      </c>
      <c r="H17" s="107">
        <v>2676868</v>
      </c>
      <c r="I17" s="107">
        <f t="shared" si="2"/>
        <v>0</v>
      </c>
      <c r="J17" s="107">
        <v>664149</v>
      </c>
      <c r="K17" s="107">
        <f t="shared" si="3"/>
        <v>0</v>
      </c>
      <c r="L17" s="107">
        <f t="shared" si="0"/>
        <v>21749251</v>
      </c>
      <c r="M17" s="107">
        <f t="shared" si="1"/>
        <v>0</v>
      </c>
      <c r="N17" s="110" t="s">
        <v>10</v>
      </c>
    </row>
    <row r="18" spans="1:14" ht="22.5" customHeight="1">
      <c r="A18" s="101" t="s">
        <v>104</v>
      </c>
      <c r="B18" s="56" t="s">
        <v>49</v>
      </c>
      <c r="C18" s="101" t="s">
        <v>32</v>
      </c>
      <c r="D18" s="169"/>
      <c r="E18" s="101" t="s">
        <v>53</v>
      </c>
      <c r="F18" s="119">
        <v>21589104</v>
      </c>
      <c r="G18" s="107">
        <f t="shared" si="4"/>
        <v>0</v>
      </c>
      <c r="H18" s="107">
        <v>3082851</v>
      </c>
      <c r="I18" s="107">
        <f t="shared" si="2"/>
        <v>0</v>
      </c>
      <c r="J18" s="107">
        <v>906276</v>
      </c>
      <c r="K18" s="107">
        <f t="shared" si="3"/>
        <v>0</v>
      </c>
      <c r="L18" s="107">
        <f t="shared" si="0"/>
        <v>25578231</v>
      </c>
      <c r="M18" s="107">
        <f t="shared" si="1"/>
        <v>0</v>
      </c>
      <c r="N18" s="110"/>
    </row>
    <row r="19" spans="1:14" ht="22.5" customHeight="1">
      <c r="A19" s="101" t="s">
        <v>105</v>
      </c>
      <c r="B19" s="56" t="s">
        <v>49</v>
      </c>
      <c r="C19" s="101" t="s">
        <v>31</v>
      </c>
      <c r="D19" s="169"/>
      <c r="E19" s="101" t="s">
        <v>53</v>
      </c>
      <c r="F19" s="119">
        <v>24638400</v>
      </c>
      <c r="G19" s="107">
        <f t="shared" si="4"/>
        <v>0</v>
      </c>
      <c r="H19" s="107">
        <v>3861028</v>
      </c>
      <c r="I19" s="107">
        <f t="shared" si="2"/>
        <v>0</v>
      </c>
      <c r="J19" s="107">
        <v>1047466</v>
      </c>
      <c r="K19" s="107">
        <f t="shared" si="3"/>
        <v>0</v>
      </c>
      <c r="L19" s="107">
        <f t="shared" si="0"/>
        <v>29546894</v>
      </c>
      <c r="M19" s="107">
        <f t="shared" si="1"/>
        <v>0</v>
      </c>
      <c r="N19" s="110"/>
    </row>
    <row r="20" spans="1:14" ht="22.5" customHeight="1">
      <c r="A20" s="101" t="s">
        <v>106</v>
      </c>
      <c r="B20" s="56" t="s">
        <v>49</v>
      </c>
      <c r="C20" s="101" t="s">
        <v>30</v>
      </c>
      <c r="D20" s="169"/>
      <c r="E20" s="101" t="s">
        <v>53</v>
      </c>
      <c r="F20" s="119">
        <v>25877998</v>
      </c>
      <c r="G20" s="107">
        <f t="shared" si="4"/>
        <v>0</v>
      </c>
      <c r="H20" s="107">
        <v>4274693</v>
      </c>
      <c r="I20" s="107">
        <f t="shared" si="2"/>
        <v>0</v>
      </c>
      <c r="J20" s="107">
        <v>1733663</v>
      </c>
      <c r="K20" s="107">
        <f t="shared" si="3"/>
        <v>0</v>
      </c>
      <c r="L20" s="107">
        <f t="shared" si="0"/>
        <v>31886354</v>
      </c>
      <c r="M20" s="107">
        <f t="shared" si="1"/>
        <v>0</v>
      </c>
      <c r="N20" s="110"/>
    </row>
    <row r="21" spans="1:14" ht="22.5" customHeight="1">
      <c r="A21" s="101" t="s">
        <v>107</v>
      </c>
      <c r="B21" s="56" t="s">
        <v>49</v>
      </c>
      <c r="C21" s="101" t="s">
        <v>24</v>
      </c>
      <c r="D21" s="169"/>
      <c r="E21" s="101" t="s">
        <v>53</v>
      </c>
      <c r="F21" s="119">
        <v>32881624</v>
      </c>
      <c r="G21" s="107">
        <f t="shared" si="4"/>
        <v>0</v>
      </c>
      <c r="H21" s="107">
        <v>5130868</v>
      </c>
      <c r="I21" s="107">
        <f t="shared" si="2"/>
        <v>0</v>
      </c>
      <c r="J21" s="107">
        <v>1981912</v>
      </c>
      <c r="K21" s="107">
        <f t="shared" si="3"/>
        <v>0</v>
      </c>
      <c r="L21" s="107">
        <f t="shared" si="0"/>
        <v>39994404</v>
      </c>
      <c r="M21" s="107">
        <f t="shared" si="1"/>
        <v>0</v>
      </c>
      <c r="N21" s="110"/>
    </row>
    <row r="22" spans="1:14" ht="22.5" customHeight="1">
      <c r="A22" s="101" t="s">
        <v>108</v>
      </c>
      <c r="B22" s="56" t="s">
        <v>49</v>
      </c>
      <c r="C22" s="101" t="s">
        <v>29</v>
      </c>
      <c r="D22" s="169"/>
      <c r="E22" s="101" t="s">
        <v>53</v>
      </c>
      <c r="F22" s="119">
        <v>34983928</v>
      </c>
      <c r="G22" s="107">
        <f t="shared" si="4"/>
        <v>0</v>
      </c>
      <c r="H22" s="107">
        <v>5548044</v>
      </c>
      <c r="I22" s="107">
        <f t="shared" si="2"/>
        <v>0</v>
      </c>
      <c r="J22" s="107">
        <v>2455665</v>
      </c>
      <c r="K22" s="107">
        <f t="shared" si="3"/>
        <v>0</v>
      </c>
      <c r="L22" s="107">
        <f t="shared" si="0"/>
        <v>42987637</v>
      </c>
      <c r="M22" s="107">
        <f t="shared" si="1"/>
        <v>0</v>
      </c>
      <c r="N22" s="110"/>
    </row>
    <row r="23" spans="1:14" ht="22.5" customHeight="1">
      <c r="A23" s="101" t="s">
        <v>109</v>
      </c>
      <c r="B23" s="56" t="s">
        <v>49</v>
      </c>
      <c r="C23" s="101" t="s">
        <v>119</v>
      </c>
      <c r="D23" s="169"/>
      <c r="E23" s="101" t="s">
        <v>53</v>
      </c>
      <c r="F23" s="119">
        <v>38815548</v>
      </c>
      <c r="G23" s="107">
        <f t="shared" si="4"/>
        <v>0</v>
      </c>
      <c r="H23" s="107">
        <v>5926788</v>
      </c>
      <c r="I23" s="107">
        <f t="shared" si="2"/>
        <v>0</v>
      </c>
      <c r="J23" s="107">
        <v>2662404</v>
      </c>
      <c r="K23" s="107">
        <f t="shared" si="3"/>
        <v>0</v>
      </c>
      <c r="L23" s="107">
        <f t="shared" si="0"/>
        <v>47404740</v>
      </c>
      <c r="M23" s="107">
        <f t="shared" si="1"/>
        <v>0</v>
      </c>
      <c r="N23" s="110"/>
    </row>
    <row r="24" spans="1:14" ht="22.5" customHeight="1">
      <c r="A24" s="101" t="s">
        <v>110</v>
      </c>
      <c r="B24" s="56" t="s">
        <v>49</v>
      </c>
      <c r="C24" s="101" t="s">
        <v>28</v>
      </c>
      <c r="D24" s="169"/>
      <c r="E24" s="101" t="s">
        <v>53</v>
      </c>
      <c r="F24" s="119">
        <v>44317123</v>
      </c>
      <c r="G24" s="107">
        <f t="shared" si="4"/>
        <v>0</v>
      </c>
      <c r="H24" s="107">
        <v>6423413</v>
      </c>
      <c r="I24" s="107">
        <f t="shared" si="2"/>
        <v>0</v>
      </c>
      <c r="J24" s="107">
        <v>4659138</v>
      </c>
      <c r="K24" s="107">
        <f t="shared" si="3"/>
        <v>0</v>
      </c>
      <c r="L24" s="107">
        <f t="shared" si="0"/>
        <v>55399674</v>
      </c>
      <c r="M24" s="107">
        <f t="shared" si="1"/>
        <v>0</v>
      </c>
      <c r="N24" s="110"/>
    </row>
    <row r="25" spans="1:14" ht="22.5" customHeight="1">
      <c r="A25" s="101" t="s">
        <v>111</v>
      </c>
      <c r="B25" s="56" t="s">
        <v>49</v>
      </c>
      <c r="C25" s="101" t="s">
        <v>27</v>
      </c>
      <c r="D25" s="169"/>
      <c r="E25" s="101" t="s">
        <v>53</v>
      </c>
      <c r="F25" s="119">
        <v>47002938</v>
      </c>
      <c r="G25" s="107">
        <f>D25*F25</f>
        <v>0</v>
      </c>
      <c r="H25" s="107">
        <v>6754833</v>
      </c>
      <c r="I25" s="107">
        <f>D25*H25</f>
        <v>0</v>
      </c>
      <c r="J25" s="107">
        <v>4931649</v>
      </c>
      <c r="K25" s="107">
        <f>D25*J25</f>
        <v>0</v>
      </c>
      <c r="L25" s="107">
        <f t="shared" si="0"/>
        <v>58689420</v>
      </c>
      <c r="M25" s="107">
        <f>D25*L25</f>
        <v>0</v>
      </c>
      <c r="N25" s="110"/>
    </row>
    <row r="26" spans="1:14" ht="22.5" customHeight="1">
      <c r="A26" s="101" t="s">
        <v>112</v>
      </c>
      <c r="B26" s="56" t="s">
        <v>49</v>
      </c>
      <c r="C26" s="101" t="s">
        <v>25</v>
      </c>
      <c r="D26" s="169"/>
      <c r="E26" s="101" t="s">
        <v>53</v>
      </c>
      <c r="F26" s="119">
        <v>56158837</v>
      </c>
      <c r="G26" s="107">
        <f t="shared" si="4"/>
        <v>0</v>
      </c>
      <c r="H26" s="107">
        <v>7151107</v>
      </c>
      <c r="I26" s="107">
        <f t="shared" si="2"/>
        <v>0</v>
      </c>
      <c r="J26" s="107">
        <v>5363774</v>
      </c>
      <c r="K26" s="107">
        <f t="shared" si="3"/>
        <v>0</v>
      </c>
      <c r="L26" s="107">
        <f t="shared" si="0"/>
        <v>68673718</v>
      </c>
      <c r="M26" s="107">
        <f t="shared" si="1"/>
        <v>0</v>
      </c>
      <c r="N26" s="110"/>
    </row>
    <row r="27" spans="1:14" ht="22.5" customHeight="1">
      <c r="A27" s="101" t="s">
        <v>128</v>
      </c>
      <c r="B27" s="56" t="s">
        <v>49</v>
      </c>
      <c r="C27" s="101" t="s">
        <v>129</v>
      </c>
      <c r="D27" s="169"/>
      <c r="E27" s="101" t="s">
        <v>53</v>
      </c>
      <c r="F27" s="119">
        <v>67252461</v>
      </c>
      <c r="G27" s="107">
        <f t="shared" si="4"/>
        <v>0</v>
      </c>
      <c r="H27" s="119">
        <v>7451208</v>
      </c>
      <c r="I27" s="107">
        <f t="shared" si="2"/>
        <v>0</v>
      </c>
      <c r="J27" s="119">
        <v>5562272</v>
      </c>
      <c r="K27" s="107">
        <f t="shared" si="3"/>
        <v>0</v>
      </c>
      <c r="L27" s="107">
        <f t="shared" si="0"/>
        <v>80265941</v>
      </c>
      <c r="M27" s="107">
        <f t="shared" si="1"/>
        <v>0</v>
      </c>
      <c r="N27" s="110"/>
    </row>
    <row r="28" spans="1:14" ht="22.5" customHeight="1">
      <c r="A28" s="101"/>
      <c r="B28" s="56" t="s">
        <v>116</v>
      </c>
      <c r="C28" s="101"/>
      <c r="D28" s="169">
        <f>SUM(D7:D27)</f>
        <v>4</v>
      </c>
      <c r="E28" s="101"/>
      <c r="F28" s="119"/>
      <c r="G28" s="107">
        <f>SUM(G7:G27)</f>
        <v>23726738</v>
      </c>
      <c r="H28" s="107"/>
      <c r="I28" s="107">
        <f>SUM(I7:I27)</f>
        <v>4565742</v>
      </c>
      <c r="J28" s="107"/>
      <c r="K28" s="107">
        <f>SUM(K7:K27)</f>
        <v>779314</v>
      </c>
      <c r="L28" s="107"/>
      <c r="M28" s="107">
        <f>SUM(M7:M27)</f>
        <v>29071794</v>
      </c>
      <c r="N28" s="110"/>
    </row>
    <row r="29" spans="1:14" ht="22.5" customHeight="1">
      <c r="A29" s="102" t="s">
        <v>117</v>
      </c>
      <c r="B29" s="102" t="s">
        <v>118</v>
      </c>
      <c r="C29" s="103" t="s">
        <v>10</v>
      </c>
      <c r="D29" s="104">
        <v>0</v>
      </c>
      <c r="E29" s="105" t="s">
        <v>10</v>
      </c>
      <c r="F29" s="111"/>
      <c r="G29" s="111" t="s">
        <v>10</v>
      </c>
      <c r="H29" s="111"/>
      <c r="I29" s="111" t="s">
        <v>10</v>
      </c>
      <c r="J29" s="111" t="s">
        <v>10</v>
      </c>
      <c r="K29" s="111" t="s">
        <v>10</v>
      </c>
      <c r="L29" s="111" t="s">
        <v>10</v>
      </c>
      <c r="M29" s="111" t="s">
        <v>10</v>
      </c>
      <c r="N29" s="112" t="s">
        <v>10</v>
      </c>
    </row>
    <row r="30" spans="1:14" ht="22.5" customHeight="1">
      <c r="A30" s="101" t="s">
        <v>394</v>
      </c>
      <c r="B30" s="56" t="s">
        <v>49</v>
      </c>
      <c r="C30" s="101" t="s">
        <v>114</v>
      </c>
      <c r="D30" s="169">
        <v>0</v>
      </c>
      <c r="E30" s="101" t="s">
        <v>53</v>
      </c>
      <c r="F30" s="119">
        <v>473488</v>
      </c>
      <c r="G30" s="107">
        <f t="shared" ref="G30:G43" si="5">D30*F30</f>
        <v>0</v>
      </c>
      <c r="H30" s="107">
        <v>632217</v>
      </c>
      <c r="I30" s="107">
        <f t="shared" ref="I30:I43" si="6">D30*H30</f>
        <v>0</v>
      </c>
      <c r="J30" s="107">
        <v>13220</v>
      </c>
      <c r="K30" s="107">
        <f t="shared" ref="K30:K43" si="7">D30*J30</f>
        <v>0</v>
      </c>
      <c r="L30" s="107">
        <f t="shared" ref="L30:L43" si="8">F30+H30+J30</f>
        <v>1118925</v>
      </c>
      <c r="M30" s="107">
        <f t="shared" ref="M30:M43" si="9">D30*L30</f>
        <v>0</v>
      </c>
      <c r="N30" s="110"/>
    </row>
    <row r="31" spans="1:14" ht="22.5" customHeight="1">
      <c r="A31" s="101" t="s">
        <v>362</v>
      </c>
      <c r="B31" s="56" t="s">
        <v>49</v>
      </c>
      <c r="C31" s="101" t="s">
        <v>113</v>
      </c>
      <c r="D31" s="169"/>
      <c r="E31" s="101" t="s">
        <v>53</v>
      </c>
      <c r="F31" s="119">
        <v>2096059</v>
      </c>
      <c r="G31" s="107">
        <f t="shared" si="5"/>
        <v>0</v>
      </c>
      <c r="H31" s="107">
        <v>1176471</v>
      </c>
      <c r="I31" s="107">
        <f t="shared" si="6"/>
        <v>0</v>
      </c>
      <c r="J31" s="107">
        <v>61358</v>
      </c>
      <c r="K31" s="107">
        <f t="shared" si="7"/>
        <v>0</v>
      </c>
      <c r="L31" s="107">
        <f t="shared" si="8"/>
        <v>3333888</v>
      </c>
      <c r="M31" s="107">
        <f t="shared" si="9"/>
        <v>0</v>
      </c>
      <c r="N31" s="110"/>
    </row>
    <row r="32" spans="1:14" ht="22.5" customHeight="1">
      <c r="A32" s="101" t="s">
        <v>265</v>
      </c>
      <c r="B32" s="56" t="s">
        <v>49</v>
      </c>
      <c r="C32" s="101" t="s">
        <v>51</v>
      </c>
      <c r="D32" s="169"/>
      <c r="E32" s="101" t="s">
        <v>53</v>
      </c>
      <c r="F32" s="119">
        <v>4688285</v>
      </c>
      <c r="G32" s="107">
        <f t="shared" si="5"/>
        <v>0</v>
      </c>
      <c r="H32" s="107">
        <v>1698490</v>
      </c>
      <c r="I32" s="107">
        <f t="shared" si="6"/>
        <v>0</v>
      </c>
      <c r="J32" s="107">
        <v>133030</v>
      </c>
      <c r="K32" s="107">
        <f t="shared" si="7"/>
        <v>0</v>
      </c>
      <c r="L32" s="107">
        <f t="shared" si="8"/>
        <v>6519805</v>
      </c>
      <c r="M32" s="107">
        <f t="shared" si="9"/>
        <v>0</v>
      </c>
      <c r="N32" s="110"/>
    </row>
    <row r="33" spans="1:20" ht="22.5" customHeight="1">
      <c r="A33" s="101" t="s">
        <v>266</v>
      </c>
      <c r="B33" s="56" t="s">
        <v>49</v>
      </c>
      <c r="C33" s="101" t="s">
        <v>52</v>
      </c>
      <c r="D33" s="169"/>
      <c r="E33" s="101" t="s">
        <v>53</v>
      </c>
      <c r="F33" s="119">
        <v>7175084</v>
      </c>
      <c r="G33" s="107">
        <f t="shared" si="5"/>
        <v>0</v>
      </c>
      <c r="H33" s="107">
        <v>2392787</v>
      </c>
      <c r="I33" s="107">
        <f t="shared" si="6"/>
        <v>0</v>
      </c>
      <c r="J33" s="107">
        <v>256626</v>
      </c>
      <c r="K33" s="107">
        <f t="shared" si="7"/>
        <v>0</v>
      </c>
      <c r="L33" s="107">
        <f t="shared" si="8"/>
        <v>9824497</v>
      </c>
      <c r="M33" s="107">
        <f t="shared" si="9"/>
        <v>0</v>
      </c>
      <c r="N33" s="110"/>
    </row>
    <row r="34" spans="1:20" ht="22.5" customHeight="1">
      <c r="A34" s="101" t="s">
        <v>363</v>
      </c>
      <c r="B34" s="56" t="s">
        <v>49</v>
      </c>
      <c r="C34" s="101" t="s">
        <v>141</v>
      </c>
      <c r="D34" s="169"/>
      <c r="E34" s="101" t="s">
        <v>53</v>
      </c>
      <c r="F34" s="119">
        <v>9658163</v>
      </c>
      <c r="G34" s="107">
        <f t="shared" si="5"/>
        <v>0</v>
      </c>
      <c r="H34" s="107">
        <v>2647683</v>
      </c>
      <c r="I34" s="107">
        <f t="shared" si="6"/>
        <v>0</v>
      </c>
      <c r="J34" s="107">
        <v>308857</v>
      </c>
      <c r="K34" s="107">
        <f t="shared" si="7"/>
        <v>0</v>
      </c>
      <c r="L34" s="107">
        <f t="shared" si="8"/>
        <v>12614703</v>
      </c>
      <c r="M34" s="107">
        <f t="shared" si="9"/>
        <v>0</v>
      </c>
      <c r="N34" s="110"/>
    </row>
    <row r="35" spans="1:20" ht="22.5" customHeight="1">
      <c r="A35" s="101" t="s">
        <v>364</v>
      </c>
      <c r="B35" s="56" t="s">
        <v>49</v>
      </c>
      <c r="C35" s="101" t="s">
        <v>22</v>
      </c>
      <c r="D35" s="169"/>
      <c r="E35" s="101" t="s">
        <v>53</v>
      </c>
      <c r="F35" s="119">
        <v>12169198</v>
      </c>
      <c r="G35" s="107">
        <f t="shared" si="5"/>
        <v>0</v>
      </c>
      <c r="H35" s="107">
        <v>2940693</v>
      </c>
      <c r="I35" s="107">
        <f t="shared" si="6"/>
        <v>0</v>
      </c>
      <c r="J35" s="107">
        <v>341364</v>
      </c>
      <c r="K35" s="107">
        <f t="shared" si="7"/>
        <v>0</v>
      </c>
      <c r="L35" s="107">
        <f t="shared" si="8"/>
        <v>15451255</v>
      </c>
      <c r="M35" s="107">
        <f t="shared" si="9"/>
        <v>0</v>
      </c>
      <c r="N35" s="110" t="s">
        <v>10</v>
      </c>
    </row>
    <row r="36" spans="1:20" ht="22.5" customHeight="1">
      <c r="A36" s="101" t="s">
        <v>365</v>
      </c>
      <c r="B36" s="56" t="s">
        <v>49</v>
      </c>
      <c r="C36" s="101" t="s">
        <v>142</v>
      </c>
      <c r="D36" s="169">
        <v>2</v>
      </c>
      <c r="E36" s="101" t="s">
        <v>53</v>
      </c>
      <c r="F36" s="119">
        <v>17976470</v>
      </c>
      <c r="G36" s="107">
        <f>D36*F36</f>
        <v>35952940</v>
      </c>
      <c r="H36" s="107">
        <v>4065640</v>
      </c>
      <c r="I36" s="107">
        <f>D36*H36</f>
        <v>8131280</v>
      </c>
      <c r="J36" s="107">
        <v>594821</v>
      </c>
      <c r="K36" s="107">
        <f>D36*J36</f>
        <v>1189642</v>
      </c>
      <c r="L36" s="107">
        <f t="shared" si="8"/>
        <v>22636931</v>
      </c>
      <c r="M36" s="107">
        <f>D36*L36</f>
        <v>45273862</v>
      </c>
      <c r="N36" s="110" t="s">
        <v>10</v>
      </c>
    </row>
    <row r="37" spans="1:20" ht="22.5" customHeight="1">
      <c r="A37" s="101" t="s">
        <v>366</v>
      </c>
      <c r="B37" s="56" t="s">
        <v>49</v>
      </c>
      <c r="C37" s="101" t="s">
        <v>33</v>
      </c>
      <c r="D37" s="169"/>
      <c r="E37" s="101" t="s">
        <v>53</v>
      </c>
      <c r="F37" s="119">
        <v>18408234</v>
      </c>
      <c r="G37" s="107">
        <f t="shared" si="5"/>
        <v>0</v>
      </c>
      <c r="H37" s="119">
        <v>4803583</v>
      </c>
      <c r="I37" s="107">
        <f t="shared" si="6"/>
        <v>0</v>
      </c>
      <c r="J37" s="119">
        <v>664149</v>
      </c>
      <c r="K37" s="107">
        <f t="shared" si="7"/>
        <v>0</v>
      </c>
      <c r="L37" s="107">
        <f t="shared" si="8"/>
        <v>23875966</v>
      </c>
      <c r="M37" s="107">
        <f t="shared" si="9"/>
        <v>0</v>
      </c>
      <c r="N37" s="110" t="s">
        <v>10</v>
      </c>
    </row>
    <row r="38" spans="1:20" ht="22.5" customHeight="1">
      <c r="A38" s="101" t="s">
        <v>367</v>
      </c>
      <c r="B38" s="56" t="s">
        <v>49</v>
      </c>
      <c r="C38" s="101" t="s">
        <v>31</v>
      </c>
      <c r="D38" s="118"/>
      <c r="E38" s="101" t="s">
        <v>53</v>
      </c>
      <c r="F38" s="119">
        <v>24638400</v>
      </c>
      <c r="G38" s="107">
        <f t="shared" si="5"/>
        <v>0</v>
      </c>
      <c r="H38" s="119">
        <v>6942629</v>
      </c>
      <c r="I38" s="107">
        <f t="shared" si="6"/>
        <v>0</v>
      </c>
      <c r="J38" s="119">
        <v>1047465</v>
      </c>
      <c r="K38" s="107">
        <f t="shared" si="7"/>
        <v>0</v>
      </c>
      <c r="L38" s="107">
        <f t="shared" si="8"/>
        <v>32628494</v>
      </c>
      <c r="M38" s="107">
        <f t="shared" si="9"/>
        <v>0</v>
      </c>
      <c r="N38" s="110"/>
    </row>
    <row r="39" spans="1:20" ht="22.5" customHeight="1">
      <c r="A39" s="101" t="s">
        <v>271</v>
      </c>
      <c r="B39" s="56" t="s">
        <v>49</v>
      </c>
      <c r="C39" s="101" t="s">
        <v>143</v>
      </c>
      <c r="D39" s="118"/>
      <c r="E39" s="101" t="s">
        <v>53</v>
      </c>
      <c r="F39" s="119">
        <v>25877998</v>
      </c>
      <c r="G39" s="107">
        <f t="shared" si="5"/>
        <v>0</v>
      </c>
      <c r="H39" s="119">
        <v>7691243</v>
      </c>
      <c r="I39" s="107">
        <f t="shared" si="6"/>
        <v>0</v>
      </c>
      <c r="J39" s="119">
        <v>1733663</v>
      </c>
      <c r="K39" s="107">
        <f t="shared" si="7"/>
        <v>0</v>
      </c>
      <c r="L39" s="107">
        <f t="shared" si="8"/>
        <v>35302904</v>
      </c>
      <c r="M39" s="107">
        <f t="shared" si="9"/>
        <v>0</v>
      </c>
      <c r="N39" s="110"/>
    </row>
    <row r="40" spans="1:20" ht="22.5" customHeight="1">
      <c r="A40" s="101" t="s">
        <v>275</v>
      </c>
      <c r="B40" s="56" t="s">
        <v>49</v>
      </c>
      <c r="C40" s="101" t="s">
        <v>24</v>
      </c>
      <c r="D40" s="169"/>
      <c r="E40" s="101" t="s">
        <v>53</v>
      </c>
      <c r="F40" s="119">
        <v>32881624</v>
      </c>
      <c r="G40" s="107">
        <f t="shared" si="5"/>
        <v>0</v>
      </c>
      <c r="H40" s="119">
        <v>9231123</v>
      </c>
      <c r="I40" s="107">
        <f t="shared" si="6"/>
        <v>0</v>
      </c>
      <c r="J40" s="119">
        <v>1981912</v>
      </c>
      <c r="K40" s="107">
        <f t="shared" si="7"/>
        <v>0</v>
      </c>
      <c r="L40" s="107">
        <f t="shared" si="8"/>
        <v>44094659</v>
      </c>
      <c r="M40" s="107">
        <f t="shared" si="9"/>
        <v>0</v>
      </c>
      <c r="N40" s="110"/>
    </row>
    <row r="41" spans="1:20" ht="22.5" customHeight="1">
      <c r="A41" s="101" t="s">
        <v>278</v>
      </c>
      <c r="B41" s="56" t="s">
        <v>49</v>
      </c>
      <c r="C41" s="101" t="s">
        <v>28</v>
      </c>
      <c r="D41" s="169"/>
      <c r="E41" s="101" t="s">
        <v>53</v>
      </c>
      <c r="F41" s="119">
        <v>44317123</v>
      </c>
      <c r="G41" s="107">
        <f t="shared" si="5"/>
        <v>0</v>
      </c>
      <c r="H41" s="119">
        <v>11562746</v>
      </c>
      <c r="I41" s="107">
        <f t="shared" si="6"/>
        <v>0</v>
      </c>
      <c r="J41" s="119">
        <v>4659138</v>
      </c>
      <c r="K41" s="107">
        <f t="shared" si="7"/>
        <v>0</v>
      </c>
      <c r="L41" s="107">
        <f t="shared" si="8"/>
        <v>60539007</v>
      </c>
      <c r="M41" s="107">
        <f t="shared" si="9"/>
        <v>0</v>
      </c>
      <c r="N41" s="110"/>
    </row>
    <row r="42" spans="1:20" ht="22.5" customHeight="1">
      <c r="A42" s="101" t="s">
        <v>368</v>
      </c>
      <c r="B42" s="56" t="s">
        <v>49</v>
      </c>
      <c r="C42" s="101" t="s">
        <v>27</v>
      </c>
      <c r="D42" s="118"/>
      <c r="E42" s="101" t="s">
        <v>53</v>
      </c>
      <c r="F42" s="119">
        <v>47002938</v>
      </c>
      <c r="G42" s="107">
        <f t="shared" si="5"/>
        <v>0</v>
      </c>
      <c r="H42" s="119">
        <v>12161036</v>
      </c>
      <c r="I42" s="107">
        <f t="shared" si="6"/>
        <v>0</v>
      </c>
      <c r="J42" s="119">
        <v>4931649</v>
      </c>
      <c r="K42" s="107">
        <f t="shared" si="7"/>
        <v>0</v>
      </c>
      <c r="L42" s="107">
        <f t="shared" si="8"/>
        <v>64095623</v>
      </c>
      <c r="M42" s="107">
        <f t="shared" si="9"/>
        <v>0</v>
      </c>
      <c r="N42" s="110"/>
    </row>
    <row r="43" spans="1:20" ht="22.5" customHeight="1">
      <c r="A43" s="101" t="s">
        <v>369</v>
      </c>
      <c r="B43" s="56" t="s">
        <v>49</v>
      </c>
      <c r="C43" s="101" t="s">
        <v>25</v>
      </c>
      <c r="D43" s="118">
        <v>0</v>
      </c>
      <c r="E43" s="101" t="s">
        <v>53</v>
      </c>
      <c r="F43" s="119">
        <v>56158837</v>
      </c>
      <c r="G43" s="107">
        <f t="shared" si="5"/>
        <v>0</v>
      </c>
      <c r="H43" s="119">
        <v>12875632</v>
      </c>
      <c r="I43" s="107">
        <f t="shared" si="6"/>
        <v>0</v>
      </c>
      <c r="J43" s="119">
        <v>5363775</v>
      </c>
      <c r="K43" s="107">
        <f t="shared" si="7"/>
        <v>0</v>
      </c>
      <c r="L43" s="107">
        <f t="shared" si="8"/>
        <v>74398244</v>
      </c>
      <c r="M43" s="107">
        <f t="shared" si="9"/>
        <v>0</v>
      </c>
      <c r="N43" s="110"/>
    </row>
    <row r="44" spans="1:20" ht="22.5" customHeight="1">
      <c r="A44" s="101"/>
      <c r="B44" s="56" t="s">
        <v>116</v>
      </c>
      <c r="C44" s="101"/>
      <c r="D44" s="169">
        <f>SUM(D30:D43)</f>
        <v>2</v>
      </c>
      <c r="E44" s="101"/>
      <c r="F44" s="119"/>
      <c r="G44" s="107">
        <f>SUM(G30:G43)</f>
        <v>35952940</v>
      </c>
      <c r="H44" s="107"/>
      <c r="I44" s="107">
        <f>SUM(I30:I43)</f>
        <v>8131280</v>
      </c>
      <c r="J44" s="107"/>
      <c r="K44" s="107">
        <f>SUM(K30:K43)</f>
        <v>1189642</v>
      </c>
      <c r="L44" s="107"/>
      <c r="M44" s="107">
        <f>SUM(M30:M43)</f>
        <v>45273862</v>
      </c>
      <c r="N44" s="110"/>
    </row>
    <row r="45" spans="1:20" ht="22.5" customHeight="1">
      <c r="A45" s="102" t="s">
        <v>131</v>
      </c>
      <c r="B45" s="102" t="s">
        <v>133</v>
      </c>
      <c r="C45" s="103" t="s">
        <v>10</v>
      </c>
      <c r="D45" s="104">
        <v>0</v>
      </c>
      <c r="E45" s="105" t="s">
        <v>10</v>
      </c>
      <c r="F45" s="111"/>
      <c r="G45" s="111"/>
      <c r="H45" s="111"/>
      <c r="I45" s="111" t="s">
        <v>10</v>
      </c>
      <c r="J45" s="111" t="s">
        <v>10</v>
      </c>
      <c r="K45" s="111" t="s">
        <v>10</v>
      </c>
      <c r="L45" s="111" t="s">
        <v>10</v>
      </c>
      <c r="M45" s="111" t="s">
        <v>10</v>
      </c>
      <c r="N45" s="112" t="s">
        <v>10</v>
      </c>
    </row>
    <row r="46" spans="1:20" ht="22.5" customHeight="1">
      <c r="A46" s="101" t="s">
        <v>395</v>
      </c>
      <c r="B46" s="56" t="s">
        <v>132</v>
      </c>
      <c r="C46" s="101" t="s">
        <v>138</v>
      </c>
      <c r="D46" s="118">
        <v>0</v>
      </c>
      <c r="E46" s="101" t="s">
        <v>130</v>
      </c>
      <c r="F46" s="119">
        <v>26432884</v>
      </c>
      <c r="G46" s="107">
        <f t="shared" ref="G46:G50" si="10">D46*F46</f>
        <v>0</v>
      </c>
      <c r="H46" s="119">
        <v>1649432</v>
      </c>
      <c r="I46" s="107">
        <f t="shared" ref="I46:I50" si="11">D46*H46</f>
        <v>0</v>
      </c>
      <c r="J46" s="119">
        <v>419928</v>
      </c>
      <c r="K46" s="107">
        <f t="shared" ref="K46:K50" si="12">D46*J46</f>
        <v>0</v>
      </c>
      <c r="L46" s="107">
        <f t="shared" ref="L46:L50" si="13">F46+H46+J46</f>
        <v>28502244</v>
      </c>
      <c r="M46" s="107">
        <f t="shared" ref="M46:M50" si="14">D46*L46</f>
        <v>0</v>
      </c>
      <c r="N46" s="110"/>
    </row>
    <row r="47" spans="1:20" ht="22.5" customHeight="1">
      <c r="A47" s="101" t="s">
        <v>285</v>
      </c>
      <c r="B47" s="56" t="s">
        <v>132</v>
      </c>
      <c r="C47" s="101" t="s">
        <v>134</v>
      </c>
      <c r="D47" s="118">
        <v>0</v>
      </c>
      <c r="E47" s="101" t="s">
        <v>130</v>
      </c>
      <c r="F47" s="119">
        <v>58301697</v>
      </c>
      <c r="G47" s="107">
        <f t="shared" si="10"/>
        <v>0</v>
      </c>
      <c r="H47" s="119">
        <v>5130868</v>
      </c>
      <c r="I47" s="107">
        <f t="shared" si="11"/>
        <v>0</v>
      </c>
      <c r="J47" s="119">
        <v>2543989</v>
      </c>
      <c r="K47" s="107">
        <f t="shared" si="12"/>
        <v>0</v>
      </c>
      <c r="L47" s="107">
        <f t="shared" si="13"/>
        <v>65976554</v>
      </c>
      <c r="M47" s="107">
        <f t="shared" si="14"/>
        <v>0</v>
      </c>
      <c r="N47" s="110"/>
      <c r="P47" s="171"/>
      <c r="T47" s="171"/>
    </row>
    <row r="48" spans="1:20" ht="22.5" customHeight="1">
      <c r="A48" s="101" t="s">
        <v>371</v>
      </c>
      <c r="B48" s="56" t="s">
        <v>132</v>
      </c>
      <c r="C48" s="101" t="s">
        <v>119</v>
      </c>
      <c r="D48" s="118">
        <v>0</v>
      </c>
      <c r="E48" s="101" t="s">
        <v>130</v>
      </c>
      <c r="F48" s="119">
        <v>67170931</v>
      </c>
      <c r="G48" s="107">
        <f t="shared" si="10"/>
        <v>0</v>
      </c>
      <c r="H48" s="119">
        <v>5926788</v>
      </c>
      <c r="I48" s="107">
        <f t="shared" si="11"/>
        <v>0</v>
      </c>
      <c r="J48" s="119">
        <v>5128336</v>
      </c>
      <c r="K48" s="107">
        <f t="shared" si="12"/>
        <v>0</v>
      </c>
      <c r="L48" s="107">
        <f t="shared" si="13"/>
        <v>78226055</v>
      </c>
      <c r="M48" s="107">
        <f t="shared" si="14"/>
        <v>0</v>
      </c>
      <c r="N48" s="110"/>
      <c r="P48" s="171"/>
      <c r="T48" s="171"/>
    </row>
    <row r="49" spans="1:20" ht="22.5" customHeight="1">
      <c r="A49" s="101" t="s">
        <v>372</v>
      </c>
      <c r="B49" s="56" t="s">
        <v>132</v>
      </c>
      <c r="C49" s="101" t="s">
        <v>135</v>
      </c>
      <c r="D49" s="118"/>
      <c r="E49" s="101" t="s">
        <v>130</v>
      </c>
      <c r="F49" s="119">
        <v>91562155</v>
      </c>
      <c r="G49" s="107">
        <f>D49*F49</f>
        <v>0</v>
      </c>
      <c r="H49" s="119">
        <v>6754833</v>
      </c>
      <c r="I49" s="107">
        <f>D49*H49</f>
        <v>0</v>
      </c>
      <c r="J49" s="119">
        <v>6416064</v>
      </c>
      <c r="K49" s="107">
        <f>D49*J49</f>
        <v>0</v>
      </c>
      <c r="L49" s="107">
        <f t="shared" si="13"/>
        <v>104733052</v>
      </c>
      <c r="M49" s="107">
        <f>D49*L49</f>
        <v>0</v>
      </c>
      <c r="N49" s="110"/>
      <c r="P49" s="171"/>
      <c r="T49" s="171"/>
    </row>
    <row r="50" spans="1:20" ht="22.5" customHeight="1">
      <c r="A50" s="101" t="s">
        <v>373</v>
      </c>
      <c r="B50" s="56" t="s">
        <v>132</v>
      </c>
      <c r="C50" s="101" t="s">
        <v>136</v>
      </c>
      <c r="D50" s="118">
        <v>0</v>
      </c>
      <c r="E50" s="101" t="s">
        <v>130</v>
      </c>
      <c r="F50" s="119">
        <v>101618610</v>
      </c>
      <c r="G50" s="107">
        <f t="shared" si="10"/>
        <v>0</v>
      </c>
      <c r="H50" s="119">
        <v>7151107</v>
      </c>
      <c r="I50" s="107">
        <f t="shared" si="11"/>
        <v>0</v>
      </c>
      <c r="J50" s="119">
        <v>7086024</v>
      </c>
      <c r="K50" s="107">
        <f t="shared" si="12"/>
        <v>0</v>
      </c>
      <c r="L50" s="107">
        <f t="shared" si="13"/>
        <v>115855741</v>
      </c>
      <c r="M50" s="107">
        <f t="shared" si="14"/>
        <v>0</v>
      </c>
      <c r="N50" s="110"/>
      <c r="P50" s="171"/>
      <c r="T50" s="171"/>
    </row>
    <row r="51" spans="1:20" ht="22.5" customHeight="1">
      <c r="A51" s="101"/>
      <c r="B51" s="56" t="s">
        <v>116</v>
      </c>
      <c r="C51" s="101"/>
      <c r="D51" s="169">
        <f>SUM(D46:D50)</f>
        <v>0</v>
      </c>
      <c r="E51" s="101"/>
      <c r="F51" s="119"/>
      <c r="G51" s="107">
        <f>SUM(G46:G50)</f>
        <v>0</v>
      </c>
      <c r="H51" s="107"/>
      <c r="I51" s="107">
        <f>SUM(I46:I50)</f>
        <v>0</v>
      </c>
      <c r="J51" s="107"/>
      <c r="K51" s="107">
        <f>SUM(K46:K50)</f>
        <v>0</v>
      </c>
      <c r="L51" s="107"/>
      <c r="M51" s="107">
        <f>SUM(M46:M50)</f>
        <v>0</v>
      </c>
      <c r="N51" s="110"/>
    </row>
    <row r="52" spans="1:20" ht="22.5" customHeight="1">
      <c r="A52" s="102" t="s">
        <v>137</v>
      </c>
      <c r="B52" s="102" t="s">
        <v>140</v>
      </c>
      <c r="C52" s="103" t="s">
        <v>10</v>
      </c>
      <c r="D52" s="104">
        <v>0</v>
      </c>
      <c r="E52" s="105" t="s">
        <v>10</v>
      </c>
      <c r="F52" s="111"/>
      <c r="G52" s="111" t="s">
        <v>10</v>
      </c>
      <c r="H52" s="111"/>
      <c r="I52" s="111" t="s">
        <v>10</v>
      </c>
      <c r="J52" s="111" t="s">
        <v>10</v>
      </c>
      <c r="K52" s="111" t="s">
        <v>10</v>
      </c>
      <c r="L52" s="111" t="s">
        <v>10</v>
      </c>
      <c r="M52" s="111" t="s">
        <v>10</v>
      </c>
      <c r="N52" s="112" t="s">
        <v>10</v>
      </c>
    </row>
    <row r="53" spans="1:20" ht="22.5" customHeight="1">
      <c r="A53" s="101" t="s">
        <v>396</v>
      </c>
      <c r="B53" s="56" t="s">
        <v>132</v>
      </c>
      <c r="C53" s="101" t="s">
        <v>136</v>
      </c>
      <c r="D53" s="118">
        <v>0</v>
      </c>
      <c r="E53" s="101" t="s">
        <v>130</v>
      </c>
      <c r="F53" s="119">
        <v>101618610</v>
      </c>
      <c r="G53" s="107">
        <v>0</v>
      </c>
      <c r="H53" s="119">
        <v>12875632</v>
      </c>
      <c r="I53" s="107">
        <f t="shared" ref="I53" si="15">D53*H53</f>
        <v>0</v>
      </c>
      <c r="J53" s="107">
        <v>7086025</v>
      </c>
      <c r="K53" s="107">
        <f t="shared" ref="K53" si="16">D53*J53</f>
        <v>0</v>
      </c>
      <c r="L53" s="107">
        <f t="shared" ref="L53" si="17">F53+H53+J53</f>
        <v>121580267</v>
      </c>
      <c r="M53" s="107">
        <f t="shared" ref="M53" si="18">D53*L53</f>
        <v>0</v>
      </c>
      <c r="N53" s="110"/>
    </row>
    <row r="54" spans="1:20" ht="22.5" customHeight="1">
      <c r="A54" s="101"/>
      <c r="B54" s="56" t="s">
        <v>116</v>
      </c>
      <c r="C54" s="101"/>
      <c r="D54" s="169">
        <f>SUM(D53)</f>
        <v>0</v>
      </c>
      <c r="E54" s="101"/>
      <c r="F54" s="119"/>
      <c r="G54" s="107">
        <f>SUM(G53)</f>
        <v>0</v>
      </c>
      <c r="H54" s="107"/>
      <c r="I54" s="107">
        <f>SUM(I53)</f>
        <v>0</v>
      </c>
      <c r="J54" s="107"/>
      <c r="K54" s="107">
        <f>SUM(K53)</f>
        <v>0</v>
      </c>
      <c r="L54" s="107"/>
      <c r="M54" s="107">
        <f>SUM(M53)</f>
        <v>0</v>
      </c>
      <c r="N54" s="110"/>
    </row>
    <row r="55" spans="1:20" ht="22.5" customHeight="1">
      <c r="A55" s="102" t="s">
        <v>139</v>
      </c>
      <c r="B55" s="102" t="s">
        <v>120</v>
      </c>
      <c r="C55" s="103" t="s">
        <v>10</v>
      </c>
      <c r="D55" s="104">
        <v>0</v>
      </c>
      <c r="E55" s="105" t="s">
        <v>10</v>
      </c>
      <c r="F55" s="111"/>
      <c r="G55" s="111" t="s">
        <v>10</v>
      </c>
      <c r="H55" s="111"/>
      <c r="I55" s="111" t="s">
        <v>10</v>
      </c>
      <c r="J55" s="111" t="s">
        <v>10</v>
      </c>
      <c r="K55" s="111" t="s">
        <v>10</v>
      </c>
      <c r="L55" s="111" t="s">
        <v>10</v>
      </c>
      <c r="M55" s="111" t="s">
        <v>10</v>
      </c>
      <c r="N55" s="112" t="s">
        <v>10</v>
      </c>
    </row>
    <row r="56" spans="1:20" ht="22.5" customHeight="1">
      <c r="A56" s="101" t="s">
        <v>393</v>
      </c>
      <c r="B56" s="56" t="s">
        <v>21</v>
      </c>
      <c r="C56" s="101" t="s">
        <v>121</v>
      </c>
      <c r="D56" s="169"/>
      <c r="E56" s="101" t="s">
        <v>125</v>
      </c>
      <c r="F56" s="107">
        <v>0</v>
      </c>
      <c r="G56" s="107">
        <f t="shared" ref="G56:G59" si="19">D56*F56</f>
        <v>0</v>
      </c>
      <c r="H56" s="107">
        <v>37560</v>
      </c>
      <c r="I56" s="107">
        <f t="shared" ref="I56:I59" si="20">D56*H56</f>
        <v>0</v>
      </c>
      <c r="J56" s="107">
        <v>0</v>
      </c>
      <c r="K56" s="107">
        <f t="shared" ref="K56:K59" si="21">D56*J56</f>
        <v>0</v>
      </c>
      <c r="L56" s="107">
        <f t="shared" ref="L56:L59" si="22">F56+H56+J56</f>
        <v>37560</v>
      </c>
      <c r="M56" s="107">
        <f t="shared" ref="M56:M59" si="23">D56*L56</f>
        <v>0</v>
      </c>
      <c r="N56" s="110"/>
    </row>
    <row r="57" spans="1:20" ht="22.5" customHeight="1">
      <c r="A57" s="101" t="s">
        <v>376</v>
      </c>
      <c r="B57" s="56" t="s">
        <v>123</v>
      </c>
      <c r="C57" s="101" t="s">
        <v>121</v>
      </c>
      <c r="D57" s="169"/>
      <c r="E57" s="101" t="s">
        <v>125</v>
      </c>
      <c r="F57" s="107">
        <v>12998</v>
      </c>
      <c r="G57" s="107">
        <f t="shared" si="19"/>
        <v>0</v>
      </c>
      <c r="H57" s="107">
        <v>35841</v>
      </c>
      <c r="I57" s="107">
        <f t="shared" si="20"/>
        <v>0</v>
      </c>
      <c r="J57" s="107">
        <v>3899</v>
      </c>
      <c r="K57" s="107">
        <f t="shared" si="21"/>
        <v>0</v>
      </c>
      <c r="L57" s="107">
        <f t="shared" si="22"/>
        <v>52738</v>
      </c>
      <c r="M57" s="107">
        <f t="shared" si="23"/>
        <v>0</v>
      </c>
      <c r="N57" s="110"/>
    </row>
    <row r="58" spans="1:20" ht="22.5" customHeight="1">
      <c r="A58" s="101" t="s">
        <v>377</v>
      </c>
      <c r="B58" s="56" t="s">
        <v>124</v>
      </c>
      <c r="C58" s="101" t="s">
        <v>121</v>
      </c>
      <c r="D58" s="169"/>
      <c r="E58" s="101" t="s">
        <v>125</v>
      </c>
      <c r="F58" s="119">
        <v>0</v>
      </c>
      <c r="G58" s="107">
        <f t="shared" si="19"/>
        <v>0</v>
      </c>
      <c r="H58" s="107">
        <v>0</v>
      </c>
      <c r="I58" s="107">
        <f t="shared" si="20"/>
        <v>0</v>
      </c>
      <c r="J58" s="107">
        <v>98</v>
      </c>
      <c r="K58" s="107">
        <f t="shared" si="21"/>
        <v>0</v>
      </c>
      <c r="L58" s="107">
        <f t="shared" si="22"/>
        <v>98</v>
      </c>
      <c r="M58" s="107">
        <f t="shared" si="23"/>
        <v>0</v>
      </c>
      <c r="N58" s="110" t="s">
        <v>10</v>
      </c>
    </row>
    <row r="59" spans="1:20" ht="22.5" customHeight="1">
      <c r="A59" s="101" t="s">
        <v>378</v>
      </c>
      <c r="B59" s="56" t="s">
        <v>122</v>
      </c>
      <c r="C59" s="101" t="s">
        <v>121</v>
      </c>
      <c r="D59" s="169"/>
      <c r="E59" s="101" t="s">
        <v>125</v>
      </c>
      <c r="F59" s="119">
        <v>10216</v>
      </c>
      <c r="G59" s="107">
        <f t="shared" si="19"/>
        <v>0</v>
      </c>
      <c r="H59" s="107">
        <v>58179</v>
      </c>
      <c r="I59" s="107">
        <f t="shared" si="20"/>
        <v>0</v>
      </c>
      <c r="J59" s="107">
        <v>49420</v>
      </c>
      <c r="K59" s="107">
        <f t="shared" si="21"/>
        <v>0</v>
      </c>
      <c r="L59" s="107">
        <f t="shared" si="22"/>
        <v>117815</v>
      </c>
      <c r="M59" s="107">
        <f t="shared" si="23"/>
        <v>0</v>
      </c>
      <c r="N59" s="110" t="s">
        <v>10</v>
      </c>
    </row>
    <row r="60" spans="1:20" ht="22.5" customHeight="1">
      <c r="A60" s="101"/>
      <c r="B60" s="56" t="s">
        <v>116</v>
      </c>
      <c r="C60" s="101"/>
      <c r="D60" s="169">
        <f>SUM(D56:D59)</f>
        <v>0</v>
      </c>
      <c r="E60" s="101"/>
      <c r="F60" s="119"/>
      <c r="G60" s="119">
        <f>SUM(G56:G59)</f>
        <v>0</v>
      </c>
      <c r="H60" s="119"/>
      <c r="I60" s="119">
        <f>SUM(I56:I59)</f>
        <v>0</v>
      </c>
      <c r="J60" s="119"/>
      <c r="K60" s="119">
        <f>SUM(K56:K59)</f>
        <v>0</v>
      </c>
      <c r="L60" s="119"/>
      <c r="M60" s="119">
        <f>SUM(M56:M59)</f>
        <v>0</v>
      </c>
      <c r="N60" s="110"/>
    </row>
    <row r="61" spans="1:20" ht="22.5" customHeight="1">
      <c r="A61" s="106" t="s">
        <v>45</v>
      </c>
      <c r="B61" s="106" t="s">
        <v>10</v>
      </c>
      <c r="C61" s="106" t="s">
        <v>10</v>
      </c>
      <c r="D61" s="108">
        <v>0</v>
      </c>
      <c r="E61" s="109" t="s">
        <v>10</v>
      </c>
      <c r="F61" s="113">
        <v>0</v>
      </c>
      <c r="G61" s="113">
        <f>G28+G44+G51+G60</f>
        <v>59679678</v>
      </c>
      <c r="H61" s="113">
        <v>0</v>
      </c>
      <c r="I61" s="113">
        <f>I28+I44+I51+I60</f>
        <v>12697022</v>
      </c>
      <c r="J61" s="113">
        <v>0</v>
      </c>
      <c r="K61" s="113">
        <f>K28+K44+K51+K60</f>
        <v>1968956</v>
      </c>
      <c r="L61" s="113">
        <v>0</v>
      </c>
      <c r="M61" s="113">
        <f>M28+M44+M51+M60</f>
        <v>74345656</v>
      </c>
      <c r="N61" s="114" t="s">
        <v>10</v>
      </c>
    </row>
    <row r="62" spans="1:20">
      <c r="D62" s="296">
        <f>SUM(D28,D44,D51,D54)</f>
        <v>6</v>
      </c>
    </row>
  </sheetData>
  <autoFilter ref="A4:N61"/>
  <mergeCells count="2">
    <mergeCell ref="A1:N1"/>
    <mergeCell ref="M2:N2"/>
  </mergeCells>
  <phoneticPr fontId="14" type="noConversion"/>
  <printOptions horizontalCentered="1"/>
  <pageMargins left="0.51181102362204722" right="0.51181102362204722" top="0.82677165354330717" bottom="0.86614173228346458" header="0.51181102362204722" footer="0.59055118110236227"/>
  <pageSetup paperSize="9" scale="63" fitToHeight="0" orientation="landscape" horizontalDpi="360" verticalDpi="360" r:id="rId1"/>
  <headerFooter alignWithMargins="0"/>
  <rowBreaks count="1" manualBreakCount="1">
    <brk id="32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N12"/>
  <sheetViews>
    <sheetView view="pageBreakPreview" zoomScale="85" zoomScaleNormal="100" zoomScaleSheetLayoutView="85" workbookViewId="0">
      <selection activeCell="N19" sqref="N19"/>
    </sheetView>
  </sheetViews>
  <sheetFormatPr defaultRowHeight="16.5"/>
  <cols>
    <col min="1" max="1" width="10.125" style="268" customWidth="1"/>
    <col min="2" max="2" width="10.625" style="268" customWidth="1"/>
    <col min="3" max="3" width="8.25" style="268" customWidth="1"/>
    <col min="4" max="4" width="22" style="268" customWidth="1"/>
    <col min="5" max="5" width="10.625" style="268" customWidth="1"/>
    <col min="6" max="7" width="11.5" style="268" customWidth="1"/>
    <col min="8" max="8" width="55.5" style="268" customWidth="1"/>
    <col min="9" max="9" width="18" style="268" bestFit="1" customWidth="1"/>
    <col min="10" max="16384" width="9" style="268"/>
  </cols>
  <sheetData>
    <row r="1" spans="1:14" s="260" customFormat="1" ht="35.1" customHeight="1">
      <c r="A1" s="359" t="s">
        <v>409</v>
      </c>
      <c r="B1" s="360"/>
      <c r="C1" s="360"/>
      <c r="D1" s="360"/>
      <c r="E1" s="360"/>
      <c r="F1" s="360"/>
      <c r="G1" s="360"/>
      <c r="H1" s="360"/>
      <c r="I1" s="361"/>
      <c r="J1" s="259"/>
      <c r="K1" s="259"/>
      <c r="L1" s="259"/>
      <c r="M1" s="259"/>
      <c r="N1" s="259"/>
    </row>
    <row r="2" spans="1:14" s="263" customFormat="1" ht="19.5" customHeight="1">
      <c r="A2" s="362" t="s">
        <v>289</v>
      </c>
      <c r="B2" s="363"/>
      <c r="C2" s="363"/>
      <c r="D2" s="363"/>
      <c r="E2" s="363"/>
      <c r="F2" s="261"/>
      <c r="G2" s="261"/>
      <c r="H2" s="370" t="s">
        <v>427</v>
      </c>
      <c r="I2" s="370"/>
      <c r="J2" s="2"/>
      <c r="K2" s="261"/>
      <c r="L2" s="261"/>
    </row>
    <row r="3" spans="1:14" ht="28.5" customHeight="1">
      <c r="A3" s="264" t="s">
        <v>330</v>
      </c>
      <c r="B3" s="265" t="s">
        <v>331</v>
      </c>
      <c r="C3" s="265" t="s">
        <v>332</v>
      </c>
      <c r="D3" s="265" t="s">
        <v>333</v>
      </c>
      <c r="E3" s="265" t="s">
        <v>334</v>
      </c>
      <c r="F3" s="266" t="s">
        <v>335</v>
      </c>
      <c r="G3" s="266" t="s">
        <v>336</v>
      </c>
      <c r="H3" s="266" t="s">
        <v>337</v>
      </c>
      <c r="I3" s="267" t="s">
        <v>338</v>
      </c>
    </row>
    <row r="4" spans="1:14" s="286" customFormat="1" ht="28.5" customHeight="1">
      <c r="A4" s="269" t="s">
        <v>356</v>
      </c>
      <c r="B4" s="266" t="s">
        <v>339</v>
      </c>
      <c r="C4" s="266">
        <v>2026</v>
      </c>
      <c r="D4" s="266" t="s">
        <v>449</v>
      </c>
      <c r="E4" s="266" t="s">
        <v>346</v>
      </c>
      <c r="F4" s="266">
        <v>1</v>
      </c>
      <c r="G4" s="266" t="s">
        <v>340</v>
      </c>
      <c r="H4" s="266" t="s">
        <v>425</v>
      </c>
      <c r="I4" s="267"/>
    </row>
    <row r="5" spans="1:14" s="286" customFormat="1" ht="28.5" customHeight="1">
      <c r="A5" s="269" t="s">
        <v>356</v>
      </c>
      <c r="B5" s="266" t="s">
        <v>339</v>
      </c>
      <c r="C5" s="266">
        <v>2026</v>
      </c>
      <c r="D5" s="266" t="s">
        <v>448</v>
      </c>
      <c r="E5" s="270">
        <v>200</v>
      </c>
      <c r="F5" s="266">
        <v>1</v>
      </c>
      <c r="G5" s="266" t="s">
        <v>340</v>
      </c>
      <c r="H5" s="266" t="s">
        <v>425</v>
      </c>
      <c r="I5" s="271"/>
    </row>
    <row r="6" spans="1:14" s="287" customFormat="1" ht="28.5" customHeight="1">
      <c r="A6" s="289" t="s">
        <v>356</v>
      </c>
      <c r="B6" s="290" t="s">
        <v>339</v>
      </c>
      <c r="C6" s="290">
        <v>2026</v>
      </c>
      <c r="D6" s="290" t="s">
        <v>450</v>
      </c>
      <c r="E6" s="270">
        <v>150</v>
      </c>
      <c r="F6" s="290">
        <v>2</v>
      </c>
      <c r="G6" s="290" t="s">
        <v>340</v>
      </c>
      <c r="H6" s="290" t="s">
        <v>426</v>
      </c>
      <c r="I6" s="291"/>
      <c r="J6" s="288"/>
    </row>
    <row r="7" spans="1:14" ht="28.5" customHeight="1">
      <c r="A7" s="269" t="s">
        <v>343</v>
      </c>
      <c r="B7" s="266" t="s">
        <v>339</v>
      </c>
      <c r="C7" s="266">
        <v>2026</v>
      </c>
      <c r="D7" s="266" t="s">
        <v>451</v>
      </c>
      <c r="E7" s="270">
        <v>350</v>
      </c>
      <c r="F7" s="266">
        <v>2</v>
      </c>
      <c r="G7" s="266" t="s">
        <v>340</v>
      </c>
      <c r="H7" s="266" t="s">
        <v>428</v>
      </c>
      <c r="I7" s="267" t="s">
        <v>358</v>
      </c>
    </row>
    <row r="8" spans="1:14" ht="28.5" customHeight="1">
      <c r="A8" s="289"/>
      <c r="B8" s="290"/>
      <c r="C8" s="290"/>
      <c r="D8" s="290"/>
      <c r="E8" s="270"/>
      <c r="F8" s="290"/>
      <c r="G8" s="290"/>
      <c r="H8" s="290"/>
      <c r="I8" s="291"/>
    </row>
    <row r="9" spans="1:14" ht="28.5" customHeight="1">
      <c r="A9" s="289"/>
      <c r="B9" s="290"/>
      <c r="C9" s="290"/>
      <c r="D9" s="290"/>
      <c r="E9" s="270"/>
      <c r="F9" s="290"/>
      <c r="G9" s="290"/>
      <c r="H9" s="290"/>
      <c r="I9" s="291"/>
    </row>
    <row r="10" spans="1:14" ht="28.5" customHeight="1">
      <c r="A10" s="275"/>
      <c r="B10" s="276"/>
      <c r="C10" s="272"/>
      <c r="D10" s="272"/>
      <c r="E10" s="270"/>
      <c r="F10" s="272"/>
      <c r="G10" s="272"/>
      <c r="H10" s="272"/>
      <c r="I10" s="274"/>
    </row>
    <row r="11" spans="1:14" ht="28.5" customHeight="1">
      <c r="A11" s="275"/>
      <c r="B11" s="276"/>
      <c r="C11" s="272"/>
      <c r="D11" s="272"/>
      <c r="E11" s="270"/>
      <c r="F11" s="272"/>
      <c r="G11" s="272"/>
      <c r="H11" s="272"/>
      <c r="I11" s="274"/>
    </row>
    <row r="12" spans="1:14" ht="27.75" customHeight="1">
      <c r="F12" s="268">
        <f>SUM(F4:F11)</f>
        <v>6</v>
      </c>
    </row>
  </sheetData>
  <mergeCells count="3">
    <mergeCell ref="A1:I1"/>
    <mergeCell ref="A2:E2"/>
    <mergeCell ref="H2:I2"/>
  </mergeCells>
  <phoneticPr fontId="14" type="noConversion"/>
  <pageMargins left="0.7" right="0.7" top="0.75" bottom="0.75" header="0.3" footer="0.3"/>
  <pageSetup paperSize="9" scale="51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DN41"/>
  <sheetViews>
    <sheetView view="pageBreakPreview" zoomScale="85" zoomScaleNormal="90" zoomScaleSheetLayoutView="85" workbookViewId="0">
      <pane xSplit="10" ySplit="3" topLeftCell="K23" activePane="bottomRight" state="frozen"/>
      <selection activeCell="M2" sqref="M2:N2"/>
      <selection pane="topRight" activeCell="M2" sqref="M2:N2"/>
      <selection pane="bottomLeft" activeCell="M2" sqref="M2:N2"/>
      <selection pane="bottomRight" activeCell="K10" sqref="K10"/>
    </sheetView>
  </sheetViews>
  <sheetFormatPr defaultRowHeight="34.700000000000003" customHeight="1"/>
  <cols>
    <col min="1" max="1" width="4.625" style="1" customWidth="1"/>
    <col min="2" max="2" width="27.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4.625" style="38" customWidth="1"/>
    <col min="8" max="8" width="10.625" style="40" customWidth="1"/>
    <col min="9" max="9" width="9.875" style="38" customWidth="1"/>
    <col min="10" max="10" width="18.125" style="38" bestFit="1" customWidth="1"/>
    <col min="11" max="11" width="18.125" style="40" bestFit="1" customWidth="1"/>
    <col min="12" max="12" width="18.125" style="40" customWidth="1"/>
    <col min="13" max="13" width="9.625" style="5" customWidth="1"/>
    <col min="14" max="233" width="9" style="1"/>
    <col min="234" max="234" width="4.625" style="1" customWidth="1"/>
    <col min="235" max="235" width="34.625" style="1" customWidth="1"/>
    <col min="236" max="236" width="11.625" style="1" customWidth="1"/>
    <col min="237" max="238" width="6.625" style="1" customWidth="1"/>
    <col min="239" max="239" width="10.625" style="1" customWidth="1"/>
    <col min="240" max="240" width="14.625" style="1" customWidth="1"/>
    <col min="241" max="241" width="10.625" style="1" customWidth="1"/>
    <col min="242" max="242" width="14.625" style="1" customWidth="1"/>
    <col min="243" max="243" width="10.625" style="1" customWidth="1"/>
    <col min="244" max="244" width="14.625" style="1" customWidth="1"/>
    <col min="245" max="245" width="10.625" style="1" customWidth="1"/>
    <col min="246" max="246" width="18.625" style="1" customWidth="1"/>
    <col min="247" max="247" width="9.625" style="1" customWidth="1"/>
    <col min="248" max="248" width="10.5" style="1" customWidth="1"/>
    <col min="249" max="249" width="20.375" style="1" bestFit="1" customWidth="1"/>
    <col min="250" max="250" width="12.5" style="1" customWidth="1"/>
    <col min="251" max="251" width="13.125" style="1" customWidth="1"/>
    <col min="252" max="256" width="9" style="1"/>
    <col min="257" max="257" width="11.25" style="1" bestFit="1" customWidth="1"/>
    <col min="258" max="258" width="11.625" style="1" bestFit="1" customWidth="1"/>
    <col min="259" max="489" width="9" style="1"/>
    <col min="490" max="490" width="4.625" style="1" customWidth="1"/>
    <col min="491" max="491" width="34.625" style="1" customWidth="1"/>
    <col min="492" max="492" width="11.625" style="1" customWidth="1"/>
    <col min="493" max="494" width="6.625" style="1" customWidth="1"/>
    <col min="495" max="495" width="10.625" style="1" customWidth="1"/>
    <col min="496" max="496" width="14.625" style="1" customWidth="1"/>
    <col min="497" max="497" width="10.625" style="1" customWidth="1"/>
    <col min="498" max="498" width="14.625" style="1" customWidth="1"/>
    <col min="499" max="499" width="10.625" style="1" customWidth="1"/>
    <col min="500" max="500" width="14.625" style="1" customWidth="1"/>
    <col min="501" max="501" width="10.625" style="1" customWidth="1"/>
    <col min="502" max="502" width="18.625" style="1" customWidth="1"/>
    <col min="503" max="503" width="9.625" style="1" customWidth="1"/>
    <col min="504" max="504" width="10.5" style="1" customWidth="1"/>
    <col min="505" max="505" width="20.375" style="1" bestFit="1" customWidth="1"/>
    <col min="506" max="506" width="12.5" style="1" customWidth="1"/>
    <col min="507" max="507" width="13.125" style="1" customWidth="1"/>
    <col min="508" max="512" width="9" style="1"/>
    <col min="513" max="513" width="11.25" style="1" bestFit="1" customWidth="1"/>
    <col min="514" max="514" width="11.625" style="1" bestFit="1" customWidth="1"/>
    <col min="515" max="745" width="9" style="1"/>
    <col min="746" max="746" width="4.625" style="1" customWidth="1"/>
    <col min="747" max="747" width="34.625" style="1" customWidth="1"/>
    <col min="748" max="748" width="11.625" style="1" customWidth="1"/>
    <col min="749" max="750" width="6.625" style="1" customWidth="1"/>
    <col min="751" max="751" width="10.625" style="1" customWidth="1"/>
    <col min="752" max="752" width="14.625" style="1" customWidth="1"/>
    <col min="753" max="753" width="10.625" style="1" customWidth="1"/>
    <col min="754" max="754" width="14.625" style="1" customWidth="1"/>
    <col min="755" max="755" width="10.625" style="1" customWidth="1"/>
    <col min="756" max="756" width="14.625" style="1" customWidth="1"/>
    <col min="757" max="757" width="10.625" style="1" customWidth="1"/>
    <col min="758" max="758" width="18.625" style="1" customWidth="1"/>
    <col min="759" max="759" width="9.625" style="1" customWidth="1"/>
    <col min="760" max="760" width="10.5" style="1" customWidth="1"/>
    <col min="761" max="761" width="20.375" style="1" bestFit="1" customWidth="1"/>
    <col min="762" max="762" width="12.5" style="1" customWidth="1"/>
    <col min="763" max="763" width="13.125" style="1" customWidth="1"/>
    <col min="764" max="768" width="9" style="1"/>
    <col min="769" max="769" width="11.25" style="1" bestFit="1" customWidth="1"/>
    <col min="770" max="770" width="11.625" style="1" bestFit="1" customWidth="1"/>
    <col min="771" max="1001" width="9" style="1"/>
    <col min="1002" max="1002" width="4.625" style="1" customWidth="1"/>
    <col min="1003" max="1003" width="34.625" style="1" customWidth="1"/>
    <col min="1004" max="1004" width="11.625" style="1" customWidth="1"/>
    <col min="1005" max="1006" width="6.625" style="1" customWidth="1"/>
    <col min="1007" max="1007" width="10.625" style="1" customWidth="1"/>
    <col min="1008" max="1008" width="14.625" style="1" customWidth="1"/>
    <col min="1009" max="1009" width="10.625" style="1" customWidth="1"/>
    <col min="1010" max="1010" width="14.625" style="1" customWidth="1"/>
    <col min="1011" max="1011" width="10.625" style="1" customWidth="1"/>
    <col min="1012" max="1012" width="14.625" style="1" customWidth="1"/>
    <col min="1013" max="1013" width="10.625" style="1" customWidth="1"/>
    <col min="1014" max="1014" width="18.625" style="1" customWidth="1"/>
    <col min="1015" max="1015" width="9.625" style="1" customWidth="1"/>
    <col min="1016" max="1016" width="10.5" style="1" customWidth="1"/>
    <col min="1017" max="1017" width="20.375" style="1" bestFit="1" customWidth="1"/>
    <col min="1018" max="1018" width="12.5" style="1" customWidth="1"/>
    <col min="1019" max="1019" width="13.125" style="1" customWidth="1"/>
    <col min="1020" max="1024" width="9" style="1"/>
    <col min="1025" max="1025" width="11.25" style="1" bestFit="1" customWidth="1"/>
    <col min="1026" max="1026" width="11.625" style="1" bestFit="1" customWidth="1"/>
    <col min="1027" max="1257" width="9" style="1"/>
    <col min="1258" max="1258" width="4.625" style="1" customWidth="1"/>
    <col min="1259" max="1259" width="34.625" style="1" customWidth="1"/>
    <col min="1260" max="1260" width="11.625" style="1" customWidth="1"/>
    <col min="1261" max="1262" width="6.625" style="1" customWidth="1"/>
    <col min="1263" max="1263" width="10.625" style="1" customWidth="1"/>
    <col min="1264" max="1264" width="14.625" style="1" customWidth="1"/>
    <col min="1265" max="1265" width="10.625" style="1" customWidth="1"/>
    <col min="1266" max="1266" width="14.625" style="1" customWidth="1"/>
    <col min="1267" max="1267" width="10.625" style="1" customWidth="1"/>
    <col min="1268" max="1268" width="14.625" style="1" customWidth="1"/>
    <col min="1269" max="1269" width="10.625" style="1" customWidth="1"/>
    <col min="1270" max="1270" width="18.625" style="1" customWidth="1"/>
    <col min="1271" max="1271" width="9.625" style="1" customWidth="1"/>
    <col min="1272" max="1272" width="10.5" style="1" customWidth="1"/>
    <col min="1273" max="1273" width="20.375" style="1" bestFit="1" customWidth="1"/>
    <col min="1274" max="1274" width="12.5" style="1" customWidth="1"/>
    <col min="1275" max="1275" width="13.125" style="1" customWidth="1"/>
    <col min="1276" max="1280" width="9" style="1"/>
    <col min="1281" max="1281" width="11.25" style="1" bestFit="1" customWidth="1"/>
    <col min="1282" max="1282" width="11.625" style="1" bestFit="1" customWidth="1"/>
    <col min="1283" max="1513" width="9" style="1"/>
    <col min="1514" max="1514" width="4.625" style="1" customWidth="1"/>
    <col min="1515" max="1515" width="34.625" style="1" customWidth="1"/>
    <col min="1516" max="1516" width="11.625" style="1" customWidth="1"/>
    <col min="1517" max="1518" width="6.625" style="1" customWidth="1"/>
    <col min="1519" max="1519" width="10.625" style="1" customWidth="1"/>
    <col min="1520" max="1520" width="14.625" style="1" customWidth="1"/>
    <col min="1521" max="1521" width="10.625" style="1" customWidth="1"/>
    <col min="1522" max="1522" width="14.625" style="1" customWidth="1"/>
    <col min="1523" max="1523" width="10.625" style="1" customWidth="1"/>
    <col min="1524" max="1524" width="14.625" style="1" customWidth="1"/>
    <col min="1525" max="1525" width="10.625" style="1" customWidth="1"/>
    <col min="1526" max="1526" width="18.625" style="1" customWidth="1"/>
    <col min="1527" max="1527" width="9.625" style="1" customWidth="1"/>
    <col min="1528" max="1528" width="10.5" style="1" customWidth="1"/>
    <col min="1529" max="1529" width="20.375" style="1" bestFit="1" customWidth="1"/>
    <col min="1530" max="1530" width="12.5" style="1" customWidth="1"/>
    <col min="1531" max="1531" width="13.125" style="1" customWidth="1"/>
    <col min="1532" max="1536" width="9" style="1"/>
    <col min="1537" max="1537" width="11.25" style="1" bestFit="1" customWidth="1"/>
    <col min="1538" max="1538" width="11.625" style="1" bestFit="1" customWidth="1"/>
    <col min="1539" max="1769" width="9" style="1"/>
    <col min="1770" max="1770" width="4.625" style="1" customWidth="1"/>
    <col min="1771" max="1771" width="34.625" style="1" customWidth="1"/>
    <col min="1772" max="1772" width="11.625" style="1" customWidth="1"/>
    <col min="1773" max="1774" width="6.625" style="1" customWidth="1"/>
    <col min="1775" max="1775" width="10.625" style="1" customWidth="1"/>
    <col min="1776" max="1776" width="14.625" style="1" customWidth="1"/>
    <col min="1777" max="1777" width="10.625" style="1" customWidth="1"/>
    <col min="1778" max="1778" width="14.625" style="1" customWidth="1"/>
    <col min="1779" max="1779" width="10.625" style="1" customWidth="1"/>
    <col min="1780" max="1780" width="14.625" style="1" customWidth="1"/>
    <col min="1781" max="1781" width="10.625" style="1" customWidth="1"/>
    <col min="1782" max="1782" width="18.625" style="1" customWidth="1"/>
    <col min="1783" max="1783" width="9.625" style="1" customWidth="1"/>
    <col min="1784" max="1784" width="10.5" style="1" customWidth="1"/>
    <col min="1785" max="1785" width="20.375" style="1" bestFit="1" customWidth="1"/>
    <col min="1786" max="1786" width="12.5" style="1" customWidth="1"/>
    <col min="1787" max="1787" width="13.125" style="1" customWidth="1"/>
    <col min="1788" max="1792" width="9" style="1"/>
    <col min="1793" max="1793" width="11.25" style="1" bestFit="1" customWidth="1"/>
    <col min="1794" max="1794" width="11.625" style="1" bestFit="1" customWidth="1"/>
    <col min="1795" max="2025" width="9" style="1"/>
    <col min="2026" max="2026" width="4.625" style="1" customWidth="1"/>
    <col min="2027" max="2027" width="34.625" style="1" customWidth="1"/>
    <col min="2028" max="2028" width="11.625" style="1" customWidth="1"/>
    <col min="2029" max="2030" width="6.625" style="1" customWidth="1"/>
    <col min="2031" max="2031" width="10.625" style="1" customWidth="1"/>
    <col min="2032" max="2032" width="14.625" style="1" customWidth="1"/>
    <col min="2033" max="2033" width="10.625" style="1" customWidth="1"/>
    <col min="2034" max="2034" width="14.625" style="1" customWidth="1"/>
    <col min="2035" max="2035" width="10.625" style="1" customWidth="1"/>
    <col min="2036" max="2036" width="14.625" style="1" customWidth="1"/>
    <col min="2037" max="2037" width="10.625" style="1" customWidth="1"/>
    <col min="2038" max="2038" width="18.625" style="1" customWidth="1"/>
    <col min="2039" max="2039" width="9.625" style="1" customWidth="1"/>
    <col min="2040" max="2040" width="10.5" style="1" customWidth="1"/>
    <col min="2041" max="2041" width="20.375" style="1" bestFit="1" customWidth="1"/>
    <col min="2042" max="2042" width="12.5" style="1" customWidth="1"/>
    <col min="2043" max="2043" width="13.125" style="1" customWidth="1"/>
    <col min="2044" max="2048" width="9" style="1"/>
    <col min="2049" max="2049" width="11.25" style="1" bestFit="1" customWidth="1"/>
    <col min="2050" max="2050" width="11.625" style="1" bestFit="1" customWidth="1"/>
    <col min="2051" max="2281" width="9" style="1"/>
    <col min="2282" max="2282" width="4.625" style="1" customWidth="1"/>
    <col min="2283" max="2283" width="34.625" style="1" customWidth="1"/>
    <col min="2284" max="2284" width="11.625" style="1" customWidth="1"/>
    <col min="2285" max="2286" width="6.625" style="1" customWidth="1"/>
    <col min="2287" max="2287" width="10.625" style="1" customWidth="1"/>
    <col min="2288" max="2288" width="14.625" style="1" customWidth="1"/>
    <col min="2289" max="2289" width="10.625" style="1" customWidth="1"/>
    <col min="2290" max="2290" width="14.625" style="1" customWidth="1"/>
    <col min="2291" max="2291" width="10.625" style="1" customWidth="1"/>
    <col min="2292" max="2292" width="14.625" style="1" customWidth="1"/>
    <col min="2293" max="2293" width="10.625" style="1" customWidth="1"/>
    <col min="2294" max="2294" width="18.625" style="1" customWidth="1"/>
    <col min="2295" max="2295" width="9.625" style="1" customWidth="1"/>
    <col min="2296" max="2296" width="10.5" style="1" customWidth="1"/>
    <col min="2297" max="2297" width="20.375" style="1" bestFit="1" customWidth="1"/>
    <col min="2298" max="2298" width="12.5" style="1" customWidth="1"/>
    <col min="2299" max="2299" width="13.125" style="1" customWidth="1"/>
    <col min="2300" max="2304" width="9" style="1"/>
    <col min="2305" max="2305" width="11.25" style="1" bestFit="1" customWidth="1"/>
    <col min="2306" max="2306" width="11.625" style="1" bestFit="1" customWidth="1"/>
    <col min="2307" max="2537" width="9" style="1"/>
    <col min="2538" max="2538" width="4.625" style="1" customWidth="1"/>
    <col min="2539" max="2539" width="34.625" style="1" customWidth="1"/>
    <col min="2540" max="2540" width="11.625" style="1" customWidth="1"/>
    <col min="2541" max="2542" width="6.625" style="1" customWidth="1"/>
    <col min="2543" max="2543" width="10.625" style="1" customWidth="1"/>
    <col min="2544" max="2544" width="14.625" style="1" customWidth="1"/>
    <col min="2545" max="2545" width="10.625" style="1" customWidth="1"/>
    <col min="2546" max="2546" width="14.625" style="1" customWidth="1"/>
    <col min="2547" max="2547" width="10.625" style="1" customWidth="1"/>
    <col min="2548" max="2548" width="14.625" style="1" customWidth="1"/>
    <col min="2549" max="2549" width="10.625" style="1" customWidth="1"/>
    <col min="2550" max="2550" width="18.625" style="1" customWidth="1"/>
    <col min="2551" max="2551" width="9.625" style="1" customWidth="1"/>
    <col min="2552" max="2552" width="10.5" style="1" customWidth="1"/>
    <col min="2553" max="2553" width="20.375" style="1" bestFit="1" customWidth="1"/>
    <col min="2554" max="2554" width="12.5" style="1" customWidth="1"/>
    <col min="2555" max="2555" width="13.125" style="1" customWidth="1"/>
    <col min="2556" max="2560" width="9" style="1"/>
    <col min="2561" max="2561" width="11.25" style="1" bestFit="1" customWidth="1"/>
    <col min="2562" max="2562" width="11.625" style="1" bestFit="1" customWidth="1"/>
    <col min="2563" max="2793" width="9" style="1"/>
    <col min="2794" max="2794" width="4.625" style="1" customWidth="1"/>
    <col min="2795" max="2795" width="34.625" style="1" customWidth="1"/>
    <col min="2796" max="2796" width="11.625" style="1" customWidth="1"/>
    <col min="2797" max="2798" width="6.625" style="1" customWidth="1"/>
    <col min="2799" max="2799" width="10.625" style="1" customWidth="1"/>
    <col min="2800" max="2800" width="14.625" style="1" customWidth="1"/>
    <col min="2801" max="2801" width="10.625" style="1" customWidth="1"/>
    <col min="2802" max="2802" width="14.625" style="1" customWidth="1"/>
    <col min="2803" max="2803" width="10.625" style="1" customWidth="1"/>
    <col min="2804" max="2804" width="14.625" style="1" customWidth="1"/>
    <col min="2805" max="2805" width="10.625" style="1" customWidth="1"/>
    <col min="2806" max="2806" width="18.625" style="1" customWidth="1"/>
    <col min="2807" max="2807" width="9.625" style="1" customWidth="1"/>
    <col min="2808" max="2808" width="10.5" style="1" customWidth="1"/>
    <col min="2809" max="2809" width="20.375" style="1" bestFit="1" customWidth="1"/>
    <col min="2810" max="2810" width="12.5" style="1" customWidth="1"/>
    <col min="2811" max="2811" width="13.125" style="1" customWidth="1"/>
    <col min="2812" max="2816" width="9" style="1"/>
    <col min="2817" max="2817" width="11.25" style="1" bestFit="1" customWidth="1"/>
    <col min="2818" max="2818" width="11.625" style="1" bestFit="1" customWidth="1"/>
    <col min="2819" max="3049" width="9" style="1"/>
    <col min="3050" max="3050" width="4.625" style="1" customWidth="1"/>
    <col min="3051" max="3051" width="34.625" style="1" customWidth="1"/>
    <col min="3052" max="3052" width="11.625" style="1" customWidth="1"/>
    <col min="3053" max="3054" width="6.625" style="1" customWidth="1"/>
    <col min="3055" max="3055" width="10.625" style="1" customWidth="1"/>
    <col min="3056" max="3056" width="14.625" style="1" customWidth="1"/>
    <col min="3057" max="3057" width="10.625" style="1" customWidth="1"/>
    <col min="3058" max="3058" width="14.625" style="1" customWidth="1"/>
    <col min="3059" max="3059" width="10.625" style="1" customWidth="1"/>
    <col min="3060" max="3060" width="14.625" style="1" customWidth="1"/>
    <col min="3061" max="3061" width="10.625" style="1" customWidth="1"/>
    <col min="3062" max="3062" width="18.625" style="1" customWidth="1"/>
    <col min="3063" max="3063" width="9.625" style="1" customWidth="1"/>
    <col min="3064" max="3064" width="10.5" style="1" customWidth="1"/>
    <col min="3065" max="3065" width="20.375" style="1" bestFit="1" customWidth="1"/>
    <col min="3066" max="3066" width="12.5" style="1" customWidth="1"/>
    <col min="3067" max="3067" width="13.125" style="1" customWidth="1"/>
    <col min="3068" max="3072" width="9" style="1"/>
    <col min="3073" max="3073" width="11.25" style="1" bestFit="1" customWidth="1"/>
    <col min="3074" max="3074" width="11.625" style="1" bestFit="1" customWidth="1"/>
    <col min="3075" max="3305" width="9" style="1"/>
    <col min="3306" max="3306" width="4.625" style="1" customWidth="1"/>
    <col min="3307" max="3307" width="34.625" style="1" customWidth="1"/>
    <col min="3308" max="3308" width="11.625" style="1" customWidth="1"/>
    <col min="3309" max="3310" width="6.625" style="1" customWidth="1"/>
    <col min="3311" max="3311" width="10.625" style="1" customWidth="1"/>
    <col min="3312" max="3312" width="14.625" style="1" customWidth="1"/>
    <col min="3313" max="3313" width="10.625" style="1" customWidth="1"/>
    <col min="3314" max="3314" width="14.625" style="1" customWidth="1"/>
    <col min="3315" max="3315" width="10.625" style="1" customWidth="1"/>
    <col min="3316" max="3316" width="14.625" style="1" customWidth="1"/>
    <col min="3317" max="3317" width="10.625" style="1" customWidth="1"/>
    <col min="3318" max="3318" width="18.625" style="1" customWidth="1"/>
    <col min="3319" max="3319" width="9.625" style="1" customWidth="1"/>
    <col min="3320" max="3320" width="10.5" style="1" customWidth="1"/>
    <col min="3321" max="3321" width="20.375" style="1" bestFit="1" customWidth="1"/>
    <col min="3322" max="3322" width="12.5" style="1" customWidth="1"/>
    <col min="3323" max="3323" width="13.125" style="1" customWidth="1"/>
    <col min="3324" max="3328" width="9" style="1"/>
    <col min="3329" max="3329" width="11.25" style="1" bestFit="1" customWidth="1"/>
    <col min="3330" max="3330" width="11.625" style="1" bestFit="1" customWidth="1"/>
    <col min="3331" max="3561" width="9" style="1"/>
    <col min="3562" max="3562" width="4.625" style="1" customWidth="1"/>
    <col min="3563" max="3563" width="34.625" style="1" customWidth="1"/>
    <col min="3564" max="3564" width="11.625" style="1" customWidth="1"/>
    <col min="3565" max="3566" width="6.625" style="1" customWidth="1"/>
    <col min="3567" max="3567" width="10.625" style="1" customWidth="1"/>
    <col min="3568" max="3568" width="14.625" style="1" customWidth="1"/>
    <col min="3569" max="3569" width="10.625" style="1" customWidth="1"/>
    <col min="3570" max="3570" width="14.625" style="1" customWidth="1"/>
    <col min="3571" max="3571" width="10.625" style="1" customWidth="1"/>
    <col min="3572" max="3572" width="14.625" style="1" customWidth="1"/>
    <col min="3573" max="3573" width="10.625" style="1" customWidth="1"/>
    <col min="3574" max="3574" width="18.625" style="1" customWidth="1"/>
    <col min="3575" max="3575" width="9.625" style="1" customWidth="1"/>
    <col min="3576" max="3576" width="10.5" style="1" customWidth="1"/>
    <col min="3577" max="3577" width="20.375" style="1" bestFit="1" customWidth="1"/>
    <col min="3578" max="3578" width="12.5" style="1" customWidth="1"/>
    <col min="3579" max="3579" width="13.125" style="1" customWidth="1"/>
    <col min="3580" max="3584" width="9" style="1"/>
    <col min="3585" max="3585" width="11.25" style="1" bestFit="1" customWidth="1"/>
    <col min="3586" max="3586" width="11.625" style="1" bestFit="1" customWidth="1"/>
    <col min="3587" max="3817" width="9" style="1"/>
    <col min="3818" max="3818" width="4.625" style="1" customWidth="1"/>
    <col min="3819" max="3819" width="34.625" style="1" customWidth="1"/>
    <col min="3820" max="3820" width="11.625" style="1" customWidth="1"/>
    <col min="3821" max="3822" width="6.625" style="1" customWidth="1"/>
    <col min="3823" max="3823" width="10.625" style="1" customWidth="1"/>
    <col min="3824" max="3824" width="14.625" style="1" customWidth="1"/>
    <col min="3825" max="3825" width="10.625" style="1" customWidth="1"/>
    <col min="3826" max="3826" width="14.625" style="1" customWidth="1"/>
    <col min="3827" max="3827" width="10.625" style="1" customWidth="1"/>
    <col min="3828" max="3828" width="14.625" style="1" customWidth="1"/>
    <col min="3829" max="3829" width="10.625" style="1" customWidth="1"/>
    <col min="3830" max="3830" width="18.625" style="1" customWidth="1"/>
    <col min="3831" max="3831" width="9.625" style="1" customWidth="1"/>
    <col min="3832" max="3832" width="10.5" style="1" customWidth="1"/>
    <col min="3833" max="3833" width="20.375" style="1" bestFit="1" customWidth="1"/>
    <col min="3834" max="3834" width="12.5" style="1" customWidth="1"/>
    <col min="3835" max="3835" width="13.125" style="1" customWidth="1"/>
    <col min="3836" max="3840" width="9" style="1"/>
    <col min="3841" max="3841" width="11.25" style="1" bestFit="1" customWidth="1"/>
    <col min="3842" max="3842" width="11.625" style="1" bestFit="1" customWidth="1"/>
    <col min="3843" max="4073" width="9" style="1"/>
    <col min="4074" max="4074" width="4.625" style="1" customWidth="1"/>
    <col min="4075" max="4075" width="34.625" style="1" customWidth="1"/>
    <col min="4076" max="4076" width="11.625" style="1" customWidth="1"/>
    <col min="4077" max="4078" width="6.625" style="1" customWidth="1"/>
    <col min="4079" max="4079" width="10.625" style="1" customWidth="1"/>
    <col min="4080" max="4080" width="14.625" style="1" customWidth="1"/>
    <col min="4081" max="4081" width="10.625" style="1" customWidth="1"/>
    <col min="4082" max="4082" width="14.625" style="1" customWidth="1"/>
    <col min="4083" max="4083" width="10.625" style="1" customWidth="1"/>
    <col min="4084" max="4084" width="14.625" style="1" customWidth="1"/>
    <col min="4085" max="4085" width="10.625" style="1" customWidth="1"/>
    <col min="4086" max="4086" width="18.625" style="1" customWidth="1"/>
    <col min="4087" max="4087" width="9.625" style="1" customWidth="1"/>
    <col min="4088" max="4088" width="10.5" style="1" customWidth="1"/>
    <col min="4089" max="4089" width="20.375" style="1" bestFit="1" customWidth="1"/>
    <col min="4090" max="4090" width="12.5" style="1" customWidth="1"/>
    <col min="4091" max="4091" width="13.125" style="1" customWidth="1"/>
    <col min="4092" max="4096" width="9" style="1"/>
    <col min="4097" max="4097" width="11.25" style="1" bestFit="1" customWidth="1"/>
    <col min="4098" max="4098" width="11.625" style="1" bestFit="1" customWidth="1"/>
    <col min="4099" max="4329" width="9" style="1"/>
    <col min="4330" max="4330" width="4.625" style="1" customWidth="1"/>
    <col min="4331" max="4331" width="34.625" style="1" customWidth="1"/>
    <col min="4332" max="4332" width="11.625" style="1" customWidth="1"/>
    <col min="4333" max="4334" width="6.625" style="1" customWidth="1"/>
    <col min="4335" max="4335" width="10.625" style="1" customWidth="1"/>
    <col min="4336" max="4336" width="14.625" style="1" customWidth="1"/>
    <col min="4337" max="4337" width="10.625" style="1" customWidth="1"/>
    <col min="4338" max="4338" width="14.625" style="1" customWidth="1"/>
    <col min="4339" max="4339" width="10.625" style="1" customWidth="1"/>
    <col min="4340" max="4340" width="14.625" style="1" customWidth="1"/>
    <col min="4341" max="4341" width="10.625" style="1" customWidth="1"/>
    <col min="4342" max="4342" width="18.625" style="1" customWidth="1"/>
    <col min="4343" max="4343" width="9.625" style="1" customWidth="1"/>
    <col min="4344" max="4344" width="10.5" style="1" customWidth="1"/>
    <col min="4345" max="4345" width="20.375" style="1" bestFit="1" customWidth="1"/>
    <col min="4346" max="4346" width="12.5" style="1" customWidth="1"/>
    <col min="4347" max="4347" width="13.125" style="1" customWidth="1"/>
    <col min="4348" max="4352" width="9" style="1"/>
    <col min="4353" max="4353" width="11.25" style="1" bestFit="1" customWidth="1"/>
    <col min="4354" max="4354" width="11.625" style="1" bestFit="1" customWidth="1"/>
    <col min="4355" max="4585" width="9" style="1"/>
    <col min="4586" max="4586" width="4.625" style="1" customWidth="1"/>
    <col min="4587" max="4587" width="34.625" style="1" customWidth="1"/>
    <col min="4588" max="4588" width="11.625" style="1" customWidth="1"/>
    <col min="4589" max="4590" width="6.625" style="1" customWidth="1"/>
    <col min="4591" max="4591" width="10.625" style="1" customWidth="1"/>
    <col min="4592" max="4592" width="14.625" style="1" customWidth="1"/>
    <col min="4593" max="4593" width="10.625" style="1" customWidth="1"/>
    <col min="4594" max="4594" width="14.625" style="1" customWidth="1"/>
    <col min="4595" max="4595" width="10.625" style="1" customWidth="1"/>
    <col min="4596" max="4596" width="14.625" style="1" customWidth="1"/>
    <col min="4597" max="4597" width="10.625" style="1" customWidth="1"/>
    <col min="4598" max="4598" width="18.625" style="1" customWidth="1"/>
    <col min="4599" max="4599" width="9.625" style="1" customWidth="1"/>
    <col min="4600" max="4600" width="10.5" style="1" customWidth="1"/>
    <col min="4601" max="4601" width="20.375" style="1" bestFit="1" customWidth="1"/>
    <col min="4602" max="4602" width="12.5" style="1" customWidth="1"/>
    <col min="4603" max="4603" width="13.125" style="1" customWidth="1"/>
    <col min="4604" max="4608" width="9" style="1"/>
    <col min="4609" max="4609" width="11.25" style="1" bestFit="1" customWidth="1"/>
    <col min="4610" max="4610" width="11.625" style="1" bestFit="1" customWidth="1"/>
    <col min="4611" max="4841" width="9" style="1"/>
    <col min="4842" max="4842" width="4.625" style="1" customWidth="1"/>
    <col min="4843" max="4843" width="34.625" style="1" customWidth="1"/>
    <col min="4844" max="4844" width="11.625" style="1" customWidth="1"/>
    <col min="4845" max="4846" width="6.625" style="1" customWidth="1"/>
    <col min="4847" max="4847" width="10.625" style="1" customWidth="1"/>
    <col min="4848" max="4848" width="14.625" style="1" customWidth="1"/>
    <col min="4849" max="4849" width="10.625" style="1" customWidth="1"/>
    <col min="4850" max="4850" width="14.625" style="1" customWidth="1"/>
    <col min="4851" max="4851" width="10.625" style="1" customWidth="1"/>
    <col min="4852" max="4852" width="14.625" style="1" customWidth="1"/>
    <col min="4853" max="4853" width="10.625" style="1" customWidth="1"/>
    <col min="4854" max="4854" width="18.625" style="1" customWidth="1"/>
    <col min="4855" max="4855" width="9.625" style="1" customWidth="1"/>
    <col min="4856" max="4856" width="10.5" style="1" customWidth="1"/>
    <col min="4857" max="4857" width="20.375" style="1" bestFit="1" customWidth="1"/>
    <col min="4858" max="4858" width="12.5" style="1" customWidth="1"/>
    <col min="4859" max="4859" width="13.125" style="1" customWidth="1"/>
    <col min="4860" max="4864" width="9" style="1"/>
    <col min="4865" max="4865" width="11.25" style="1" bestFit="1" customWidth="1"/>
    <col min="4866" max="4866" width="11.625" style="1" bestFit="1" customWidth="1"/>
    <col min="4867" max="5097" width="9" style="1"/>
    <col min="5098" max="5098" width="4.625" style="1" customWidth="1"/>
    <col min="5099" max="5099" width="34.625" style="1" customWidth="1"/>
    <col min="5100" max="5100" width="11.625" style="1" customWidth="1"/>
    <col min="5101" max="5102" width="6.625" style="1" customWidth="1"/>
    <col min="5103" max="5103" width="10.625" style="1" customWidth="1"/>
    <col min="5104" max="5104" width="14.625" style="1" customWidth="1"/>
    <col min="5105" max="5105" width="10.625" style="1" customWidth="1"/>
    <col min="5106" max="5106" width="14.625" style="1" customWidth="1"/>
    <col min="5107" max="5107" width="10.625" style="1" customWidth="1"/>
    <col min="5108" max="5108" width="14.625" style="1" customWidth="1"/>
    <col min="5109" max="5109" width="10.625" style="1" customWidth="1"/>
    <col min="5110" max="5110" width="18.625" style="1" customWidth="1"/>
    <col min="5111" max="5111" width="9.625" style="1" customWidth="1"/>
    <col min="5112" max="5112" width="10.5" style="1" customWidth="1"/>
    <col min="5113" max="5113" width="20.375" style="1" bestFit="1" customWidth="1"/>
    <col min="5114" max="5114" width="12.5" style="1" customWidth="1"/>
    <col min="5115" max="5115" width="13.125" style="1" customWidth="1"/>
    <col min="5116" max="5120" width="9" style="1"/>
    <col min="5121" max="5121" width="11.25" style="1" bestFit="1" customWidth="1"/>
    <col min="5122" max="5122" width="11.625" style="1" bestFit="1" customWidth="1"/>
    <col min="5123" max="5353" width="9" style="1"/>
    <col min="5354" max="5354" width="4.625" style="1" customWidth="1"/>
    <col min="5355" max="5355" width="34.625" style="1" customWidth="1"/>
    <col min="5356" max="5356" width="11.625" style="1" customWidth="1"/>
    <col min="5357" max="5358" width="6.625" style="1" customWidth="1"/>
    <col min="5359" max="5359" width="10.625" style="1" customWidth="1"/>
    <col min="5360" max="5360" width="14.625" style="1" customWidth="1"/>
    <col min="5361" max="5361" width="10.625" style="1" customWidth="1"/>
    <col min="5362" max="5362" width="14.625" style="1" customWidth="1"/>
    <col min="5363" max="5363" width="10.625" style="1" customWidth="1"/>
    <col min="5364" max="5364" width="14.625" style="1" customWidth="1"/>
    <col min="5365" max="5365" width="10.625" style="1" customWidth="1"/>
    <col min="5366" max="5366" width="18.625" style="1" customWidth="1"/>
    <col min="5367" max="5367" width="9.625" style="1" customWidth="1"/>
    <col min="5368" max="5368" width="10.5" style="1" customWidth="1"/>
    <col min="5369" max="5369" width="20.375" style="1" bestFit="1" customWidth="1"/>
    <col min="5370" max="5370" width="12.5" style="1" customWidth="1"/>
    <col min="5371" max="5371" width="13.125" style="1" customWidth="1"/>
    <col min="5372" max="5376" width="9" style="1"/>
    <col min="5377" max="5377" width="11.25" style="1" bestFit="1" customWidth="1"/>
    <col min="5378" max="5378" width="11.625" style="1" bestFit="1" customWidth="1"/>
    <col min="5379" max="5609" width="9" style="1"/>
    <col min="5610" max="5610" width="4.625" style="1" customWidth="1"/>
    <col min="5611" max="5611" width="34.625" style="1" customWidth="1"/>
    <col min="5612" max="5612" width="11.625" style="1" customWidth="1"/>
    <col min="5613" max="5614" width="6.625" style="1" customWidth="1"/>
    <col min="5615" max="5615" width="10.625" style="1" customWidth="1"/>
    <col min="5616" max="5616" width="14.625" style="1" customWidth="1"/>
    <col min="5617" max="5617" width="10.625" style="1" customWidth="1"/>
    <col min="5618" max="5618" width="14.625" style="1" customWidth="1"/>
    <col min="5619" max="5619" width="10.625" style="1" customWidth="1"/>
    <col min="5620" max="5620" width="14.625" style="1" customWidth="1"/>
    <col min="5621" max="5621" width="10.625" style="1" customWidth="1"/>
    <col min="5622" max="5622" width="18.625" style="1" customWidth="1"/>
    <col min="5623" max="5623" width="9.625" style="1" customWidth="1"/>
    <col min="5624" max="5624" width="10.5" style="1" customWidth="1"/>
    <col min="5625" max="5625" width="20.375" style="1" bestFit="1" customWidth="1"/>
    <col min="5626" max="5626" width="12.5" style="1" customWidth="1"/>
    <col min="5627" max="5627" width="13.125" style="1" customWidth="1"/>
    <col min="5628" max="5632" width="9" style="1"/>
    <col min="5633" max="5633" width="11.25" style="1" bestFit="1" customWidth="1"/>
    <col min="5634" max="5634" width="11.625" style="1" bestFit="1" customWidth="1"/>
    <col min="5635" max="5865" width="9" style="1"/>
    <col min="5866" max="5866" width="4.625" style="1" customWidth="1"/>
    <col min="5867" max="5867" width="34.625" style="1" customWidth="1"/>
    <col min="5868" max="5868" width="11.625" style="1" customWidth="1"/>
    <col min="5869" max="5870" width="6.625" style="1" customWidth="1"/>
    <col min="5871" max="5871" width="10.625" style="1" customWidth="1"/>
    <col min="5872" max="5872" width="14.625" style="1" customWidth="1"/>
    <col min="5873" max="5873" width="10.625" style="1" customWidth="1"/>
    <col min="5874" max="5874" width="14.625" style="1" customWidth="1"/>
    <col min="5875" max="5875" width="10.625" style="1" customWidth="1"/>
    <col min="5876" max="5876" width="14.625" style="1" customWidth="1"/>
    <col min="5877" max="5877" width="10.625" style="1" customWidth="1"/>
    <col min="5878" max="5878" width="18.625" style="1" customWidth="1"/>
    <col min="5879" max="5879" width="9.625" style="1" customWidth="1"/>
    <col min="5880" max="5880" width="10.5" style="1" customWidth="1"/>
    <col min="5881" max="5881" width="20.375" style="1" bestFit="1" customWidth="1"/>
    <col min="5882" max="5882" width="12.5" style="1" customWidth="1"/>
    <col min="5883" max="5883" width="13.125" style="1" customWidth="1"/>
    <col min="5884" max="5888" width="9" style="1"/>
    <col min="5889" max="5889" width="11.25" style="1" bestFit="1" customWidth="1"/>
    <col min="5890" max="5890" width="11.625" style="1" bestFit="1" customWidth="1"/>
    <col min="5891" max="6121" width="9" style="1"/>
    <col min="6122" max="6122" width="4.625" style="1" customWidth="1"/>
    <col min="6123" max="6123" width="34.625" style="1" customWidth="1"/>
    <col min="6124" max="6124" width="11.625" style="1" customWidth="1"/>
    <col min="6125" max="6126" width="6.625" style="1" customWidth="1"/>
    <col min="6127" max="6127" width="10.625" style="1" customWidth="1"/>
    <col min="6128" max="6128" width="14.625" style="1" customWidth="1"/>
    <col min="6129" max="6129" width="10.625" style="1" customWidth="1"/>
    <col min="6130" max="6130" width="14.625" style="1" customWidth="1"/>
    <col min="6131" max="6131" width="10.625" style="1" customWidth="1"/>
    <col min="6132" max="6132" width="14.625" style="1" customWidth="1"/>
    <col min="6133" max="6133" width="10.625" style="1" customWidth="1"/>
    <col min="6134" max="6134" width="18.625" style="1" customWidth="1"/>
    <col min="6135" max="6135" width="9.625" style="1" customWidth="1"/>
    <col min="6136" max="6136" width="10.5" style="1" customWidth="1"/>
    <col min="6137" max="6137" width="20.375" style="1" bestFit="1" customWidth="1"/>
    <col min="6138" max="6138" width="12.5" style="1" customWidth="1"/>
    <col min="6139" max="6139" width="13.125" style="1" customWidth="1"/>
    <col min="6140" max="6144" width="9" style="1"/>
    <col min="6145" max="6145" width="11.25" style="1" bestFit="1" customWidth="1"/>
    <col min="6146" max="6146" width="11.625" style="1" bestFit="1" customWidth="1"/>
    <col min="6147" max="6377" width="9" style="1"/>
    <col min="6378" max="6378" width="4.625" style="1" customWidth="1"/>
    <col min="6379" max="6379" width="34.625" style="1" customWidth="1"/>
    <col min="6380" max="6380" width="11.625" style="1" customWidth="1"/>
    <col min="6381" max="6382" width="6.625" style="1" customWidth="1"/>
    <col min="6383" max="6383" width="10.625" style="1" customWidth="1"/>
    <col min="6384" max="6384" width="14.625" style="1" customWidth="1"/>
    <col min="6385" max="6385" width="10.625" style="1" customWidth="1"/>
    <col min="6386" max="6386" width="14.625" style="1" customWidth="1"/>
    <col min="6387" max="6387" width="10.625" style="1" customWidth="1"/>
    <col min="6388" max="6388" width="14.625" style="1" customWidth="1"/>
    <col min="6389" max="6389" width="10.625" style="1" customWidth="1"/>
    <col min="6390" max="6390" width="18.625" style="1" customWidth="1"/>
    <col min="6391" max="6391" width="9.625" style="1" customWidth="1"/>
    <col min="6392" max="6392" width="10.5" style="1" customWidth="1"/>
    <col min="6393" max="6393" width="20.375" style="1" bestFit="1" customWidth="1"/>
    <col min="6394" max="6394" width="12.5" style="1" customWidth="1"/>
    <col min="6395" max="6395" width="13.125" style="1" customWidth="1"/>
    <col min="6396" max="6400" width="9" style="1"/>
    <col min="6401" max="6401" width="11.25" style="1" bestFit="1" customWidth="1"/>
    <col min="6402" max="6402" width="11.625" style="1" bestFit="1" customWidth="1"/>
    <col min="6403" max="6633" width="9" style="1"/>
    <col min="6634" max="6634" width="4.625" style="1" customWidth="1"/>
    <col min="6635" max="6635" width="34.625" style="1" customWidth="1"/>
    <col min="6636" max="6636" width="11.625" style="1" customWidth="1"/>
    <col min="6637" max="6638" width="6.625" style="1" customWidth="1"/>
    <col min="6639" max="6639" width="10.625" style="1" customWidth="1"/>
    <col min="6640" max="6640" width="14.625" style="1" customWidth="1"/>
    <col min="6641" max="6641" width="10.625" style="1" customWidth="1"/>
    <col min="6642" max="6642" width="14.625" style="1" customWidth="1"/>
    <col min="6643" max="6643" width="10.625" style="1" customWidth="1"/>
    <col min="6644" max="6644" width="14.625" style="1" customWidth="1"/>
    <col min="6645" max="6645" width="10.625" style="1" customWidth="1"/>
    <col min="6646" max="6646" width="18.625" style="1" customWidth="1"/>
    <col min="6647" max="6647" width="9.625" style="1" customWidth="1"/>
    <col min="6648" max="6648" width="10.5" style="1" customWidth="1"/>
    <col min="6649" max="6649" width="20.375" style="1" bestFit="1" customWidth="1"/>
    <col min="6650" max="6650" width="12.5" style="1" customWidth="1"/>
    <col min="6651" max="6651" width="13.125" style="1" customWidth="1"/>
    <col min="6652" max="6656" width="9" style="1"/>
    <col min="6657" max="6657" width="11.25" style="1" bestFit="1" customWidth="1"/>
    <col min="6658" max="6658" width="11.625" style="1" bestFit="1" customWidth="1"/>
    <col min="6659" max="6889" width="9" style="1"/>
    <col min="6890" max="6890" width="4.625" style="1" customWidth="1"/>
    <col min="6891" max="6891" width="34.625" style="1" customWidth="1"/>
    <col min="6892" max="6892" width="11.625" style="1" customWidth="1"/>
    <col min="6893" max="6894" width="6.625" style="1" customWidth="1"/>
    <col min="6895" max="6895" width="10.625" style="1" customWidth="1"/>
    <col min="6896" max="6896" width="14.625" style="1" customWidth="1"/>
    <col min="6897" max="6897" width="10.625" style="1" customWidth="1"/>
    <col min="6898" max="6898" width="14.625" style="1" customWidth="1"/>
    <col min="6899" max="6899" width="10.625" style="1" customWidth="1"/>
    <col min="6900" max="6900" width="14.625" style="1" customWidth="1"/>
    <col min="6901" max="6901" width="10.625" style="1" customWidth="1"/>
    <col min="6902" max="6902" width="18.625" style="1" customWidth="1"/>
    <col min="6903" max="6903" width="9.625" style="1" customWidth="1"/>
    <col min="6904" max="6904" width="10.5" style="1" customWidth="1"/>
    <col min="6905" max="6905" width="20.375" style="1" bestFit="1" customWidth="1"/>
    <col min="6906" max="6906" width="12.5" style="1" customWidth="1"/>
    <col min="6907" max="6907" width="13.125" style="1" customWidth="1"/>
    <col min="6908" max="6912" width="9" style="1"/>
    <col min="6913" max="6913" width="11.25" style="1" bestFit="1" customWidth="1"/>
    <col min="6914" max="6914" width="11.625" style="1" bestFit="1" customWidth="1"/>
    <col min="6915" max="7145" width="9" style="1"/>
    <col min="7146" max="7146" width="4.625" style="1" customWidth="1"/>
    <col min="7147" max="7147" width="34.625" style="1" customWidth="1"/>
    <col min="7148" max="7148" width="11.625" style="1" customWidth="1"/>
    <col min="7149" max="7150" width="6.625" style="1" customWidth="1"/>
    <col min="7151" max="7151" width="10.625" style="1" customWidth="1"/>
    <col min="7152" max="7152" width="14.625" style="1" customWidth="1"/>
    <col min="7153" max="7153" width="10.625" style="1" customWidth="1"/>
    <col min="7154" max="7154" width="14.625" style="1" customWidth="1"/>
    <col min="7155" max="7155" width="10.625" style="1" customWidth="1"/>
    <col min="7156" max="7156" width="14.625" style="1" customWidth="1"/>
    <col min="7157" max="7157" width="10.625" style="1" customWidth="1"/>
    <col min="7158" max="7158" width="18.625" style="1" customWidth="1"/>
    <col min="7159" max="7159" width="9.625" style="1" customWidth="1"/>
    <col min="7160" max="7160" width="10.5" style="1" customWidth="1"/>
    <col min="7161" max="7161" width="20.375" style="1" bestFit="1" customWidth="1"/>
    <col min="7162" max="7162" width="12.5" style="1" customWidth="1"/>
    <col min="7163" max="7163" width="13.125" style="1" customWidth="1"/>
    <col min="7164" max="7168" width="9" style="1"/>
    <col min="7169" max="7169" width="11.25" style="1" bestFit="1" customWidth="1"/>
    <col min="7170" max="7170" width="11.625" style="1" bestFit="1" customWidth="1"/>
    <col min="7171" max="7401" width="9" style="1"/>
    <col min="7402" max="7402" width="4.625" style="1" customWidth="1"/>
    <col min="7403" max="7403" width="34.625" style="1" customWidth="1"/>
    <col min="7404" max="7404" width="11.625" style="1" customWidth="1"/>
    <col min="7405" max="7406" width="6.625" style="1" customWidth="1"/>
    <col min="7407" max="7407" width="10.625" style="1" customWidth="1"/>
    <col min="7408" max="7408" width="14.625" style="1" customWidth="1"/>
    <col min="7409" max="7409" width="10.625" style="1" customWidth="1"/>
    <col min="7410" max="7410" width="14.625" style="1" customWidth="1"/>
    <col min="7411" max="7411" width="10.625" style="1" customWidth="1"/>
    <col min="7412" max="7412" width="14.625" style="1" customWidth="1"/>
    <col min="7413" max="7413" width="10.625" style="1" customWidth="1"/>
    <col min="7414" max="7414" width="18.625" style="1" customWidth="1"/>
    <col min="7415" max="7415" width="9.625" style="1" customWidth="1"/>
    <col min="7416" max="7416" width="10.5" style="1" customWidth="1"/>
    <col min="7417" max="7417" width="20.375" style="1" bestFit="1" customWidth="1"/>
    <col min="7418" max="7418" width="12.5" style="1" customWidth="1"/>
    <col min="7419" max="7419" width="13.125" style="1" customWidth="1"/>
    <col min="7420" max="7424" width="9" style="1"/>
    <col min="7425" max="7425" width="11.25" style="1" bestFit="1" customWidth="1"/>
    <col min="7426" max="7426" width="11.625" style="1" bestFit="1" customWidth="1"/>
    <col min="7427" max="7657" width="9" style="1"/>
    <col min="7658" max="7658" width="4.625" style="1" customWidth="1"/>
    <col min="7659" max="7659" width="34.625" style="1" customWidth="1"/>
    <col min="7660" max="7660" width="11.625" style="1" customWidth="1"/>
    <col min="7661" max="7662" width="6.625" style="1" customWidth="1"/>
    <col min="7663" max="7663" width="10.625" style="1" customWidth="1"/>
    <col min="7664" max="7664" width="14.625" style="1" customWidth="1"/>
    <col min="7665" max="7665" width="10.625" style="1" customWidth="1"/>
    <col min="7666" max="7666" width="14.625" style="1" customWidth="1"/>
    <col min="7667" max="7667" width="10.625" style="1" customWidth="1"/>
    <col min="7668" max="7668" width="14.625" style="1" customWidth="1"/>
    <col min="7669" max="7669" width="10.625" style="1" customWidth="1"/>
    <col min="7670" max="7670" width="18.625" style="1" customWidth="1"/>
    <col min="7671" max="7671" width="9.625" style="1" customWidth="1"/>
    <col min="7672" max="7672" width="10.5" style="1" customWidth="1"/>
    <col min="7673" max="7673" width="20.375" style="1" bestFit="1" customWidth="1"/>
    <col min="7674" max="7674" width="12.5" style="1" customWidth="1"/>
    <col min="7675" max="7675" width="13.125" style="1" customWidth="1"/>
    <col min="7676" max="7680" width="9" style="1"/>
    <col min="7681" max="7681" width="11.25" style="1" bestFit="1" customWidth="1"/>
    <col min="7682" max="7682" width="11.625" style="1" bestFit="1" customWidth="1"/>
    <col min="7683" max="7913" width="9" style="1"/>
    <col min="7914" max="7914" width="4.625" style="1" customWidth="1"/>
    <col min="7915" max="7915" width="34.625" style="1" customWidth="1"/>
    <col min="7916" max="7916" width="11.625" style="1" customWidth="1"/>
    <col min="7917" max="7918" width="6.625" style="1" customWidth="1"/>
    <col min="7919" max="7919" width="10.625" style="1" customWidth="1"/>
    <col min="7920" max="7920" width="14.625" style="1" customWidth="1"/>
    <col min="7921" max="7921" width="10.625" style="1" customWidth="1"/>
    <col min="7922" max="7922" width="14.625" style="1" customWidth="1"/>
    <col min="7923" max="7923" width="10.625" style="1" customWidth="1"/>
    <col min="7924" max="7924" width="14.625" style="1" customWidth="1"/>
    <col min="7925" max="7925" width="10.625" style="1" customWidth="1"/>
    <col min="7926" max="7926" width="18.625" style="1" customWidth="1"/>
    <col min="7927" max="7927" width="9.625" style="1" customWidth="1"/>
    <col min="7928" max="7928" width="10.5" style="1" customWidth="1"/>
    <col min="7929" max="7929" width="20.375" style="1" bestFit="1" customWidth="1"/>
    <col min="7930" max="7930" width="12.5" style="1" customWidth="1"/>
    <col min="7931" max="7931" width="13.125" style="1" customWidth="1"/>
    <col min="7932" max="7936" width="9" style="1"/>
    <col min="7937" max="7937" width="11.25" style="1" bestFit="1" customWidth="1"/>
    <col min="7938" max="7938" width="11.625" style="1" bestFit="1" customWidth="1"/>
    <col min="7939" max="8169" width="9" style="1"/>
    <col min="8170" max="8170" width="4.625" style="1" customWidth="1"/>
    <col min="8171" max="8171" width="34.625" style="1" customWidth="1"/>
    <col min="8172" max="8172" width="11.625" style="1" customWidth="1"/>
    <col min="8173" max="8174" width="6.625" style="1" customWidth="1"/>
    <col min="8175" max="8175" width="10.625" style="1" customWidth="1"/>
    <col min="8176" max="8176" width="14.625" style="1" customWidth="1"/>
    <col min="8177" max="8177" width="10.625" style="1" customWidth="1"/>
    <col min="8178" max="8178" width="14.625" style="1" customWidth="1"/>
    <col min="8179" max="8179" width="10.625" style="1" customWidth="1"/>
    <col min="8180" max="8180" width="14.625" style="1" customWidth="1"/>
    <col min="8181" max="8181" width="10.625" style="1" customWidth="1"/>
    <col min="8182" max="8182" width="18.625" style="1" customWidth="1"/>
    <col min="8183" max="8183" width="9.625" style="1" customWidth="1"/>
    <col min="8184" max="8184" width="10.5" style="1" customWidth="1"/>
    <col min="8185" max="8185" width="20.375" style="1" bestFit="1" customWidth="1"/>
    <col min="8186" max="8186" width="12.5" style="1" customWidth="1"/>
    <col min="8187" max="8187" width="13.125" style="1" customWidth="1"/>
    <col min="8188" max="8192" width="9" style="1"/>
    <col min="8193" max="8193" width="11.25" style="1" bestFit="1" customWidth="1"/>
    <col min="8194" max="8194" width="11.625" style="1" bestFit="1" customWidth="1"/>
    <col min="8195" max="8425" width="9" style="1"/>
    <col min="8426" max="8426" width="4.625" style="1" customWidth="1"/>
    <col min="8427" max="8427" width="34.625" style="1" customWidth="1"/>
    <col min="8428" max="8428" width="11.625" style="1" customWidth="1"/>
    <col min="8429" max="8430" width="6.625" style="1" customWidth="1"/>
    <col min="8431" max="8431" width="10.625" style="1" customWidth="1"/>
    <col min="8432" max="8432" width="14.625" style="1" customWidth="1"/>
    <col min="8433" max="8433" width="10.625" style="1" customWidth="1"/>
    <col min="8434" max="8434" width="14.625" style="1" customWidth="1"/>
    <col min="8435" max="8435" width="10.625" style="1" customWidth="1"/>
    <col min="8436" max="8436" width="14.625" style="1" customWidth="1"/>
    <col min="8437" max="8437" width="10.625" style="1" customWidth="1"/>
    <col min="8438" max="8438" width="18.625" style="1" customWidth="1"/>
    <col min="8439" max="8439" width="9.625" style="1" customWidth="1"/>
    <col min="8440" max="8440" width="10.5" style="1" customWidth="1"/>
    <col min="8441" max="8441" width="20.375" style="1" bestFit="1" customWidth="1"/>
    <col min="8442" max="8442" width="12.5" style="1" customWidth="1"/>
    <col min="8443" max="8443" width="13.125" style="1" customWidth="1"/>
    <col min="8444" max="8448" width="9" style="1"/>
    <col min="8449" max="8449" width="11.25" style="1" bestFit="1" customWidth="1"/>
    <col min="8450" max="8450" width="11.625" style="1" bestFit="1" customWidth="1"/>
    <col min="8451" max="8681" width="9" style="1"/>
    <col min="8682" max="8682" width="4.625" style="1" customWidth="1"/>
    <col min="8683" max="8683" width="34.625" style="1" customWidth="1"/>
    <col min="8684" max="8684" width="11.625" style="1" customWidth="1"/>
    <col min="8685" max="8686" width="6.625" style="1" customWidth="1"/>
    <col min="8687" max="8687" width="10.625" style="1" customWidth="1"/>
    <col min="8688" max="8688" width="14.625" style="1" customWidth="1"/>
    <col min="8689" max="8689" width="10.625" style="1" customWidth="1"/>
    <col min="8690" max="8690" width="14.625" style="1" customWidth="1"/>
    <col min="8691" max="8691" width="10.625" style="1" customWidth="1"/>
    <col min="8692" max="8692" width="14.625" style="1" customWidth="1"/>
    <col min="8693" max="8693" width="10.625" style="1" customWidth="1"/>
    <col min="8694" max="8694" width="18.625" style="1" customWidth="1"/>
    <col min="8695" max="8695" width="9.625" style="1" customWidth="1"/>
    <col min="8696" max="8696" width="10.5" style="1" customWidth="1"/>
    <col min="8697" max="8697" width="20.375" style="1" bestFit="1" customWidth="1"/>
    <col min="8698" max="8698" width="12.5" style="1" customWidth="1"/>
    <col min="8699" max="8699" width="13.125" style="1" customWidth="1"/>
    <col min="8700" max="8704" width="9" style="1"/>
    <col min="8705" max="8705" width="11.25" style="1" bestFit="1" customWidth="1"/>
    <col min="8706" max="8706" width="11.625" style="1" bestFit="1" customWidth="1"/>
    <col min="8707" max="8937" width="9" style="1"/>
    <col min="8938" max="8938" width="4.625" style="1" customWidth="1"/>
    <col min="8939" max="8939" width="34.625" style="1" customWidth="1"/>
    <col min="8940" max="8940" width="11.625" style="1" customWidth="1"/>
    <col min="8941" max="8942" width="6.625" style="1" customWidth="1"/>
    <col min="8943" max="8943" width="10.625" style="1" customWidth="1"/>
    <col min="8944" max="8944" width="14.625" style="1" customWidth="1"/>
    <col min="8945" max="8945" width="10.625" style="1" customWidth="1"/>
    <col min="8946" max="8946" width="14.625" style="1" customWidth="1"/>
    <col min="8947" max="8947" width="10.625" style="1" customWidth="1"/>
    <col min="8948" max="8948" width="14.625" style="1" customWidth="1"/>
    <col min="8949" max="8949" width="10.625" style="1" customWidth="1"/>
    <col min="8950" max="8950" width="18.625" style="1" customWidth="1"/>
    <col min="8951" max="8951" width="9.625" style="1" customWidth="1"/>
    <col min="8952" max="8952" width="10.5" style="1" customWidth="1"/>
    <col min="8953" max="8953" width="20.375" style="1" bestFit="1" customWidth="1"/>
    <col min="8954" max="8954" width="12.5" style="1" customWidth="1"/>
    <col min="8955" max="8955" width="13.125" style="1" customWidth="1"/>
    <col min="8956" max="8960" width="9" style="1"/>
    <col min="8961" max="8961" width="11.25" style="1" bestFit="1" customWidth="1"/>
    <col min="8962" max="8962" width="11.625" style="1" bestFit="1" customWidth="1"/>
    <col min="8963" max="9193" width="9" style="1"/>
    <col min="9194" max="9194" width="4.625" style="1" customWidth="1"/>
    <col min="9195" max="9195" width="34.625" style="1" customWidth="1"/>
    <col min="9196" max="9196" width="11.625" style="1" customWidth="1"/>
    <col min="9197" max="9198" width="6.625" style="1" customWidth="1"/>
    <col min="9199" max="9199" width="10.625" style="1" customWidth="1"/>
    <col min="9200" max="9200" width="14.625" style="1" customWidth="1"/>
    <col min="9201" max="9201" width="10.625" style="1" customWidth="1"/>
    <col min="9202" max="9202" width="14.625" style="1" customWidth="1"/>
    <col min="9203" max="9203" width="10.625" style="1" customWidth="1"/>
    <col min="9204" max="9204" width="14.625" style="1" customWidth="1"/>
    <col min="9205" max="9205" width="10.625" style="1" customWidth="1"/>
    <col min="9206" max="9206" width="18.625" style="1" customWidth="1"/>
    <col min="9207" max="9207" width="9.625" style="1" customWidth="1"/>
    <col min="9208" max="9208" width="10.5" style="1" customWidth="1"/>
    <col min="9209" max="9209" width="20.375" style="1" bestFit="1" customWidth="1"/>
    <col min="9210" max="9210" width="12.5" style="1" customWidth="1"/>
    <col min="9211" max="9211" width="13.125" style="1" customWidth="1"/>
    <col min="9212" max="9216" width="9" style="1"/>
    <col min="9217" max="9217" width="11.25" style="1" bestFit="1" customWidth="1"/>
    <col min="9218" max="9218" width="11.625" style="1" bestFit="1" customWidth="1"/>
    <col min="9219" max="9449" width="9" style="1"/>
    <col min="9450" max="9450" width="4.625" style="1" customWidth="1"/>
    <col min="9451" max="9451" width="34.625" style="1" customWidth="1"/>
    <col min="9452" max="9452" width="11.625" style="1" customWidth="1"/>
    <col min="9453" max="9454" width="6.625" style="1" customWidth="1"/>
    <col min="9455" max="9455" width="10.625" style="1" customWidth="1"/>
    <col min="9456" max="9456" width="14.625" style="1" customWidth="1"/>
    <col min="9457" max="9457" width="10.625" style="1" customWidth="1"/>
    <col min="9458" max="9458" width="14.625" style="1" customWidth="1"/>
    <col min="9459" max="9459" width="10.625" style="1" customWidth="1"/>
    <col min="9460" max="9460" width="14.625" style="1" customWidth="1"/>
    <col min="9461" max="9461" width="10.625" style="1" customWidth="1"/>
    <col min="9462" max="9462" width="18.625" style="1" customWidth="1"/>
    <col min="9463" max="9463" width="9.625" style="1" customWidth="1"/>
    <col min="9464" max="9464" width="10.5" style="1" customWidth="1"/>
    <col min="9465" max="9465" width="20.375" style="1" bestFit="1" customWidth="1"/>
    <col min="9466" max="9466" width="12.5" style="1" customWidth="1"/>
    <col min="9467" max="9467" width="13.125" style="1" customWidth="1"/>
    <col min="9468" max="9472" width="9" style="1"/>
    <col min="9473" max="9473" width="11.25" style="1" bestFit="1" customWidth="1"/>
    <col min="9474" max="9474" width="11.625" style="1" bestFit="1" customWidth="1"/>
    <col min="9475" max="9705" width="9" style="1"/>
    <col min="9706" max="9706" width="4.625" style="1" customWidth="1"/>
    <col min="9707" max="9707" width="34.625" style="1" customWidth="1"/>
    <col min="9708" max="9708" width="11.625" style="1" customWidth="1"/>
    <col min="9709" max="9710" width="6.625" style="1" customWidth="1"/>
    <col min="9711" max="9711" width="10.625" style="1" customWidth="1"/>
    <col min="9712" max="9712" width="14.625" style="1" customWidth="1"/>
    <col min="9713" max="9713" width="10.625" style="1" customWidth="1"/>
    <col min="9714" max="9714" width="14.625" style="1" customWidth="1"/>
    <col min="9715" max="9715" width="10.625" style="1" customWidth="1"/>
    <col min="9716" max="9716" width="14.625" style="1" customWidth="1"/>
    <col min="9717" max="9717" width="10.625" style="1" customWidth="1"/>
    <col min="9718" max="9718" width="18.625" style="1" customWidth="1"/>
    <col min="9719" max="9719" width="9.625" style="1" customWidth="1"/>
    <col min="9720" max="9720" width="10.5" style="1" customWidth="1"/>
    <col min="9721" max="9721" width="20.375" style="1" bestFit="1" customWidth="1"/>
    <col min="9722" max="9722" width="12.5" style="1" customWidth="1"/>
    <col min="9723" max="9723" width="13.125" style="1" customWidth="1"/>
    <col min="9724" max="9728" width="9" style="1"/>
    <col min="9729" max="9729" width="11.25" style="1" bestFit="1" customWidth="1"/>
    <col min="9730" max="9730" width="11.625" style="1" bestFit="1" customWidth="1"/>
    <col min="9731" max="9961" width="9" style="1"/>
    <col min="9962" max="9962" width="4.625" style="1" customWidth="1"/>
    <col min="9963" max="9963" width="34.625" style="1" customWidth="1"/>
    <col min="9964" max="9964" width="11.625" style="1" customWidth="1"/>
    <col min="9965" max="9966" width="6.625" style="1" customWidth="1"/>
    <col min="9967" max="9967" width="10.625" style="1" customWidth="1"/>
    <col min="9968" max="9968" width="14.625" style="1" customWidth="1"/>
    <col min="9969" max="9969" width="10.625" style="1" customWidth="1"/>
    <col min="9970" max="9970" width="14.625" style="1" customWidth="1"/>
    <col min="9971" max="9971" width="10.625" style="1" customWidth="1"/>
    <col min="9972" max="9972" width="14.625" style="1" customWidth="1"/>
    <col min="9973" max="9973" width="10.625" style="1" customWidth="1"/>
    <col min="9974" max="9974" width="18.625" style="1" customWidth="1"/>
    <col min="9975" max="9975" width="9.625" style="1" customWidth="1"/>
    <col min="9976" max="9976" width="10.5" style="1" customWidth="1"/>
    <col min="9977" max="9977" width="20.375" style="1" bestFit="1" customWidth="1"/>
    <col min="9978" max="9978" width="12.5" style="1" customWidth="1"/>
    <col min="9979" max="9979" width="13.125" style="1" customWidth="1"/>
    <col min="9980" max="9984" width="9" style="1"/>
    <col min="9985" max="9985" width="11.25" style="1" bestFit="1" customWidth="1"/>
    <col min="9986" max="9986" width="11.625" style="1" bestFit="1" customWidth="1"/>
    <col min="9987" max="10217" width="9" style="1"/>
    <col min="10218" max="10218" width="4.625" style="1" customWidth="1"/>
    <col min="10219" max="10219" width="34.625" style="1" customWidth="1"/>
    <col min="10220" max="10220" width="11.625" style="1" customWidth="1"/>
    <col min="10221" max="10222" width="6.625" style="1" customWidth="1"/>
    <col min="10223" max="10223" width="10.625" style="1" customWidth="1"/>
    <col min="10224" max="10224" width="14.625" style="1" customWidth="1"/>
    <col min="10225" max="10225" width="10.625" style="1" customWidth="1"/>
    <col min="10226" max="10226" width="14.625" style="1" customWidth="1"/>
    <col min="10227" max="10227" width="10.625" style="1" customWidth="1"/>
    <col min="10228" max="10228" width="14.625" style="1" customWidth="1"/>
    <col min="10229" max="10229" width="10.625" style="1" customWidth="1"/>
    <col min="10230" max="10230" width="18.625" style="1" customWidth="1"/>
    <col min="10231" max="10231" width="9.625" style="1" customWidth="1"/>
    <col min="10232" max="10232" width="10.5" style="1" customWidth="1"/>
    <col min="10233" max="10233" width="20.375" style="1" bestFit="1" customWidth="1"/>
    <col min="10234" max="10234" width="12.5" style="1" customWidth="1"/>
    <col min="10235" max="10235" width="13.125" style="1" customWidth="1"/>
    <col min="10236" max="10240" width="9" style="1"/>
    <col min="10241" max="10241" width="11.25" style="1" bestFit="1" customWidth="1"/>
    <col min="10242" max="10242" width="11.625" style="1" bestFit="1" customWidth="1"/>
    <col min="10243" max="10473" width="9" style="1"/>
    <col min="10474" max="10474" width="4.625" style="1" customWidth="1"/>
    <col min="10475" max="10475" width="34.625" style="1" customWidth="1"/>
    <col min="10476" max="10476" width="11.625" style="1" customWidth="1"/>
    <col min="10477" max="10478" width="6.625" style="1" customWidth="1"/>
    <col min="10479" max="10479" width="10.625" style="1" customWidth="1"/>
    <col min="10480" max="10480" width="14.625" style="1" customWidth="1"/>
    <col min="10481" max="10481" width="10.625" style="1" customWidth="1"/>
    <col min="10482" max="10482" width="14.625" style="1" customWidth="1"/>
    <col min="10483" max="10483" width="10.625" style="1" customWidth="1"/>
    <col min="10484" max="10484" width="14.625" style="1" customWidth="1"/>
    <col min="10485" max="10485" width="10.625" style="1" customWidth="1"/>
    <col min="10486" max="10486" width="18.625" style="1" customWidth="1"/>
    <col min="10487" max="10487" width="9.625" style="1" customWidth="1"/>
    <col min="10488" max="10488" width="10.5" style="1" customWidth="1"/>
    <col min="10489" max="10489" width="20.375" style="1" bestFit="1" customWidth="1"/>
    <col min="10490" max="10490" width="12.5" style="1" customWidth="1"/>
    <col min="10491" max="10491" width="13.125" style="1" customWidth="1"/>
    <col min="10492" max="10496" width="9" style="1"/>
    <col min="10497" max="10497" width="11.25" style="1" bestFit="1" customWidth="1"/>
    <col min="10498" max="10498" width="11.625" style="1" bestFit="1" customWidth="1"/>
    <col min="10499" max="10729" width="9" style="1"/>
    <col min="10730" max="10730" width="4.625" style="1" customWidth="1"/>
    <col min="10731" max="10731" width="34.625" style="1" customWidth="1"/>
    <col min="10732" max="10732" width="11.625" style="1" customWidth="1"/>
    <col min="10733" max="10734" width="6.625" style="1" customWidth="1"/>
    <col min="10735" max="10735" width="10.625" style="1" customWidth="1"/>
    <col min="10736" max="10736" width="14.625" style="1" customWidth="1"/>
    <col min="10737" max="10737" width="10.625" style="1" customWidth="1"/>
    <col min="10738" max="10738" width="14.625" style="1" customWidth="1"/>
    <col min="10739" max="10739" width="10.625" style="1" customWidth="1"/>
    <col min="10740" max="10740" width="14.625" style="1" customWidth="1"/>
    <col min="10741" max="10741" width="10.625" style="1" customWidth="1"/>
    <col min="10742" max="10742" width="18.625" style="1" customWidth="1"/>
    <col min="10743" max="10743" width="9.625" style="1" customWidth="1"/>
    <col min="10744" max="10744" width="10.5" style="1" customWidth="1"/>
    <col min="10745" max="10745" width="20.375" style="1" bestFit="1" customWidth="1"/>
    <col min="10746" max="10746" width="12.5" style="1" customWidth="1"/>
    <col min="10747" max="10747" width="13.125" style="1" customWidth="1"/>
    <col min="10748" max="10752" width="9" style="1"/>
    <col min="10753" max="10753" width="11.25" style="1" bestFit="1" customWidth="1"/>
    <col min="10754" max="10754" width="11.625" style="1" bestFit="1" customWidth="1"/>
    <col min="10755" max="10985" width="9" style="1"/>
    <col min="10986" max="10986" width="4.625" style="1" customWidth="1"/>
    <col min="10987" max="10987" width="34.625" style="1" customWidth="1"/>
    <col min="10988" max="10988" width="11.625" style="1" customWidth="1"/>
    <col min="10989" max="10990" width="6.625" style="1" customWidth="1"/>
    <col min="10991" max="10991" width="10.625" style="1" customWidth="1"/>
    <col min="10992" max="10992" width="14.625" style="1" customWidth="1"/>
    <col min="10993" max="10993" width="10.625" style="1" customWidth="1"/>
    <col min="10994" max="10994" width="14.625" style="1" customWidth="1"/>
    <col min="10995" max="10995" width="10.625" style="1" customWidth="1"/>
    <col min="10996" max="10996" width="14.625" style="1" customWidth="1"/>
    <col min="10997" max="10997" width="10.625" style="1" customWidth="1"/>
    <col min="10998" max="10998" width="18.625" style="1" customWidth="1"/>
    <col min="10999" max="10999" width="9.625" style="1" customWidth="1"/>
    <col min="11000" max="11000" width="10.5" style="1" customWidth="1"/>
    <col min="11001" max="11001" width="20.375" style="1" bestFit="1" customWidth="1"/>
    <col min="11002" max="11002" width="12.5" style="1" customWidth="1"/>
    <col min="11003" max="11003" width="13.125" style="1" customWidth="1"/>
    <col min="11004" max="11008" width="9" style="1"/>
    <col min="11009" max="11009" width="11.25" style="1" bestFit="1" customWidth="1"/>
    <col min="11010" max="11010" width="11.625" style="1" bestFit="1" customWidth="1"/>
    <col min="11011" max="11241" width="9" style="1"/>
    <col min="11242" max="11242" width="4.625" style="1" customWidth="1"/>
    <col min="11243" max="11243" width="34.625" style="1" customWidth="1"/>
    <col min="11244" max="11244" width="11.625" style="1" customWidth="1"/>
    <col min="11245" max="11246" width="6.625" style="1" customWidth="1"/>
    <col min="11247" max="11247" width="10.625" style="1" customWidth="1"/>
    <col min="11248" max="11248" width="14.625" style="1" customWidth="1"/>
    <col min="11249" max="11249" width="10.625" style="1" customWidth="1"/>
    <col min="11250" max="11250" width="14.625" style="1" customWidth="1"/>
    <col min="11251" max="11251" width="10.625" style="1" customWidth="1"/>
    <col min="11252" max="11252" width="14.625" style="1" customWidth="1"/>
    <col min="11253" max="11253" width="10.625" style="1" customWidth="1"/>
    <col min="11254" max="11254" width="18.625" style="1" customWidth="1"/>
    <col min="11255" max="11255" width="9.625" style="1" customWidth="1"/>
    <col min="11256" max="11256" width="10.5" style="1" customWidth="1"/>
    <col min="11257" max="11257" width="20.375" style="1" bestFit="1" customWidth="1"/>
    <col min="11258" max="11258" width="12.5" style="1" customWidth="1"/>
    <col min="11259" max="11259" width="13.125" style="1" customWidth="1"/>
    <col min="11260" max="11264" width="9" style="1"/>
    <col min="11265" max="11265" width="11.25" style="1" bestFit="1" customWidth="1"/>
    <col min="11266" max="11266" width="11.625" style="1" bestFit="1" customWidth="1"/>
    <col min="11267" max="11497" width="9" style="1"/>
    <col min="11498" max="11498" width="4.625" style="1" customWidth="1"/>
    <col min="11499" max="11499" width="34.625" style="1" customWidth="1"/>
    <col min="11500" max="11500" width="11.625" style="1" customWidth="1"/>
    <col min="11501" max="11502" width="6.625" style="1" customWidth="1"/>
    <col min="11503" max="11503" width="10.625" style="1" customWidth="1"/>
    <col min="11504" max="11504" width="14.625" style="1" customWidth="1"/>
    <col min="11505" max="11505" width="10.625" style="1" customWidth="1"/>
    <col min="11506" max="11506" width="14.625" style="1" customWidth="1"/>
    <col min="11507" max="11507" width="10.625" style="1" customWidth="1"/>
    <col min="11508" max="11508" width="14.625" style="1" customWidth="1"/>
    <col min="11509" max="11509" width="10.625" style="1" customWidth="1"/>
    <col min="11510" max="11510" width="18.625" style="1" customWidth="1"/>
    <col min="11511" max="11511" width="9.625" style="1" customWidth="1"/>
    <col min="11512" max="11512" width="10.5" style="1" customWidth="1"/>
    <col min="11513" max="11513" width="20.375" style="1" bestFit="1" customWidth="1"/>
    <col min="11514" max="11514" width="12.5" style="1" customWidth="1"/>
    <col min="11515" max="11515" width="13.125" style="1" customWidth="1"/>
    <col min="11516" max="11520" width="9" style="1"/>
    <col min="11521" max="11521" width="11.25" style="1" bestFit="1" customWidth="1"/>
    <col min="11522" max="11522" width="11.625" style="1" bestFit="1" customWidth="1"/>
    <col min="11523" max="11753" width="9" style="1"/>
    <col min="11754" max="11754" width="4.625" style="1" customWidth="1"/>
    <col min="11755" max="11755" width="34.625" style="1" customWidth="1"/>
    <col min="11756" max="11756" width="11.625" style="1" customWidth="1"/>
    <col min="11757" max="11758" width="6.625" style="1" customWidth="1"/>
    <col min="11759" max="11759" width="10.625" style="1" customWidth="1"/>
    <col min="11760" max="11760" width="14.625" style="1" customWidth="1"/>
    <col min="11761" max="11761" width="10.625" style="1" customWidth="1"/>
    <col min="11762" max="11762" width="14.625" style="1" customWidth="1"/>
    <col min="11763" max="11763" width="10.625" style="1" customWidth="1"/>
    <col min="11764" max="11764" width="14.625" style="1" customWidth="1"/>
    <col min="11765" max="11765" width="10.625" style="1" customWidth="1"/>
    <col min="11766" max="11766" width="18.625" style="1" customWidth="1"/>
    <col min="11767" max="11767" width="9.625" style="1" customWidth="1"/>
    <col min="11768" max="11768" width="10.5" style="1" customWidth="1"/>
    <col min="11769" max="11769" width="20.375" style="1" bestFit="1" customWidth="1"/>
    <col min="11770" max="11770" width="12.5" style="1" customWidth="1"/>
    <col min="11771" max="11771" width="13.125" style="1" customWidth="1"/>
    <col min="11772" max="11776" width="9" style="1"/>
    <col min="11777" max="11777" width="11.25" style="1" bestFit="1" customWidth="1"/>
    <col min="11778" max="11778" width="11.625" style="1" bestFit="1" customWidth="1"/>
    <col min="11779" max="12009" width="9" style="1"/>
    <col min="12010" max="12010" width="4.625" style="1" customWidth="1"/>
    <col min="12011" max="12011" width="34.625" style="1" customWidth="1"/>
    <col min="12012" max="12012" width="11.625" style="1" customWidth="1"/>
    <col min="12013" max="12014" width="6.625" style="1" customWidth="1"/>
    <col min="12015" max="12015" width="10.625" style="1" customWidth="1"/>
    <col min="12016" max="12016" width="14.625" style="1" customWidth="1"/>
    <col min="12017" max="12017" width="10.625" style="1" customWidth="1"/>
    <col min="12018" max="12018" width="14.625" style="1" customWidth="1"/>
    <col min="12019" max="12019" width="10.625" style="1" customWidth="1"/>
    <col min="12020" max="12020" width="14.625" style="1" customWidth="1"/>
    <col min="12021" max="12021" width="10.625" style="1" customWidth="1"/>
    <col min="12022" max="12022" width="18.625" style="1" customWidth="1"/>
    <col min="12023" max="12023" width="9.625" style="1" customWidth="1"/>
    <col min="12024" max="12024" width="10.5" style="1" customWidth="1"/>
    <col min="12025" max="12025" width="20.375" style="1" bestFit="1" customWidth="1"/>
    <col min="12026" max="12026" width="12.5" style="1" customWidth="1"/>
    <col min="12027" max="12027" width="13.125" style="1" customWidth="1"/>
    <col min="12028" max="12032" width="9" style="1"/>
    <col min="12033" max="12033" width="11.25" style="1" bestFit="1" customWidth="1"/>
    <col min="12034" max="12034" width="11.625" style="1" bestFit="1" customWidth="1"/>
    <col min="12035" max="12265" width="9" style="1"/>
    <col min="12266" max="12266" width="4.625" style="1" customWidth="1"/>
    <col min="12267" max="12267" width="34.625" style="1" customWidth="1"/>
    <col min="12268" max="12268" width="11.625" style="1" customWidth="1"/>
    <col min="12269" max="12270" width="6.625" style="1" customWidth="1"/>
    <col min="12271" max="12271" width="10.625" style="1" customWidth="1"/>
    <col min="12272" max="12272" width="14.625" style="1" customWidth="1"/>
    <col min="12273" max="12273" width="10.625" style="1" customWidth="1"/>
    <col min="12274" max="12274" width="14.625" style="1" customWidth="1"/>
    <col min="12275" max="12275" width="10.625" style="1" customWidth="1"/>
    <col min="12276" max="12276" width="14.625" style="1" customWidth="1"/>
    <col min="12277" max="12277" width="10.625" style="1" customWidth="1"/>
    <col min="12278" max="12278" width="18.625" style="1" customWidth="1"/>
    <col min="12279" max="12279" width="9.625" style="1" customWidth="1"/>
    <col min="12280" max="12280" width="10.5" style="1" customWidth="1"/>
    <col min="12281" max="12281" width="20.375" style="1" bestFit="1" customWidth="1"/>
    <col min="12282" max="12282" width="12.5" style="1" customWidth="1"/>
    <col min="12283" max="12283" width="13.125" style="1" customWidth="1"/>
    <col min="12284" max="12288" width="9" style="1"/>
    <col min="12289" max="12289" width="11.25" style="1" bestFit="1" customWidth="1"/>
    <col min="12290" max="12290" width="11.625" style="1" bestFit="1" customWidth="1"/>
    <col min="12291" max="12521" width="9" style="1"/>
    <col min="12522" max="12522" width="4.625" style="1" customWidth="1"/>
    <col min="12523" max="12523" width="34.625" style="1" customWidth="1"/>
    <col min="12524" max="12524" width="11.625" style="1" customWidth="1"/>
    <col min="12525" max="12526" width="6.625" style="1" customWidth="1"/>
    <col min="12527" max="12527" width="10.625" style="1" customWidth="1"/>
    <col min="12528" max="12528" width="14.625" style="1" customWidth="1"/>
    <col min="12529" max="12529" width="10.625" style="1" customWidth="1"/>
    <col min="12530" max="12530" width="14.625" style="1" customWidth="1"/>
    <col min="12531" max="12531" width="10.625" style="1" customWidth="1"/>
    <col min="12532" max="12532" width="14.625" style="1" customWidth="1"/>
    <col min="12533" max="12533" width="10.625" style="1" customWidth="1"/>
    <col min="12534" max="12534" width="18.625" style="1" customWidth="1"/>
    <col min="12535" max="12535" width="9.625" style="1" customWidth="1"/>
    <col min="12536" max="12536" width="10.5" style="1" customWidth="1"/>
    <col min="12537" max="12537" width="20.375" style="1" bestFit="1" customWidth="1"/>
    <col min="12538" max="12538" width="12.5" style="1" customWidth="1"/>
    <col min="12539" max="12539" width="13.125" style="1" customWidth="1"/>
    <col min="12540" max="12544" width="9" style="1"/>
    <col min="12545" max="12545" width="11.25" style="1" bestFit="1" customWidth="1"/>
    <col min="12546" max="12546" width="11.625" style="1" bestFit="1" customWidth="1"/>
    <col min="12547" max="12777" width="9" style="1"/>
    <col min="12778" max="12778" width="4.625" style="1" customWidth="1"/>
    <col min="12779" max="12779" width="34.625" style="1" customWidth="1"/>
    <col min="12780" max="12780" width="11.625" style="1" customWidth="1"/>
    <col min="12781" max="12782" width="6.625" style="1" customWidth="1"/>
    <col min="12783" max="12783" width="10.625" style="1" customWidth="1"/>
    <col min="12784" max="12784" width="14.625" style="1" customWidth="1"/>
    <col min="12785" max="12785" width="10.625" style="1" customWidth="1"/>
    <col min="12786" max="12786" width="14.625" style="1" customWidth="1"/>
    <col min="12787" max="12787" width="10.625" style="1" customWidth="1"/>
    <col min="12788" max="12788" width="14.625" style="1" customWidth="1"/>
    <col min="12789" max="12789" width="10.625" style="1" customWidth="1"/>
    <col min="12790" max="12790" width="18.625" style="1" customWidth="1"/>
    <col min="12791" max="12791" width="9.625" style="1" customWidth="1"/>
    <col min="12792" max="12792" width="10.5" style="1" customWidth="1"/>
    <col min="12793" max="12793" width="20.375" style="1" bestFit="1" customWidth="1"/>
    <col min="12794" max="12794" width="12.5" style="1" customWidth="1"/>
    <col min="12795" max="12795" width="13.125" style="1" customWidth="1"/>
    <col min="12796" max="12800" width="9" style="1"/>
    <col min="12801" max="12801" width="11.25" style="1" bestFit="1" customWidth="1"/>
    <col min="12802" max="12802" width="11.625" style="1" bestFit="1" customWidth="1"/>
    <col min="12803" max="13033" width="9" style="1"/>
    <col min="13034" max="13034" width="4.625" style="1" customWidth="1"/>
    <col min="13035" max="13035" width="34.625" style="1" customWidth="1"/>
    <col min="13036" max="13036" width="11.625" style="1" customWidth="1"/>
    <col min="13037" max="13038" width="6.625" style="1" customWidth="1"/>
    <col min="13039" max="13039" width="10.625" style="1" customWidth="1"/>
    <col min="13040" max="13040" width="14.625" style="1" customWidth="1"/>
    <col min="13041" max="13041" width="10.625" style="1" customWidth="1"/>
    <col min="13042" max="13042" width="14.625" style="1" customWidth="1"/>
    <col min="13043" max="13043" width="10.625" style="1" customWidth="1"/>
    <col min="13044" max="13044" width="14.625" style="1" customWidth="1"/>
    <col min="13045" max="13045" width="10.625" style="1" customWidth="1"/>
    <col min="13046" max="13046" width="18.625" style="1" customWidth="1"/>
    <col min="13047" max="13047" width="9.625" style="1" customWidth="1"/>
    <col min="13048" max="13048" width="10.5" style="1" customWidth="1"/>
    <col min="13049" max="13049" width="20.375" style="1" bestFit="1" customWidth="1"/>
    <col min="13050" max="13050" width="12.5" style="1" customWidth="1"/>
    <col min="13051" max="13051" width="13.125" style="1" customWidth="1"/>
    <col min="13052" max="13056" width="9" style="1"/>
    <col min="13057" max="13057" width="11.25" style="1" bestFit="1" customWidth="1"/>
    <col min="13058" max="13058" width="11.625" style="1" bestFit="1" customWidth="1"/>
    <col min="13059" max="13289" width="9" style="1"/>
    <col min="13290" max="13290" width="4.625" style="1" customWidth="1"/>
    <col min="13291" max="13291" width="34.625" style="1" customWidth="1"/>
    <col min="13292" max="13292" width="11.625" style="1" customWidth="1"/>
    <col min="13293" max="13294" width="6.625" style="1" customWidth="1"/>
    <col min="13295" max="13295" width="10.625" style="1" customWidth="1"/>
    <col min="13296" max="13296" width="14.625" style="1" customWidth="1"/>
    <col min="13297" max="13297" width="10.625" style="1" customWidth="1"/>
    <col min="13298" max="13298" width="14.625" style="1" customWidth="1"/>
    <col min="13299" max="13299" width="10.625" style="1" customWidth="1"/>
    <col min="13300" max="13300" width="14.625" style="1" customWidth="1"/>
    <col min="13301" max="13301" width="10.625" style="1" customWidth="1"/>
    <col min="13302" max="13302" width="18.625" style="1" customWidth="1"/>
    <col min="13303" max="13303" width="9.625" style="1" customWidth="1"/>
    <col min="13304" max="13304" width="10.5" style="1" customWidth="1"/>
    <col min="13305" max="13305" width="20.375" style="1" bestFit="1" customWidth="1"/>
    <col min="13306" max="13306" width="12.5" style="1" customWidth="1"/>
    <col min="13307" max="13307" width="13.125" style="1" customWidth="1"/>
    <col min="13308" max="13312" width="9" style="1"/>
    <col min="13313" max="13313" width="11.25" style="1" bestFit="1" customWidth="1"/>
    <col min="13314" max="13314" width="11.625" style="1" bestFit="1" customWidth="1"/>
    <col min="13315" max="13545" width="9" style="1"/>
    <col min="13546" max="13546" width="4.625" style="1" customWidth="1"/>
    <col min="13547" max="13547" width="34.625" style="1" customWidth="1"/>
    <col min="13548" max="13548" width="11.625" style="1" customWidth="1"/>
    <col min="13549" max="13550" width="6.625" style="1" customWidth="1"/>
    <col min="13551" max="13551" width="10.625" style="1" customWidth="1"/>
    <col min="13552" max="13552" width="14.625" style="1" customWidth="1"/>
    <col min="13553" max="13553" width="10.625" style="1" customWidth="1"/>
    <col min="13554" max="13554" width="14.625" style="1" customWidth="1"/>
    <col min="13555" max="13555" width="10.625" style="1" customWidth="1"/>
    <col min="13556" max="13556" width="14.625" style="1" customWidth="1"/>
    <col min="13557" max="13557" width="10.625" style="1" customWidth="1"/>
    <col min="13558" max="13558" width="18.625" style="1" customWidth="1"/>
    <col min="13559" max="13559" width="9.625" style="1" customWidth="1"/>
    <col min="13560" max="13560" width="10.5" style="1" customWidth="1"/>
    <col min="13561" max="13561" width="20.375" style="1" bestFit="1" customWidth="1"/>
    <col min="13562" max="13562" width="12.5" style="1" customWidth="1"/>
    <col min="13563" max="13563" width="13.125" style="1" customWidth="1"/>
    <col min="13564" max="13568" width="9" style="1"/>
    <col min="13569" max="13569" width="11.25" style="1" bestFit="1" customWidth="1"/>
    <col min="13570" max="13570" width="11.625" style="1" bestFit="1" customWidth="1"/>
    <col min="13571" max="13801" width="9" style="1"/>
    <col min="13802" max="13802" width="4.625" style="1" customWidth="1"/>
    <col min="13803" max="13803" width="34.625" style="1" customWidth="1"/>
    <col min="13804" max="13804" width="11.625" style="1" customWidth="1"/>
    <col min="13805" max="13806" width="6.625" style="1" customWidth="1"/>
    <col min="13807" max="13807" width="10.625" style="1" customWidth="1"/>
    <col min="13808" max="13808" width="14.625" style="1" customWidth="1"/>
    <col min="13809" max="13809" width="10.625" style="1" customWidth="1"/>
    <col min="13810" max="13810" width="14.625" style="1" customWidth="1"/>
    <col min="13811" max="13811" width="10.625" style="1" customWidth="1"/>
    <col min="13812" max="13812" width="14.625" style="1" customWidth="1"/>
    <col min="13813" max="13813" width="10.625" style="1" customWidth="1"/>
    <col min="13814" max="13814" width="18.625" style="1" customWidth="1"/>
    <col min="13815" max="13815" width="9.625" style="1" customWidth="1"/>
    <col min="13816" max="13816" width="10.5" style="1" customWidth="1"/>
    <col min="13817" max="13817" width="20.375" style="1" bestFit="1" customWidth="1"/>
    <col min="13818" max="13818" width="12.5" style="1" customWidth="1"/>
    <col min="13819" max="13819" width="13.125" style="1" customWidth="1"/>
    <col min="13820" max="13824" width="9" style="1"/>
    <col min="13825" max="13825" width="11.25" style="1" bestFit="1" customWidth="1"/>
    <col min="13826" max="13826" width="11.625" style="1" bestFit="1" customWidth="1"/>
    <col min="13827" max="14057" width="9" style="1"/>
    <col min="14058" max="14058" width="4.625" style="1" customWidth="1"/>
    <col min="14059" max="14059" width="34.625" style="1" customWidth="1"/>
    <col min="14060" max="14060" width="11.625" style="1" customWidth="1"/>
    <col min="14061" max="14062" width="6.625" style="1" customWidth="1"/>
    <col min="14063" max="14063" width="10.625" style="1" customWidth="1"/>
    <col min="14064" max="14064" width="14.625" style="1" customWidth="1"/>
    <col min="14065" max="14065" width="10.625" style="1" customWidth="1"/>
    <col min="14066" max="14066" width="14.625" style="1" customWidth="1"/>
    <col min="14067" max="14067" width="10.625" style="1" customWidth="1"/>
    <col min="14068" max="14068" width="14.625" style="1" customWidth="1"/>
    <col min="14069" max="14069" width="10.625" style="1" customWidth="1"/>
    <col min="14070" max="14070" width="18.625" style="1" customWidth="1"/>
    <col min="14071" max="14071" width="9.625" style="1" customWidth="1"/>
    <col min="14072" max="14072" width="10.5" style="1" customWidth="1"/>
    <col min="14073" max="14073" width="20.375" style="1" bestFit="1" customWidth="1"/>
    <col min="14074" max="14074" width="12.5" style="1" customWidth="1"/>
    <col min="14075" max="14075" width="13.125" style="1" customWidth="1"/>
    <col min="14076" max="14080" width="9" style="1"/>
    <col min="14081" max="14081" width="11.25" style="1" bestFit="1" customWidth="1"/>
    <col min="14082" max="14082" width="11.625" style="1" bestFit="1" customWidth="1"/>
    <col min="14083" max="14313" width="9" style="1"/>
    <col min="14314" max="14314" width="4.625" style="1" customWidth="1"/>
    <col min="14315" max="14315" width="34.625" style="1" customWidth="1"/>
    <col min="14316" max="14316" width="11.625" style="1" customWidth="1"/>
    <col min="14317" max="14318" width="6.625" style="1" customWidth="1"/>
    <col min="14319" max="14319" width="10.625" style="1" customWidth="1"/>
    <col min="14320" max="14320" width="14.625" style="1" customWidth="1"/>
    <col min="14321" max="14321" width="10.625" style="1" customWidth="1"/>
    <col min="14322" max="14322" width="14.625" style="1" customWidth="1"/>
    <col min="14323" max="14323" width="10.625" style="1" customWidth="1"/>
    <col min="14324" max="14324" width="14.625" style="1" customWidth="1"/>
    <col min="14325" max="14325" width="10.625" style="1" customWidth="1"/>
    <col min="14326" max="14326" width="18.625" style="1" customWidth="1"/>
    <col min="14327" max="14327" width="9.625" style="1" customWidth="1"/>
    <col min="14328" max="14328" width="10.5" style="1" customWidth="1"/>
    <col min="14329" max="14329" width="20.375" style="1" bestFit="1" customWidth="1"/>
    <col min="14330" max="14330" width="12.5" style="1" customWidth="1"/>
    <col min="14331" max="14331" width="13.125" style="1" customWidth="1"/>
    <col min="14332" max="14336" width="9" style="1"/>
    <col min="14337" max="14337" width="11.25" style="1" bestFit="1" customWidth="1"/>
    <col min="14338" max="14338" width="11.625" style="1" bestFit="1" customWidth="1"/>
    <col min="14339" max="14569" width="9" style="1"/>
    <col min="14570" max="14570" width="4.625" style="1" customWidth="1"/>
    <col min="14571" max="14571" width="34.625" style="1" customWidth="1"/>
    <col min="14572" max="14572" width="11.625" style="1" customWidth="1"/>
    <col min="14573" max="14574" width="6.625" style="1" customWidth="1"/>
    <col min="14575" max="14575" width="10.625" style="1" customWidth="1"/>
    <col min="14576" max="14576" width="14.625" style="1" customWidth="1"/>
    <col min="14577" max="14577" width="10.625" style="1" customWidth="1"/>
    <col min="14578" max="14578" width="14.625" style="1" customWidth="1"/>
    <col min="14579" max="14579" width="10.625" style="1" customWidth="1"/>
    <col min="14580" max="14580" width="14.625" style="1" customWidth="1"/>
    <col min="14581" max="14581" width="10.625" style="1" customWidth="1"/>
    <col min="14582" max="14582" width="18.625" style="1" customWidth="1"/>
    <col min="14583" max="14583" width="9.625" style="1" customWidth="1"/>
    <col min="14584" max="14584" width="10.5" style="1" customWidth="1"/>
    <col min="14585" max="14585" width="20.375" style="1" bestFit="1" customWidth="1"/>
    <col min="14586" max="14586" width="12.5" style="1" customWidth="1"/>
    <col min="14587" max="14587" width="13.125" style="1" customWidth="1"/>
    <col min="14588" max="14592" width="9" style="1"/>
    <col min="14593" max="14593" width="11.25" style="1" bestFit="1" customWidth="1"/>
    <col min="14594" max="14594" width="11.625" style="1" bestFit="1" customWidth="1"/>
    <col min="14595" max="14825" width="9" style="1"/>
    <col min="14826" max="14826" width="4.625" style="1" customWidth="1"/>
    <col min="14827" max="14827" width="34.625" style="1" customWidth="1"/>
    <col min="14828" max="14828" width="11.625" style="1" customWidth="1"/>
    <col min="14829" max="14830" width="6.625" style="1" customWidth="1"/>
    <col min="14831" max="14831" width="10.625" style="1" customWidth="1"/>
    <col min="14832" max="14832" width="14.625" style="1" customWidth="1"/>
    <col min="14833" max="14833" width="10.625" style="1" customWidth="1"/>
    <col min="14834" max="14834" width="14.625" style="1" customWidth="1"/>
    <col min="14835" max="14835" width="10.625" style="1" customWidth="1"/>
    <col min="14836" max="14836" width="14.625" style="1" customWidth="1"/>
    <col min="14837" max="14837" width="10.625" style="1" customWidth="1"/>
    <col min="14838" max="14838" width="18.625" style="1" customWidth="1"/>
    <col min="14839" max="14839" width="9.625" style="1" customWidth="1"/>
    <col min="14840" max="14840" width="10.5" style="1" customWidth="1"/>
    <col min="14841" max="14841" width="20.375" style="1" bestFit="1" customWidth="1"/>
    <col min="14842" max="14842" width="12.5" style="1" customWidth="1"/>
    <col min="14843" max="14843" width="13.125" style="1" customWidth="1"/>
    <col min="14844" max="14848" width="9" style="1"/>
    <col min="14849" max="14849" width="11.25" style="1" bestFit="1" customWidth="1"/>
    <col min="14850" max="14850" width="11.625" style="1" bestFit="1" customWidth="1"/>
    <col min="14851" max="15081" width="9" style="1"/>
    <col min="15082" max="15082" width="4.625" style="1" customWidth="1"/>
    <col min="15083" max="15083" width="34.625" style="1" customWidth="1"/>
    <col min="15084" max="15084" width="11.625" style="1" customWidth="1"/>
    <col min="15085" max="15086" width="6.625" style="1" customWidth="1"/>
    <col min="15087" max="15087" width="10.625" style="1" customWidth="1"/>
    <col min="15088" max="15088" width="14.625" style="1" customWidth="1"/>
    <col min="15089" max="15089" width="10.625" style="1" customWidth="1"/>
    <col min="15090" max="15090" width="14.625" style="1" customWidth="1"/>
    <col min="15091" max="15091" width="10.625" style="1" customWidth="1"/>
    <col min="15092" max="15092" width="14.625" style="1" customWidth="1"/>
    <col min="15093" max="15093" width="10.625" style="1" customWidth="1"/>
    <col min="15094" max="15094" width="18.625" style="1" customWidth="1"/>
    <col min="15095" max="15095" width="9.625" style="1" customWidth="1"/>
    <col min="15096" max="15096" width="10.5" style="1" customWidth="1"/>
    <col min="15097" max="15097" width="20.375" style="1" bestFit="1" customWidth="1"/>
    <col min="15098" max="15098" width="12.5" style="1" customWidth="1"/>
    <col min="15099" max="15099" width="13.125" style="1" customWidth="1"/>
    <col min="15100" max="15104" width="9" style="1"/>
    <col min="15105" max="15105" width="11.25" style="1" bestFit="1" customWidth="1"/>
    <col min="15106" max="15106" width="11.625" style="1" bestFit="1" customWidth="1"/>
    <col min="15107" max="15337" width="9" style="1"/>
    <col min="15338" max="15338" width="4.625" style="1" customWidth="1"/>
    <col min="15339" max="15339" width="34.625" style="1" customWidth="1"/>
    <col min="15340" max="15340" width="11.625" style="1" customWidth="1"/>
    <col min="15341" max="15342" width="6.625" style="1" customWidth="1"/>
    <col min="15343" max="15343" width="10.625" style="1" customWidth="1"/>
    <col min="15344" max="15344" width="14.625" style="1" customWidth="1"/>
    <col min="15345" max="15345" width="10.625" style="1" customWidth="1"/>
    <col min="15346" max="15346" width="14.625" style="1" customWidth="1"/>
    <col min="15347" max="15347" width="10.625" style="1" customWidth="1"/>
    <col min="15348" max="15348" width="14.625" style="1" customWidth="1"/>
    <col min="15349" max="15349" width="10.625" style="1" customWidth="1"/>
    <col min="15350" max="15350" width="18.625" style="1" customWidth="1"/>
    <col min="15351" max="15351" width="9.625" style="1" customWidth="1"/>
    <col min="15352" max="15352" width="10.5" style="1" customWidth="1"/>
    <col min="15353" max="15353" width="20.375" style="1" bestFit="1" customWidth="1"/>
    <col min="15354" max="15354" width="12.5" style="1" customWidth="1"/>
    <col min="15355" max="15355" width="13.125" style="1" customWidth="1"/>
    <col min="15356" max="15360" width="9" style="1"/>
    <col min="15361" max="15361" width="11.25" style="1" bestFit="1" customWidth="1"/>
    <col min="15362" max="15362" width="11.625" style="1" bestFit="1" customWidth="1"/>
    <col min="15363" max="15593" width="9" style="1"/>
    <col min="15594" max="15594" width="4.625" style="1" customWidth="1"/>
    <col min="15595" max="15595" width="34.625" style="1" customWidth="1"/>
    <col min="15596" max="15596" width="11.625" style="1" customWidth="1"/>
    <col min="15597" max="15598" width="6.625" style="1" customWidth="1"/>
    <col min="15599" max="15599" width="10.625" style="1" customWidth="1"/>
    <col min="15600" max="15600" width="14.625" style="1" customWidth="1"/>
    <col min="15601" max="15601" width="10.625" style="1" customWidth="1"/>
    <col min="15602" max="15602" width="14.625" style="1" customWidth="1"/>
    <col min="15603" max="15603" width="10.625" style="1" customWidth="1"/>
    <col min="15604" max="15604" width="14.625" style="1" customWidth="1"/>
    <col min="15605" max="15605" width="10.625" style="1" customWidth="1"/>
    <col min="15606" max="15606" width="18.625" style="1" customWidth="1"/>
    <col min="15607" max="15607" width="9.625" style="1" customWidth="1"/>
    <col min="15608" max="15608" width="10.5" style="1" customWidth="1"/>
    <col min="15609" max="15609" width="20.375" style="1" bestFit="1" customWidth="1"/>
    <col min="15610" max="15610" width="12.5" style="1" customWidth="1"/>
    <col min="15611" max="15611" width="13.125" style="1" customWidth="1"/>
    <col min="15612" max="15616" width="9" style="1"/>
    <col min="15617" max="15617" width="11.25" style="1" bestFit="1" customWidth="1"/>
    <col min="15618" max="15618" width="11.625" style="1" bestFit="1" customWidth="1"/>
    <col min="15619" max="15849" width="9" style="1"/>
    <col min="15850" max="15850" width="4.625" style="1" customWidth="1"/>
    <col min="15851" max="15851" width="34.625" style="1" customWidth="1"/>
    <col min="15852" max="15852" width="11.625" style="1" customWidth="1"/>
    <col min="15853" max="15854" width="6.625" style="1" customWidth="1"/>
    <col min="15855" max="15855" width="10.625" style="1" customWidth="1"/>
    <col min="15856" max="15856" width="14.625" style="1" customWidth="1"/>
    <col min="15857" max="15857" width="10.625" style="1" customWidth="1"/>
    <col min="15858" max="15858" width="14.625" style="1" customWidth="1"/>
    <col min="15859" max="15859" width="10.625" style="1" customWidth="1"/>
    <col min="15860" max="15860" width="14.625" style="1" customWidth="1"/>
    <col min="15861" max="15861" width="10.625" style="1" customWidth="1"/>
    <col min="15862" max="15862" width="18.625" style="1" customWidth="1"/>
    <col min="15863" max="15863" width="9.625" style="1" customWidth="1"/>
    <col min="15864" max="15864" width="10.5" style="1" customWidth="1"/>
    <col min="15865" max="15865" width="20.375" style="1" bestFit="1" customWidth="1"/>
    <col min="15866" max="15866" width="12.5" style="1" customWidth="1"/>
    <col min="15867" max="15867" width="13.125" style="1" customWidth="1"/>
    <col min="15868" max="15872" width="9" style="1"/>
    <col min="15873" max="15873" width="11.25" style="1" bestFit="1" customWidth="1"/>
    <col min="15874" max="15874" width="11.625" style="1" bestFit="1" customWidth="1"/>
    <col min="15875" max="16105" width="9" style="1"/>
    <col min="16106" max="16106" width="4.625" style="1" customWidth="1"/>
    <col min="16107" max="16107" width="34.625" style="1" customWidth="1"/>
    <col min="16108" max="16108" width="11.625" style="1" customWidth="1"/>
    <col min="16109" max="16110" width="6.625" style="1" customWidth="1"/>
    <col min="16111" max="16111" width="10.625" style="1" customWidth="1"/>
    <col min="16112" max="16112" width="14.625" style="1" customWidth="1"/>
    <col min="16113" max="16113" width="10.625" style="1" customWidth="1"/>
    <col min="16114" max="16114" width="14.625" style="1" customWidth="1"/>
    <col min="16115" max="16115" width="10.625" style="1" customWidth="1"/>
    <col min="16116" max="16116" width="14.625" style="1" customWidth="1"/>
    <col min="16117" max="16117" width="10.625" style="1" customWidth="1"/>
    <col min="16118" max="16118" width="18.625" style="1" customWidth="1"/>
    <col min="16119" max="16119" width="9.625" style="1" customWidth="1"/>
    <col min="16120" max="16120" width="10.5" style="1" customWidth="1"/>
    <col min="16121" max="16121" width="20.375" style="1" bestFit="1" customWidth="1"/>
    <col min="16122" max="16122" width="12.5" style="1" customWidth="1"/>
    <col min="16123" max="16123" width="13.125" style="1" customWidth="1"/>
    <col min="16124" max="16128" width="9" style="1"/>
    <col min="16129" max="16129" width="11.25" style="1" bestFit="1" customWidth="1"/>
    <col min="16130" max="16130" width="11.625" style="1" bestFit="1" customWidth="1"/>
    <col min="16131" max="16384" width="9" style="1"/>
  </cols>
  <sheetData>
    <row r="1" spans="1:118" s="207" customFormat="1" ht="35.1" customHeight="1">
      <c r="A1" s="330" t="s">
        <v>401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</row>
    <row r="2" spans="1:118" ht="19.5" customHeight="1" thickBot="1">
      <c r="A2" s="331" t="s">
        <v>289</v>
      </c>
      <c r="B2" s="331"/>
      <c r="C2" s="331"/>
      <c r="D2" s="331"/>
      <c r="E2" s="331"/>
      <c r="F2" s="355"/>
      <c r="G2" s="355"/>
      <c r="H2" s="355"/>
      <c r="I2" s="355"/>
      <c r="J2" s="179"/>
      <c r="K2" s="179"/>
      <c r="L2" s="368" t="s">
        <v>430</v>
      </c>
      <c r="M2" s="368"/>
    </row>
    <row r="3" spans="1:118" ht="30" customHeight="1" thickBot="1">
      <c r="A3" s="121"/>
      <c r="B3" s="180" t="s">
        <v>56</v>
      </c>
      <c r="C3" s="181" t="s">
        <v>39</v>
      </c>
      <c r="D3" s="181" t="s">
        <v>38</v>
      </c>
      <c r="E3" s="181" t="s">
        <v>37</v>
      </c>
      <c r="F3" s="333" t="s">
        <v>177</v>
      </c>
      <c r="G3" s="334"/>
      <c r="H3" s="334"/>
      <c r="I3" s="334"/>
      <c r="J3" s="210" t="s">
        <v>179</v>
      </c>
      <c r="K3" s="210" t="s">
        <v>180</v>
      </c>
      <c r="L3" s="210" t="s">
        <v>181</v>
      </c>
      <c r="M3" s="211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</row>
    <row r="4" spans="1:118" ht="30" customHeight="1">
      <c r="A4" s="165" t="s">
        <v>54</v>
      </c>
      <c r="B4" s="44"/>
      <c r="C4" s="44"/>
      <c r="D4" s="44"/>
      <c r="E4" s="47"/>
      <c r="F4" s="335"/>
      <c r="G4" s="336"/>
      <c r="H4" s="336"/>
      <c r="I4" s="337"/>
      <c r="J4" s="48">
        <v>0</v>
      </c>
      <c r="K4" s="46">
        <f>'기성총괄표(2024용인_지성_건가)'!M10</f>
        <v>175119574</v>
      </c>
      <c r="L4" s="212">
        <f>J4+K4</f>
        <v>175119574</v>
      </c>
      <c r="M4" s="166"/>
    </row>
    <row r="5" spans="1:118" s="3" customFormat="1" ht="30" customHeight="1">
      <c r="A5" s="127"/>
      <c r="B5" s="132"/>
      <c r="C5" s="129"/>
      <c r="D5" s="130"/>
      <c r="E5" s="128"/>
      <c r="F5" s="321"/>
      <c r="G5" s="322"/>
      <c r="H5" s="322"/>
      <c r="I5" s="323"/>
      <c r="J5" s="80"/>
      <c r="K5" s="80"/>
      <c r="L5" s="80"/>
      <c r="M5" s="8"/>
    </row>
    <row r="6" spans="1:118" s="3" customFormat="1" ht="30" customHeight="1">
      <c r="A6" s="127"/>
      <c r="B6" s="132"/>
      <c r="C6" s="129"/>
      <c r="D6" s="130"/>
      <c r="E6" s="128"/>
      <c r="F6" s="321"/>
      <c r="G6" s="322"/>
      <c r="H6" s="322"/>
      <c r="I6" s="323"/>
      <c r="J6" s="80"/>
      <c r="K6" s="80"/>
      <c r="L6" s="80"/>
      <c r="M6" s="8"/>
    </row>
    <row r="7" spans="1:118" s="3" customFormat="1" ht="30" customHeight="1" thickBot="1">
      <c r="A7" s="133"/>
      <c r="B7" s="134"/>
      <c r="C7" s="135"/>
      <c r="D7" s="62"/>
      <c r="E7" s="62"/>
      <c r="F7" s="324"/>
      <c r="G7" s="325"/>
      <c r="H7" s="325"/>
      <c r="I7" s="326"/>
      <c r="J7" s="23"/>
      <c r="K7" s="23"/>
      <c r="L7" s="23"/>
      <c r="M7" s="63"/>
    </row>
    <row r="8" spans="1:118" s="52" customFormat="1" ht="30" customHeight="1" thickBot="1">
      <c r="A8" s="136"/>
      <c r="B8" s="137" t="s">
        <v>46</v>
      </c>
      <c r="C8" s="138"/>
      <c r="D8" s="139"/>
      <c r="E8" s="138"/>
      <c r="F8" s="327"/>
      <c r="G8" s="328"/>
      <c r="H8" s="328"/>
      <c r="I8" s="329"/>
      <c r="J8" s="140">
        <f t="shared" ref="J8" si="0">SUM(J4:J7)</f>
        <v>0</v>
      </c>
      <c r="K8" s="140">
        <f>SUM(K4:K7)</f>
        <v>175119574</v>
      </c>
      <c r="L8" s="140">
        <f>SUM(L4:L7)</f>
        <v>175119574</v>
      </c>
      <c r="M8" s="141"/>
    </row>
    <row r="9" spans="1:118" s="92" customFormat="1" ht="30" customHeight="1">
      <c r="A9" s="142"/>
      <c r="B9" s="143" t="s">
        <v>1</v>
      </c>
      <c r="C9" s="82"/>
      <c r="D9" s="83"/>
      <c r="E9" s="84"/>
      <c r="F9" s="85"/>
      <c r="G9" s="213"/>
      <c r="H9" s="213"/>
      <c r="I9" s="213"/>
      <c r="J9" s="215"/>
      <c r="K9" s="216"/>
      <c r="L9" s="216"/>
      <c r="M9" s="90"/>
    </row>
    <row r="10" spans="1:118" s="3" customFormat="1" ht="30" customHeight="1">
      <c r="A10" s="144" t="s">
        <v>36</v>
      </c>
      <c r="B10" s="145" t="s">
        <v>61</v>
      </c>
      <c r="C10" s="6"/>
      <c r="D10" s="7">
        <v>1</v>
      </c>
      <c r="E10" s="6" t="s">
        <v>5</v>
      </c>
      <c r="F10" s="217"/>
      <c r="G10" s="27"/>
      <c r="H10" s="27"/>
      <c r="I10" s="27"/>
      <c r="J10" s="218">
        <v>0</v>
      </c>
      <c r="K10" s="30">
        <f>'기성총괄표(2024용인_지성_건가)'!M12</f>
        <v>136559156</v>
      </c>
      <c r="L10" s="30">
        <f>J10+K10</f>
        <v>136559156</v>
      </c>
      <c r="M10" s="8"/>
    </row>
    <row r="11" spans="1:118" s="3" customFormat="1" ht="30" customHeight="1">
      <c r="A11" s="144" t="s">
        <v>34</v>
      </c>
      <c r="B11" s="146" t="s">
        <v>47</v>
      </c>
      <c r="C11" s="6"/>
      <c r="D11" s="31"/>
      <c r="E11" s="32"/>
      <c r="F11" s="217"/>
      <c r="G11" s="27"/>
      <c r="H11" s="27"/>
      <c r="I11" s="27"/>
      <c r="J11" s="218">
        <v>0</v>
      </c>
      <c r="K11" s="30">
        <f>'기성총괄표(2024용인_지성_건가)'!M13</f>
        <v>38482331</v>
      </c>
      <c r="L11" s="30">
        <f t="shared" ref="L11:L35" si="1">J11+K11</f>
        <v>38482331</v>
      </c>
      <c r="M11" s="8"/>
    </row>
    <row r="12" spans="1:118" ht="30" customHeight="1">
      <c r="A12" s="126"/>
      <c r="B12" s="145" t="s">
        <v>42</v>
      </c>
      <c r="C12" s="33"/>
      <c r="D12" s="7">
        <v>1</v>
      </c>
      <c r="E12" s="6" t="s">
        <v>5</v>
      </c>
      <c r="F12" s="219"/>
      <c r="G12" s="220"/>
      <c r="H12" s="220"/>
      <c r="I12" s="220"/>
      <c r="J12" s="218">
        <v>0</v>
      </c>
      <c r="K12" s="30">
        <f>'기성총괄표(2024용인_지성_건가)'!M14</f>
        <v>33964988</v>
      </c>
      <c r="L12" s="30">
        <f t="shared" si="1"/>
        <v>33964988</v>
      </c>
      <c r="M12" s="8"/>
    </row>
    <row r="13" spans="1:118" ht="30" customHeight="1">
      <c r="A13" s="126"/>
      <c r="B13" s="145" t="s">
        <v>43</v>
      </c>
      <c r="C13" s="35">
        <v>0.11600000000000001</v>
      </c>
      <c r="D13" s="7">
        <v>1</v>
      </c>
      <c r="E13" s="6" t="s">
        <v>5</v>
      </c>
      <c r="F13" s="219" t="s">
        <v>2</v>
      </c>
      <c r="G13" s="220"/>
      <c r="H13" s="220"/>
      <c r="I13" s="220"/>
      <c r="J13" s="218">
        <v>0</v>
      </c>
      <c r="K13" s="30">
        <f>'기성총괄표(2024용인_지성_건가)'!M15</f>
        <v>4517343</v>
      </c>
      <c r="L13" s="30">
        <f t="shared" si="1"/>
        <v>4517343</v>
      </c>
      <c r="M13" s="8"/>
    </row>
    <row r="14" spans="1:118" ht="30" customHeight="1">
      <c r="A14" s="144" t="s">
        <v>35</v>
      </c>
      <c r="B14" s="146" t="s">
        <v>62</v>
      </c>
      <c r="C14" s="33"/>
      <c r="D14" s="7"/>
      <c r="E14" s="6"/>
      <c r="F14" s="219"/>
      <c r="G14" s="220"/>
      <c r="H14" s="220"/>
      <c r="I14" s="220"/>
      <c r="J14" s="218">
        <v>0</v>
      </c>
      <c r="K14" s="30">
        <f>'기성총괄표(2024용인_지성_건가)'!M16</f>
        <v>13705813</v>
      </c>
      <c r="L14" s="30">
        <f t="shared" si="1"/>
        <v>13705813</v>
      </c>
      <c r="M14" s="8"/>
    </row>
    <row r="15" spans="1:118" ht="30" customHeight="1">
      <c r="A15" s="126"/>
      <c r="B15" s="145" t="s">
        <v>63</v>
      </c>
      <c r="C15" s="33"/>
      <c r="D15" s="7">
        <v>1</v>
      </c>
      <c r="E15" s="6" t="s">
        <v>5</v>
      </c>
      <c r="F15" s="219"/>
      <c r="G15" s="220"/>
      <c r="H15" s="220"/>
      <c r="I15" s="220"/>
      <c r="J15" s="218">
        <v>0</v>
      </c>
      <c r="K15" s="30">
        <f>'기성총괄표(2024용인_지성_건가)'!M17</f>
        <v>4595430</v>
      </c>
      <c r="L15" s="30">
        <f t="shared" si="1"/>
        <v>4595430</v>
      </c>
      <c r="M15" s="8"/>
    </row>
    <row r="16" spans="1:118" ht="30" customHeight="1">
      <c r="A16" s="126"/>
      <c r="B16" s="145" t="s">
        <v>87</v>
      </c>
      <c r="C16" s="36"/>
      <c r="D16" s="7"/>
      <c r="E16" s="6"/>
      <c r="F16" s="219"/>
      <c r="G16" s="220"/>
      <c r="H16" s="220"/>
      <c r="I16" s="220"/>
      <c r="J16" s="218">
        <v>0</v>
      </c>
      <c r="K16" s="30">
        <f>'기성총괄표(2024용인_지성_건가)'!M18</f>
        <v>0</v>
      </c>
      <c r="L16" s="30">
        <f t="shared" si="1"/>
        <v>0</v>
      </c>
      <c r="M16" s="49"/>
    </row>
    <row r="17" spans="1:13" ht="30" customHeight="1">
      <c r="A17" s="126"/>
      <c r="B17" s="146" t="s">
        <v>65</v>
      </c>
      <c r="C17" s="33">
        <v>3.56E-2</v>
      </c>
      <c r="D17" s="7">
        <v>1</v>
      </c>
      <c r="E17" s="6" t="s">
        <v>5</v>
      </c>
      <c r="F17" s="219" t="s">
        <v>66</v>
      </c>
      <c r="G17" s="220"/>
      <c r="H17" s="220"/>
      <c r="I17" s="220"/>
      <c r="J17" s="218">
        <v>0</v>
      </c>
      <c r="K17" s="30">
        <f>'기성총괄표(2024용인_지성_건가)'!M19</f>
        <v>1369970</v>
      </c>
      <c r="L17" s="30">
        <f t="shared" si="1"/>
        <v>1369970</v>
      </c>
      <c r="M17" s="8"/>
    </row>
    <row r="18" spans="1:13" ht="30" customHeight="1">
      <c r="A18" s="126"/>
      <c r="B18" s="146" t="s">
        <v>67</v>
      </c>
      <c r="C18" s="33">
        <v>1.01E-2</v>
      </c>
      <c r="D18" s="7">
        <v>1</v>
      </c>
      <c r="E18" s="6" t="s">
        <v>5</v>
      </c>
      <c r="F18" s="219" t="s">
        <v>66</v>
      </c>
      <c r="G18" s="220"/>
      <c r="H18" s="220"/>
      <c r="I18" s="220"/>
      <c r="J18" s="218">
        <v>0</v>
      </c>
      <c r="K18" s="30">
        <f>'기성총괄표(2024용인_지성_건가)'!M20</f>
        <v>388671</v>
      </c>
      <c r="L18" s="30">
        <f t="shared" si="1"/>
        <v>388671</v>
      </c>
      <c r="M18" s="8"/>
    </row>
    <row r="19" spans="1:13" ht="30" customHeight="1">
      <c r="A19" s="126"/>
      <c r="B19" s="146" t="s">
        <v>68</v>
      </c>
      <c r="C19" s="33">
        <v>4.4999999999999998E-2</v>
      </c>
      <c r="D19" s="7">
        <v>1</v>
      </c>
      <c r="E19" s="6" t="s">
        <v>5</v>
      </c>
      <c r="F19" s="219" t="s">
        <v>2</v>
      </c>
      <c r="G19" s="220"/>
      <c r="H19" s="220"/>
      <c r="I19" s="220"/>
      <c r="J19" s="218">
        <v>0</v>
      </c>
      <c r="K19" s="30">
        <f>'기성총괄표(2024용인_지성_건가)'!M21</f>
        <v>0</v>
      </c>
      <c r="L19" s="30">
        <f t="shared" si="1"/>
        <v>0</v>
      </c>
      <c r="M19" s="54" t="s">
        <v>64</v>
      </c>
    </row>
    <row r="20" spans="1:13" ht="30" customHeight="1">
      <c r="A20" s="126"/>
      <c r="B20" s="146" t="s">
        <v>70</v>
      </c>
      <c r="C20" s="172">
        <v>3.5450000000000002E-2</v>
      </c>
      <c r="D20" s="7">
        <v>1</v>
      </c>
      <c r="E20" s="6" t="s">
        <v>5</v>
      </c>
      <c r="F20" s="219" t="s">
        <v>2</v>
      </c>
      <c r="G20" s="220"/>
      <c r="H20" s="220"/>
      <c r="I20" s="220"/>
      <c r="J20" s="218">
        <v>0</v>
      </c>
      <c r="K20" s="30">
        <f>'기성총괄표(2024용인_지성_건가)'!M22</f>
        <v>0</v>
      </c>
      <c r="L20" s="30">
        <f t="shared" si="1"/>
        <v>0</v>
      </c>
      <c r="M20" s="54" t="s">
        <v>64</v>
      </c>
    </row>
    <row r="21" spans="1:13" ht="30" customHeight="1">
      <c r="A21" s="126"/>
      <c r="B21" s="146" t="s">
        <v>71</v>
      </c>
      <c r="C21" s="33">
        <v>0.1295</v>
      </c>
      <c r="D21" s="7">
        <v>1</v>
      </c>
      <c r="E21" s="6" t="s">
        <v>5</v>
      </c>
      <c r="F21" s="219" t="s">
        <v>72</v>
      </c>
      <c r="G21" s="220"/>
      <c r="H21" s="220"/>
      <c r="I21" s="220"/>
      <c r="J21" s="218">
        <v>0</v>
      </c>
      <c r="K21" s="30">
        <f>'기성총괄표(2024용인_지성_건가)'!M23</f>
        <v>0</v>
      </c>
      <c r="L21" s="30">
        <f t="shared" si="1"/>
        <v>0</v>
      </c>
      <c r="M21" s="54" t="s">
        <v>64</v>
      </c>
    </row>
    <row r="22" spans="1:13" ht="30" customHeight="1">
      <c r="A22" s="126"/>
      <c r="B22" s="145" t="s">
        <v>88</v>
      </c>
      <c r="C22" s="35">
        <v>2.3E-2</v>
      </c>
      <c r="D22" s="7">
        <v>1</v>
      </c>
      <c r="E22" s="6" t="s">
        <v>5</v>
      </c>
      <c r="F22" s="219" t="s">
        <v>204</v>
      </c>
      <c r="G22" s="220"/>
      <c r="H22" s="220"/>
      <c r="I22" s="220"/>
      <c r="J22" s="218">
        <v>0</v>
      </c>
      <c r="K22" s="30">
        <f>'기성총괄표(2024용인_지성_건가)'!M24</f>
        <v>0</v>
      </c>
      <c r="L22" s="30">
        <f t="shared" si="1"/>
        <v>0</v>
      </c>
      <c r="M22" s="54" t="s">
        <v>64</v>
      </c>
    </row>
    <row r="23" spans="1:13" s="52" customFormat="1" ht="30" customHeight="1">
      <c r="A23" s="126"/>
      <c r="B23" s="145" t="s">
        <v>89</v>
      </c>
      <c r="C23" s="33">
        <v>1.9900000000000001E-2</v>
      </c>
      <c r="D23" s="7">
        <v>1</v>
      </c>
      <c r="E23" s="6" t="s">
        <v>5</v>
      </c>
      <c r="F23" s="153" t="s">
        <v>206</v>
      </c>
      <c r="G23" s="222"/>
      <c r="H23" s="222"/>
      <c r="I23" s="222"/>
      <c r="J23" s="218">
        <v>0</v>
      </c>
      <c r="K23" s="30">
        <f>'기성총괄표(2024용인_지성_건가)'!M25</f>
        <v>0</v>
      </c>
      <c r="L23" s="30">
        <f t="shared" si="1"/>
        <v>0</v>
      </c>
      <c r="M23" s="54" t="s">
        <v>64</v>
      </c>
    </row>
    <row r="24" spans="1:13" ht="30" customHeight="1">
      <c r="A24" s="126"/>
      <c r="B24" s="145" t="s">
        <v>90</v>
      </c>
      <c r="C24" s="35">
        <v>4.8000000000000001E-2</v>
      </c>
      <c r="D24" s="7">
        <v>1</v>
      </c>
      <c r="E24" s="6" t="s">
        <v>5</v>
      </c>
      <c r="F24" s="219" t="s">
        <v>73</v>
      </c>
      <c r="G24" s="220"/>
      <c r="H24" s="220"/>
      <c r="I24" s="220"/>
      <c r="J24" s="218">
        <v>0</v>
      </c>
      <c r="K24" s="30">
        <f>'기성총괄표(2024용인_지성_건가)'!M26</f>
        <v>7351742</v>
      </c>
      <c r="L24" s="30">
        <f t="shared" si="1"/>
        <v>7351742</v>
      </c>
      <c r="M24" s="8"/>
    </row>
    <row r="25" spans="1:13" ht="30" customHeight="1">
      <c r="A25" s="126"/>
      <c r="B25" s="145" t="s">
        <v>91</v>
      </c>
      <c r="C25" s="35">
        <v>5.0000000000000001E-3</v>
      </c>
      <c r="D25" s="7">
        <v>1</v>
      </c>
      <c r="E25" s="6" t="s">
        <v>5</v>
      </c>
      <c r="F25" s="219" t="s">
        <v>74</v>
      </c>
      <c r="G25" s="220"/>
      <c r="H25" s="220"/>
      <c r="I25" s="220"/>
      <c r="J25" s="218">
        <v>0</v>
      </c>
      <c r="K25" s="30">
        <f>'기성총괄표(2024용인_지성_건가)'!M27</f>
        <v>0</v>
      </c>
      <c r="L25" s="30">
        <f t="shared" si="1"/>
        <v>0</v>
      </c>
      <c r="M25" s="49" t="s">
        <v>64</v>
      </c>
    </row>
    <row r="26" spans="1:13" ht="30" customHeight="1">
      <c r="A26" s="148"/>
      <c r="B26" s="149" t="s">
        <v>92</v>
      </c>
      <c r="C26" s="150"/>
      <c r="D26" s="64"/>
      <c r="E26" s="61"/>
      <c r="F26" s="219"/>
      <c r="G26" s="220"/>
      <c r="H26" s="220"/>
      <c r="I26" s="220"/>
      <c r="J26" s="218">
        <v>0</v>
      </c>
      <c r="K26" s="30">
        <f>'기성총괄표(2024용인_지성_건가)'!M28</f>
        <v>0</v>
      </c>
      <c r="L26" s="30">
        <f t="shared" si="1"/>
        <v>0</v>
      </c>
      <c r="M26" s="151"/>
    </row>
    <row r="27" spans="1:13" ht="30" customHeight="1">
      <c r="A27" s="148"/>
      <c r="B27" s="146" t="s">
        <v>75</v>
      </c>
      <c r="C27" s="152">
        <v>8.0999999999999996E-4</v>
      </c>
      <c r="D27" s="64">
        <v>1</v>
      </c>
      <c r="E27" s="61" t="s">
        <v>5</v>
      </c>
      <c r="F27" s="219" t="s">
        <v>74</v>
      </c>
      <c r="G27" s="220"/>
      <c r="H27" s="220"/>
      <c r="I27" s="220"/>
      <c r="J27" s="218">
        <v>0</v>
      </c>
      <c r="K27" s="30">
        <f>'기성총괄표(2024용인_지성_건가)'!M29</f>
        <v>0</v>
      </c>
      <c r="L27" s="30">
        <f t="shared" si="1"/>
        <v>0</v>
      </c>
      <c r="M27" s="151" t="s">
        <v>64</v>
      </c>
    </row>
    <row r="28" spans="1:13" ht="30" customHeight="1">
      <c r="A28" s="126"/>
      <c r="B28" s="146" t="s">
        <v>76</v>
      </c>
      <c r="C28" s="33">
        <v>3.2000000000000002E-3</v>
      </c>
      <c r="D28" s="7">
        <v>1</v>
      </c>
      <c r="E28" s="6" t="s">
        <v>5</v>
      </c>
      <c r="F28" s="219" t="s">
        <v>74</v>
      </c>
      <c r="G28" s="220"/>
      <c r="H28" s="220"/>
      <c r="I28" s="220"/>
      <c r="J28" s="218">
        <v>0</v>
      </c>
      <c r="K28" s="30">
        <f>'기성총괄표(2024용인_지성_건가)'!M30</f>
        <v>0</v>
      </c>
      <c r="L28" s="30">
        <f t="shared" si="1"/>
        <v>0</v>
      </c>
      <c r="M28" s="49" t="s">
        <v>64</v>
      </c>
    </row>
    <row r="29" spans="1:13" s="57" customFormat="1" ht="30" customHeight="1">
      <c r="A29" s="154"/>
      <c r="B29" s="155" t="s">
        <v>77</v>
      </c>
      <c r="C29" s="75"/>
      <c r="D29" s="76"/>
      <c r="E29" s="75"/>
      <c r="F29" s="224"/>
      <c r="G29" s="225"/>
      <c r="H29" s="225"/>
      <c r="I29" s="225"/>
      <c r="J29" s="227">
        <v>0</v>
      </c>
      <c r="K29" s="228">
        <f>'기성총괄표(2024용인_지성_건가)'!M31</f>
        <v>188747300</v>
      </c>
      <c r="L29" s="228">
        <f t="shared" si="1"/>
        <v>188747300</v>
      </c>
      <c r="M29" s="81"/>
    </row>
    <row r="30" spans="1:13" ht="30" customHeight="1">
      <c r="A30" s="144" t="s">
        <v>78</v>
      </c>
      <c r="B30" s="146" t="s">
        <v>79</v>
      </c>
      <c r="C30" s="35">
        <v>0.04</v>
      </c>
      <c r="D30" s="7">
        <v>1</v>
      </c>
      <c r="E30" s="6" t="s">
        <v>5</v>
      </c>
      <c r="F30" s="219" t="s">
        <v>80</v>
      </c>
      <c r="G30" s="220"/>
      <c r="H30" s="220"/>
      <c r="I30" s="220"/>
      <c r="J30" s="218">
        <v>0</v>
      </c>
      <c r="K30" s="30">
        <f>'기성총괄표(2024용인_지성_건가)'!M32</f>
        <v>6606155</v>
      </c>
      <c r="L30" s="30">
        <f t="shared" si="1"/>
        <v>6606155</v>
      </c>
      <c r="M30" s="8"/>
    </row>
    <row r="31" spans="1:13" ht="30" customHeight="1">
      <c r="A31" s="144" t="s">
        <v>81</v>
      </c>
      <c r="B31" s="146" t="s">
        <v>82</v>
      </c>
      <c r="C31" s="35">
        <v>0.05</v>
      </c>
      <c r="D31" s="7">
        <v>1</v>
      </c>
      <c r="E31" s="6" t="s">
        <v>5</v>
      </c>
      <c r="F31" s="219" t="s">
        <v>83</v>
      </c>
      <c r="G31" s="220"/>
      <c r="H31" s="220"/>
      <c r="I31" s="220"/>
      <c r="J31" s="218">
        <v>0</v>
      </c>
      <c r="K31" s="30">
        <f>'기성총괄표(2024용인_지성_건가)'!M33</f>
        <v>2526545</v>
      </c>
      <c r="L31" s="30">
        <f t="shared" si="1"/>
        <v>2526545</v>
      </c>
      <c r="M31" s="49"/>
    </row>
    <row r="32" spans="1:13" s="57" customFormat="1" ht="30" customHeight="1">
      <c r="A32" s="154"/>
      <c r="B32" s="155" t="s">
        <v>85</v>
      </c>
      <c r="C32" s="75"/>
      <c r="D32" s="76"/>
      <c r="E32" s="75"/>
      <c r="F32" s="224"/>
      <c r="G32" s="225"/>
      <c r="H32" s="225"/>
      <c r="I32" s="225"/>
      <c r="J32" s="227">
        <v>0</v>
      </c>
      <c r="K32" s="228">
        <f>'기성총괄표(2024용인_지성_건가)'!M34</f>
        <v>197880000</v>
      </c>
      <c r="L32" s="228">
        <f t="shared" si="1"/>
        <v>197880000</v>
      </c>
      <c r="M32" s="81"/>
    </row>
    <row r="33" spans="1:118" s="57" customFormat="1" ht="30" customHeight="1">
      <c r="A33" s="229"/>
      <c r="B33" s="230" t="s">
        <v>86</v>
      </c>
      <c r="C33" s="231"/>
      <c r="D33" s="232"/>
      <c r="E33" s="231"/>
      <c r="F33" s="224"/>
      <c r="G33" s="225"/>
      <c r="H33" s="225"/>
      <c r="I33" s="225"/>
      <c r="J33" s="227">
        <v>0</v>
      </c>
      <c r="K33" s="228">
        <f>'기성총괄표(2024용인_지성_건가)'!M35</f>
        <v>197880000</v>
      </c>
      <c r="L33" s="228">
        <f t="shared" si="1"/>
        <v>197880000</v>
      </c>
      <c r="M33" s="233"/>
    </row>
    <row r="34" spans="1:118" s="57" customFormat="1" ht="30" customHeight="1">
      <c r="A34" s="154"/>
      <c r="B34" s="155" t="s">
        <v>146</v>
      </c>
      <c r="C34" s="75"/>
      <c r="D34" s="76"/>
      <c r="E34" s="75"/>
      <c r="F34" s="224"/>
      <c r="G34" s="225"/>
      <c r="H34" s="225"/>
      <c r="I34" s="225"/>
      <c r="J34" s="227">
        <v>0</v>
      </c>
      <c r="K34" s="228">
        <f>'기성총괄표(2024용인_지성_건가)'!M36</f>
        <v>19788000</v>
      </c>
      <c r="L34" s="228">
        <f t="shared" si="1"/>
        <v>19788000</v>
      </c>
      <c r="M34" s="81"/>
    </row>
    <row r="35" spans="1:118" s="57" customFormat="1" ht="30" customHeight="1" thickBot="1">
      <c r="A35" s="156"/>
      <c r="B35" s="157" t="s">
        <v>152</v>
      </c>
      <c r="C35" s="158"/>
      <c r="D35" s="159"/>
      <c r="E35" s="158"/>
      <c r="F35" s="234"/>
      <c r="G35" s="235"/>
      <c r="H35" s="235"/>
      <c r="I35" s="235"/>
      <c r="J35" s="237">
        <v>0</v>
      </c>
      <c r="K35" s="228">
        <f>'기성총괄표(2024용인_지성_건가)'!M37</f>
        <v>217668000</v>
      </c>
      <c r="L35" s="238">
        <f t="shared" si="1"/>
        <v>217668000</v>
      </c>
      <c r="M35" s="164"/>
    </row>
    <row r="36" spans="1:118" s="2" customFormat="1" ht="33" customHeight="1">
      <c r="A36" s="1"/>
      <c r="B36" s="1"/>
      <c r="D36" s="38"/>
      <c r="E36" s="5"/>
      <c r="F36" s="39"/>
      <c r="G36" s="38"/>
      <c r="H36" s="40"/>
      <c r="I36" s="38"/>
      <c r="J36" s="38"/>
      <c r="K36" s="40"/>
      <c r="L36" s="40"/>
      <c r="M36" s="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</row>
    <row r="37" spans="1:118" s="2" customFormat="1" ht="30" customHeight="1">
      <c r="A37" s="1"/>
      <c r="B37" s="1"/>
      <c r="D37" s="38"/>
      <c r="E37" s="5"/>
      <c r="F37" s="39"/>
      <c r="G37" s="38"/>
      <c r="H37" s="40"/>
      <c r="I37" s="38"/>
      <c r="J37" s="38"/>
      <c r="K37" s="40"/>
      <c r="L37" s="40"/>
      <c r="M37" s="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</row>
    <row r="41" spans="1:118" s="2" customFormat="1" ht="34.700000000000003" customHeight="1">
      <c r="A41" s="1"/>
      <c r="B41" s="1"/>
      <c r="D41" s="38"/>
      <c r="E41" s="5"/>
      <c r="F41" s="39"/>
      <c r="G41" s="38"/>
      <c r="H41" s="40"/>
      <c r="I41" s="38"/>
      <c r="J41" s="38"/>
      <c r="K41" s="40"/>
      <c r="L41" s="40"/>
      <c r="M41" s="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</row>
  </sheetData>
  <mergeCells count="10">
    <mergeCell ref="F5:I5"/>
    <mergeCell ref="F6:I6"/>
    <mergeCell ref="F7:I7"/>
    <mergeCell ref="F8:I8"/>
    <mergeCell ref="A1:M1"/>
    <mergeCell ref="A2:E2"/>
    <mergeCell ref="F2:I2"/>
    <mergeCell ref="L2:M2"/>
    <mergeCell ref="F3:I3"/>
    <mergeCell ref="F4:I4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r:id="rId1"/>
  <headerFooter alignWithMargins="0">
    <oddFooter>&amp;C&amp;"굴림체,보통"한 국 지 역 난 방 공 사&amp;R- &amp;P -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79998168889431442"/>
  </sheetPr>
  <dimension ref="A1:DS45"/>
  <sheetViews>
    <sheetView view="pageBreakPreview" topLeftCell="A19" zoomScale="85" zoomScaleNormal="85" zoomScaleSheetLayoutView="85" workbookViewId="0">
      <selection activeCell="P35" sqref="P35"/>
    </sheetView>
  </sheetViews>
  <sheetFormatPr defaultRowHeight="34.700000000000003" customHeight="1"/>
  <cols>
    <col min="1" max="1" width="4.625" style="1" customWidth="1"/>
    <col min="2" max="2" width="34.62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6.5" style="38" bestFit="1" customWidth="1"/>
    <col min="8" max="8" width="10.625" style="40" customWidth="1"/>
    <col min="9" max="9" width="14.625" style="38" customWidth="1"/>
    <col min="10" max="10" width="10.625" style="40" customWidth="1"/>
    <col min="11" max="11" width="14.625" style="38" customWidth="1"/>
    <col min="12" max="12" width="10.625" style="40" customWidth="1"/>
    <col min="13" max="13" width="18.625" style="40" customWidth="1"/>
    <col min="14" max="14" width="13" style="5" bestFit="1" customWidth="1"/>
    <col min="15" max="15" width="10.5" style="5" customWidth="1"/>
    <col min="16" max="16" width="20" style="1" customWidth="1"/>
    <col min="17" max="238" width="9" style="1"/>
    <col min="239" max="239" width="4.625" style="1" customWidth="1"/>
    <col min="240" max="240" width="34.625" style="1" customWidth="1"/>
    <col min="241" max="241" width="11.625" style="1" customWidth="1"/>
    <col min="242" max="243" width="6.625" style="1" customWidth="1"/>
    <col min="244" max="244" width="10.625" style="1" customWidth="1"/>
    <col min="245" max="245" width="14.625" style="1" customWidth="1"/>
    <col min="246" max="246" width="10.625" style="1" customWidth="1"/>
    <col min="247" max="247" width="14.625" style="1" customWidth="1"/>
    <col min="248" max="248" width="10.625" style="1" customWidth="1"/>
    <col min="249" max="249" width="14.625" style="1" customWidth="1"/>
    <col min="250" max="250" width="10.625" style="1" customWidth="1"/>
    <col min="251" max="251" width="18.625" style="1" customWidth="1"/>
    <col min="252" max="252" width="9.625" style="1" customWidth="1"/>
    <col min="253" max="253" width="10.5" style="1" customWidth="1"/>
    <col min="254" max="254" width="20.375" style="1" bestFit="1" customWidth="1"/>
    <col min="255" max="255" width="12.5" style="1" customWidth="1"/>
    <col min="256" max="256" width="13.125" style="1" customWidth="1"/>
    <col min="257" max="261" width="9" style="1"/>
    <col min="262" max="262" width="11.25" style="1" bestFit="1" customWidth="1"/>
    <col min="263" max="263" width="11.625" style="1" bestFit="1" customWidth="1"/>
    <col min="264" max="494" width="9" style="1"/>
    <col min="495" max="495" width="4.625" style="1" customWidth="1"/>
    <col min="496" max="496" width="34.625" style="1" customWidth="1"/>
    <col min="497" max="497" width="11.625" style="1" customWidth="1"/>
    <col min="498" max="499" width="6.625" style="1" customWidth="1"/>
    <col min="500" max="500" width="10.625" style="1" customWidth="1"/>
    <col min="501" max="501" width="14.625" style="1" customWidth="1"/>
    <col min="502" max="502" width="10.625" style="1" customWidth="1"/>
    <col min="503" max="503" width="14.625" style="1" customWidth="1"/>
    <col min="504" max="504" width="10.625" style="1" customWidth="1"/>
    <col min="505" max="505" width="14.625" style="1" customWidth="1"/>
    <col min="506" max="506" width="10.625" style="1" customWidth="1"/>
    <col min="507" max="507" width="18.625" style="1" customWidth="1"/>
    <col min="508" max="508" width="9.625" style="1" customWidth="1"/>
    <col min="509" max="509" width="10.5" style="1" customWidth="1"/>
    <col min="510" max="510" width="20.375" style="1" bestFit="1" customWidth="1"/>
    <col min="511" max="511" width="12.5" style="1" customWidth="1"/>
    <col min="512" max="512" width="13.125" style="1" customWidth="1"/>
    <col min="513" max="517" width="9" style="1"/>
    <col min="518" max="518" width="11.25" style="1" bestFit="1" customWidth="1"/>
    <col min="519" max="519" width="11.625" style="1" bestFit="1" customWidth="1"/>
    <col min="520" max="750" width="9" style="1"/>
    <col min="751" max="751" width="4.625" style="1" customWidth="1"/>
    <col min="752" max="752" width="34.625" style="1" customWidth="1"/>
    <col min="753" max="753" width="11.625" style="1" customWidth="1"/>
    <col min="754" max="755" width="6.625" style="1" customWidth="1"/>
    <col min="756" max="756" width="10.625" style="1" customWidth="1"/>
    <col min="757" max="757" width="14.625" style="1" customWidth="1"/>
    <col min="758" max="758" width="10.625" style="1" customWidth="1"/>
    <col min="759" max="759" width="14.625" style="1" customWidth="1"/>
    <col min="760" max="760" width="10.625" style="1" customWidth="1"/>
    <col min="761" max="761" width="14.625" style="1" customWidth="1"/>
    <col min="762" max="762" width="10.625" style="1" customWidth="1"/>
    <col min="763" max="763" width="18.625" style="1" customWidth="1"/>
    <col min="764" max="764" width="9.625" style="1" customWidth="1"/>
    <col min="765" max="765" width="10.5" style="1" customWidth="1"/>
    <col min="766" max="766" width="20.375" style="1" bestFit="1" customWidth="1"/>
    <col min="767" max="767" width="12.5" style="1" customWidth="1"/>
    <col min="768" max="768" width="13.125" style="1" customWidth="1"/>
    <col min="769" max="773" width="9" style="1"/>
    <col min="774" max="774" width="11.25" style="1" bestFit="1" customWidth="1"/>
    <col min="775" max="775" width="11.625" style="1" bestFit="1" customWidth="1"/>
    <col min="776" max="1006" width="9" style="1"/>
    <col min="1007" max="1007" width="4.625" style="1" customWidth="1"/>
    <col min="1008" max="1008" width="34.625" style="1" customWidth="1"/>
    <col min="1009" max="1009" width="11.625" style="1" customWidth="1"/>
    <col min="1010" max="1011" width="6.625" style="1" customWidth="1"/>
    <col min="1012" max="1012" width="10.625" style="1" customWidth="1"/>
    <col min="1013" max="1013" width="14.625" style="1" customWidth="1"/>
    <col min="1014" max="1014" width="10.625" style="1" customWidth="1"/>
    <col min="1015" max="1015" width="14.625" style="1" customWidth="1"/>
    <col min="1016" max="1016" width="10.625" style="1" customWidth="1"/>
    <col min="1017" max="1017" width="14.625" style="1" customWidth="1"/>
    <col min="1018" max="1018" width="10.625" style="1" customWidth="1"/>
    <col min="1019" max="1019" width="18.625" style="1" customWidth="1"/>
    <col min="1020" max="1020" width="9.625" style="1" customWidth="1"/>
    <col min="1021" max="1021" width="10.5" style="1" customWidth="1"/>
    <col min="1022" max="1022" width="20.375" style="1" bestFit="1" customWidth="1"/>
    <col min="1023" max="1023" width="12.5" style="1" customWidth="1"/>
    <col min="1024" max="1024" width="13.125" style="1" customWidth="1"/>
    <col min="1025" max="1029" width="9" style="1"/>
    <col min="1030" max="1030" width="11.25" style="1" bestFit="1" customWidth="1"/>
    <col min="1031" max="1031" width="11.625" style="1" bestFit="1" customWidth="1"/>
    <col min="1032" max="1262" width="9" style="1"/>
    <col min="1263" max="1263" width="4.625" style="1" customWidth="1"/>
    <col min="1264" max="1264" width="34.625" style="1" customWidth="1"/>
    <col min="1265" max="1265" width="11.625" style="1" customWidth="1"/>
    <col min="1266" max="1267" width="6.625" style="1" customWidth="1"/>
    <col min="1268" max="1268" width="10.625" style="1" customWidth="1"/>
    <col min="1269" max="1269" width="14.625" style="1" customWidth="1"/>
    <col min="1270" max="1270" width="10.625" style="1" customWidth="1"/>
    <col min="1271" max="1271" width="14.625" style="1" customWidth="1"/>
    <col min="1272" max="1272" width="10.625" style="1" customWidth="1"/>
    <col min="1273" max="1273" width="14.625" style="1" customWidth="1"/>
    <col min="1274" max="1274" width="10.625" style="1" customWidth="1"/>
    <col min="1275" max="1275" width="18.625" style="1" customWidth="1"/>
    <col min="1276" max="1276" width="9.625" style="1" customWidth="1"/>
    <col min="1277" max="1277" width="10.5" style="1" customWidth="1"/>
    <col min="1278" max="1278" width="20.375" style="1" bestFit="1" customWidth="1"/>
    <col min="1279" max="1279" width="12.5" style="1" customWidth="1"/>
    <col min="1280" max="1280" width="13.125" style="1" customWidth="1"/>
    <col min="1281" max="1285" width="9" style="1"/>
    <col min="1286" max="1286" width="11.25" style="1" bestFit="1" customWidth="1"/>
    <col min="1287" max="1287" width="11.625" style="1" bestFit="1" customWidth="1"/>
    <col min="1288" max="1518" width="9" style="1"/>
    <col min="1519" max="1519" width="4.625" style="1" customWidth="1"/>
    <col min="1520" max="1520" width="34.625" style="1" customWidth="1"/>
    <col min="1521" max="1521" width="11.625" style="1" customWidth="1"/>
    <col min="1522" max="1523" width="6.625" style="1" customWidth="1"/>
    <col min="1524" max="1524" width="10.625" style="1" customWidth="1"/>
    <col min="1525" max="1525" width="14.625" style="1" customWidth="1"/>
    <col min="1526" max="1526" width="10.625" style="1" customWidth="1"/>
    <col min="1527" max="1527" width="14.625" style="1" customWidth="1"/>
    <col min="1528" max="1528" width="10.625" style="1" customWidth="1"/>
    <col min="1529" max="1529" width="14.625" style="1" customWidth="1"/>
    <col min="1530" max="1530" width="10.625" style="1" customWidth="1"/>
    <col min="1531" max="1531" width="18.625" style="1" customWidth="1"/>
    <col min="1532" max="1532" width="9.625" style="1" customWidth="1"/>
    <col min="1533" max="1533" width="10.5" style="1" customWidth="1"/>
    <col min="1534" max="1534" width="20.375" style="1" bestFit="1" customWidth="1"/>
    <col min="1535" max="1535" width="12.5" style="1" customWidth="1"/>
    <col min="1536" max="1536" width="13.125" style="1" customWidth="1"/>
    <col min="1537" max="1541" width="9" style="1"/>
    <col min="1542" max="1542" width="11.25" style="1" bestFit="1" customWidth="1"/>
    <col min="1543" max="1543" width="11.625" style="1" bestFit="1" customWidth="1"/>
    <col min="1544" max="1774" width="9" style="1"/>
    <col min="1775" max="1775" width="4.625" style="1" customWidth="1"/>
    <col min="1776" max="1776" width="34.625" style="1" customWidth="1"/>
    <col min="1777" max="1777" width="11.625" style="1" customWidth="1"/>
    <col min="1778" max="1779" width="6.625" style="1" customWidth="1"/>
    <col min="1780" max="1780" width="10.625" style="1" customWidth="1"/>
    <col min="1781" max="1781" width="14.625" style="1" customWidth="1"/>
    <col min="1782" max="1782" width="10.625" style="1" customWidth="1"/>
    <col min="1783" max="1783" width="14.625" style="1" customWidth="1"/>
    <col min="1784" max="1784" width="10.625" style="1" customWidth="1"/>
    <col min="1785" max="1785" width="14.625" style="1" customWidth="1"/>
    <col min="1786" max="1786" width="10.625" style="1" customWidth="1"/>
    <col min="1787" max="1787" width="18.625" style="1" customWidth="1"/>
    <col min="1788" max="1788" width="9.625" style="1" customWidth="1"/>
    <col min="1789" max="1789" width="10.5" style="1" customWidth="1"/>
    <col min="1790" max="1790" width="20.375" style="1" bestFit="1" customWidth="1"/>
    <col min="1791" max="1791" width="12.5" style="1" customWidth="1"/>
    <col min="1792" max="1792" width="13.125" style="1" customWidth="1"/>
    <col min="1793" max="1797" width="9" style="1"/>
    <col min="1798" max="1798" width="11.25" style="1" bestFit="1" customWidth="1"/>
    <col min="1799" max="1799" width="11.625" style="1" bestFit="1" customWidth="1"/>
    <col min="1800" max="2030" width="9" style="1"/>
    <col min="2031" max="2031" width="4.625" style="1" customWidth="1"/>
    <col min="2032" max="2032" width="34.625" style="1" customWidth="1"/>
    <col min="2033" max="2033" width="11.625" style="1" customWidth="1"/>
    <col min="2034" max="2035" width="6.625" style="1" customWidth="1"/>
    <col min="2036" max="2036" width="10.625" style="1" customWidth="1"/>
    <col min="2037" max="2037" width="14.625" style="1" customWidth="1"/>
    <col min="2038" max="2038" width="10.625" style="1" customWidth="1"/>
    <col min="2039" max="2039" width="14.625" style="1" customWidth="1"/>
    <col min="2040" max="2040" width="10.625" style="1" customWidth="1"/>
    <col min="2041" max="2041" width="14.625" style="1" customWidth="1"/>
    <col min="2042" max="2042" width="10.625" style="1" customWidth="1"/>
    <col min="2043" max="2043" width="18.625" style="1" customWidth="1"/>
    <col min="2044" max="2044" width="9.625" style="1" customWidth="1"/>
    <col min="2045" max="2045" width="10.5" style="1" customWidth="1"/>
    <col min="2046" max="2046" width="20.375" style="1" bestFit="1" customWidth="1"/>
    <col min="2047" max="2047" width="12.5" style="1" customWidth="1"/>
    <col min="2048" max="2048" width="13.125" style="1" customWidth="1"/>
    <col min="2049" max="2053" width="9" style="1"/>
    <col min="2054" max="2054" width="11.25" style="1" bestFit="1" customWidth="1"/>
    <col min="2055" max="2055" width="11.625" style="1" bestFit="1" customWidth="1"/>
    <col min="2056" max="2286" width="9" style="1"/>
    <col min="2287" max="2287" width="4.625" style="1" customWidth="1"/>
    <col min="2288" max="2288" width="34.625" style="1" customWidth="1"/>
    <col min="2289" max="2289" width="11.625" style="1" customWidth="1"/>
    <col min="2290" max="2291" width="6.625" style="1" customWidth="1"/>
    <col min="2292" max="2292" width="10.625" style="1" customWidth="1"/>
    <col min="2293" max="2293" width="14.625" style="1" customWidth="1"/>
    <col min="2294" max="2294" width="10.625" style="1" customWidth="1"/>
    <col min="2295" max="2295" width="14.625" style="1" customWidth="1"/>
    <col min="2296" max="2296" width="10.625" style="1" customWidth="1"/>
    <col min="2297" max="2297" width="14.625" style="1" customWidth="1"/>
    <col min="2298" max="2298" width="10.625" style="1" customWidth="1"/>
    <col min="2299" max="2299" width="18.625" style="1" customWidth="1"/>
    <col min="2300" max="2300" width="9.625" style="1" customWidth="1"/>
    <col min="2301" max="2301" width="10.5" style="1" customWidth="1"/>
    <col min="2302" max="2302" width="20.375" style="1" bestFit="1" customWidth="1"/>
    <col min="2303" max="2303" width="12.5" style="1" customWidth="1"/>
    <col min="2304" max="2304" width="13.125" style="1" customWidth="1"/>
    <col min="2305" max="2309" width="9" style="1"/>
    <col min="2310" max="2310" width="11.25" style="1" bestFit="1" customWidth="1"/>
    <col min="2311" max="2311" width="11.625" style="1" bestFit="1" customWidth="1"/>
    <col min="2312" max="2542" width="9" style="1"/>
    <col min="2543" max="2543" width="4.625" style="1" customWidth="1"/>
    <col min="2544" max="2544" width="34.625" style="1" customWidth="1"/>
    <col min="2545" max="2545" width="11.625" style="1" customWidth="1"/>
    <col min="2546" max="2547" width="6.625" style="1" customWidth="1"/>
    <col min="2548" max="2548" width="10.625" style="1" customWidth="1"/>
    <col min="2549" max="2549" width="14.625" style="1" customWidth="1"/>
    <col min="2550" max="2550" width="10.625" style="1" customWidth="1"/>
    <col min="2551" max="2551" width="14.625" style="1" customWidth="1"/>
    <col min="2552" max="2552" width="10.625" style="1" customWidth="1"/>
    <col min="2553" max="2553" width="14.625" style="1" customWidth="1"/>
    <col min="2554" max="2554" width="10.625" style="1" customWidth="1"/>
    <col min="2555" max="2555" width="18.625" style="1" customWidth="1"/>
    <col min="2556" max="2556" width="9.625" style="1" customWidth="1"/>
    <col min="2557" max="2557" width="10.5" style="1" customWidth="1"/>
    <col min="2558" max="2558" width="20.375" style="1" bestFit="1" customWidth="1"/>
    <col min="2559" max="2559" width="12.5" style="1" customWidth="1"/>
    <col min="2560" max="2560" width="13.125" style="1" customWidth="1"/>
    <col min="2561" max="2565" width="9" style="1"/>
    <col min="2566" max="2566" width="11.25" style="1" bestFit="1" customWidth="1"/>
    <col min="2567" max="2567" width="11.625" style="1" bestFit="1" customWidth="1"/>
    <col min="2568" max="2798" width="9" style="1"/>
    <col min="2799" max="2799" width="4.625" style="1" customWidth="1"/>
    <col min="2800" max="2800" width="34.625" style="1" customWidth="1"/>
    <col min="2801" max="2801" width="11.625" style="1" customWidth="1"/>
    <col min="2802" max="2803" width="6.625" style="1" customWidth="1"/>
    <col min="2804" max="2804" width="10.625" style="1" customWidth="1"/>
    <col min="2805" max="2805" width="14.625" style="1" customWidth="1"/>
    <col min="2806" max="2806" width="10.625" style="1" customWidth="1"/>
    <col min="2807" max="2807" width="14.625" style="1" customWidth="1"/>
    <col min="2808" max="2808" width="10.625" style="1" customWidth="1"/>
    <col min="2809" max="2809" width="14.625" style="1" customWidth="1"/>
    <col min="2810" max="2810" width="10.625" style="1" customWidth="1"/>
    <col min="2811" max="2811" width="18.625" style="1" customWidth="1"/>
    <col min="2812" max="2812" width="9.625" style="1" customWidth="1"/>
    <col min="2813" max="2813" width="10.5" style="1" customWidth="1"/>
    <col min="2814" max="2814" width="20.375" style="1" bestFit="1" customWidth="1"/>
    <col min="2815" max="2815" width="12.5" style="1" customWidth="1"/>
    <col min="2816" max="2816" width="13.125" style="1" customWidth="1"/>
    <col min="2817" max="2821" width="9" style="1"/>
    <col min="2822" max="2822" width="11.25" style="1" bestFit="1" customWidth="1"/>
    <col min="2823" max="2823" width="11.625" style="1" bestFit="1" customWidth="1"/>
    <col min="2824" max="3054" width="9" style="1"/>
    <col min="3055" max="3055" width="4.625" style="1" customWidth="1"/>
    <col min="3056" max="3056" width="34.625" style="1" customWidth="1"/>
    <col min="3057" max="3057" width="11.625" style="1" customWidth="1"/>
    <col min="3058" max="3059" width="6.625" style="1" customWidth="1"/>
    <col min="3060" max="3060" width="10.625" style="1" customWidth="1"/>
    <col min="3061" max="3061" width="14.625" style="1" customWidth="1"/>
    <col min="3062" max="3062" width="10.625" style="1" customWidth="1"/>
    <col min="3063" max="3063" width="14.625" style="1" customWidth="1"/>
    <col min="3064" max="3064" width="10.625" style="1" customWidth="1"/>
    <col min="3065" max="3065" width="14.625" style="1" customWidth="1"/>
    <col min="3066" max="3066" width="10.625" style="1" customWidth="1"/>
    <col min="3067" max="3067" width="18.625" style="1" customWidth="1"/>
    <col min="3068" max="3068" width="9.625" style="1" customWidth="1"/>
    <col min="3069" max="3069" width="10.5" style="1" customWidth="1"/>
    <col min="3070" max="3070" width="20.375" style="1" bestFit="1" customWidth="1"/>
    <col min="3071" max="3071" width="12.5" style="1" customWidth="1"/>
    <col min="3072" max="3072" width="13.125" style="1" customWidth="1"/>
    <col min="3073" max="3077" width="9" style="1"/>
    <col min="3078" max="3078" width="11.25" style="1" bestFit="1" customWidth="1"/>
    <col min="3079" max="3079" width="11.625" style="1" bestFit="1" customWidth="1"/>
    <col min="3080" max="3310" width="9" style="1"/>
    <col min="3311" max="3311" width="4.625" style="1" customWidth="1"/>
    <col min="3312" max="3312" width="34.625" style="1" customWidth="1"/>
    <col min="3313" max="3313" width="11.625" style="1" customWidth="1"/>
    <col min="3314" max="3315" width="6.625" style="1" customWidth="1"/>
    <col min="3316" max="3316" width="10.625" style="1" customWidth="1"/>
    <col min="3317" max="3317" width="14.625" style="1" customWidth="1"/>
    <col min="3318" max="3318" width="10.625" style="1" customWidth="1"/>
    <col min="3319" max="3319" width="14.625" style="1" customWidth="1"/>
    <col min="3320" max="3320" width="10.625" style="1" customWidth="1"/>
    <col min="3321" max="3321" width="14.625" style="1" customWidth="1"/>
    <col min="3322" max="3322" width="10.625" style="1" customWidth="1"/>
    <col min="3323" max="3323" width="18.625" style="1" customWidth="1"/>
    <col min="3324" max="3324" width="9.625" style="1" customWidth="1"/>
    <col min="3325" max="3325" width="10.5" style="1" customWidth="1"/>
    <col min="3326" max="3326" width="20.375" style="1" bestFit="1" customWidth="1"/>
    <col min="3327" max="3327" width="12.5" style="1" customWidth="1"/>
    <col min="3328" max="3328" width="13.125" style="1" customWidth="1"/>
    <col min="3329" max="3333" width="9" style="1"/>
    <col min="3334" max="3334" width="11.25" style="1" bestFit="1" customWidth="1"/>
    <col min="3335" max="3335" width="11.625" style="1" bestFit="1" customWidth="1"/>
    <col min="3336" max="3566" width="9" style="1"/>
    <col min="3567" max="3567" width="4.625" style="1" customWidth="1"/>
    <col min="3568" max="3568" width="34.625" style="1" customWidth="1"/>
    <col min="3569" max="3569" width="11.625" style="1" customWidth="1"/>
    <col min="3570" max="3571" width="6.625" style="1" customWidth="1"/>
    <col min="3572" max="3572" width="10.625" style="1" customWidth="1"/>
    <col min="3573" max="3573" width="14.625" style="1" customWidth="1"/>
    <col min="3574" max="3574" width="10.625" style="1" customWidth="1"/>
    <col min="3575" max="3575" width="14.625" style="1" customWidth="1"/>
    <col min="3576" max="3576" width="10.625" style="1" customWidth="1"/>
    <col min="3577" max="3577" width="14.625" style="1" customWidth="1"/>
    <col min="3578" max="3578" width="10.625" style="1" customWidth="1"/>
    <col min="3579" max="3579" width="18.625" style="1" customWidth="1"/>
    <col min="3580" max="3580" width="9.625" style="1" customWidth="1"/>
    <col min="3581" max="3581" width="10.5" style="1" customWidth="1"/>
    <col min="3582" max="3582" width="20.375" style="1" bestFit="1" customWidth="1"/>
    <col min="3583" max="3583" width="12.5" style="1" customWidth="1"/>
    <col min="3584" max="3584" width="13.125" style="1" customWidth="1"/>
    <col min="3585" max="3589" width="9" style="1"/>
    <col min="3590" max="3590" width="11.25" style="1" bestFit="1" customWidth="1"/>
    <col min="3591" max="3591" width="11.625" style="1" bestFit="1" customWidth="1"/>
    <col min="3592" max="3822" width="9" style="1"/>
    <col min="3823" max="3823" width="4.625" style="1" customWidth="1"/>
    <col min="3824" max="3824" width="34.625" style="1" customWidth="1"/>
    <col min="3825" max="3825" width="11.625" style="1" customWidth="1"/>
    <col min="3826" max="3827" width="6.625" style="1" customWidth="1"/>
    <col min="3828" max="3828" width="10.625" style="1" customWidth="1"/>
    <col min="3829" max="3829" width="14.625" style="1" customWidth="1"/>
    <col min="3830" max="3830" width="10.625" style="1" customWidth="1"/>
    <col min="3831" max="3831" width="14.625" style="1" customWidth="1"/>
    <col min="3832" max="3832" width="10.625" style="1" customWidth="1"/>
    <col min="3833" max="3833" width="14.625" style="1" customWidth="1"/>
    <col min="3834" max="3834" width="10.625" style="1" customWidth="1"/>
    <col min="3835" max="3835" width="18.625" style="1" customWidth="1"/>
    <col min="3836" max="3836" width="9.625" style="1" customWidth="1"/>
    <col min="3837" max="3837" width="10.5" style="1" customWidth="1"/>
    <col min="3838" max="3838" width="20.375" style="1" bestFit="1" customWidth="1"/>
    <col min="3839" max="3839" width="12.5" style="1" customWidth="1"/>
    <col min="3840" max="3840" width="13.125" style="1" customWidth="1"/>
    <col min="3841" max="3845" width="9" style="1"/>
    <col min="3846" max="3846" width="11.25" style="1" bestFit="1" customWidth="1"/>
    <col min="3847" max="3847" width="11.625" style="1" bestFit="1" customWidth="1"/>
    <col min="3848" max="4078" width="9" style="1"/>
    <col min="4079" max="4079" width="4.625" style="1" customWidth="1"/>
    <col min="4080" max="4080" width="34.625" style="1" customWidth="1"/>
    <col min="4081" max="4081" width="11.625" style="1" customWidth="1"/>
    <col min="4082" max="4083" width="6.625" style="1" customWidth="1"/>
    <col min="4084" max="4084" width="10.625" style="1" customWidth="1"/>
    <col min="4085" max="4085" width="14.625" style="1" customWidth="1"/>
    <col min="4086" max="4086" width="10.625" style="1" customWidth="1"/>
    <col min="4087" max="4087" width="14.625" style="1" customWidth="1"/>
    <col min="4088" max="4088" width="10.625" style="1" customWidth="1"/>
    <col min="4089" max="4089" width="14.625" style="1" customWidth="1"/>
    <col min="4090" max="4090" width="10.625" style="1" customWidth="1"/>
    <col min="4091" max="4091" width="18.625" style="1" customWidth="1"/>
    <col min="4092" max="4092" width="9.625" style="1" customWidth="1"/>
    <col min="4093" max="4093" width="10.5" style="1" customWidth="1"/>
    <col min="4094" max="4094" width="20.375" style="1" bestFit="1" customWidth="1"/>
    <col min="4095" max="4095" width="12.5" style="1" customWidth="1"/>
    <col min="4096" max="4096" width="13.125" style="1" customWidth="1"/>
    <col min="4097" max="4101" width="9" style="1"/>
    <col min="4102" max="4102" width="11.25" style="1" bestFit="1" customWidth="1"/>
    <col min="4103" max="4103" width="11.625" style="1" bestFit="1" customWidth="1"/>
    <col min="4104" max="4334" width="9" style="1"/>
    <col min="4335" max="4335" width="4.625" style="1" customWidth="1"/>
    <col min="4336" max="4336" width="34.625" style="1" customWidth="1"/>
    <col min="4337" max="4337" width="11.625" style="1" customWidth="1"/>
    <col min="4338" max="4339" width="6.625" style="1" customWidth="1"/>
    <col min="4340" max="4340" width="10.625" style="1" customWidth="1"/>
    <col min="4341" max="4341" width="14.625" style="1" customWidth="1"/>
    <col min="4342" max="4342" width="10.625" style="1" customWidth="1"/>
    <col min="4343" max="4343" width="14.625" style="1" customWidth="1"/>
    <col min="4344" max="4344" width="10.625" style="1" customWidth="1"/>
    <col min="4345" max="4345" width="14.625" style="1" customWidth="1"/>
    <col min="4346" max="4346" width="10.625" style="1" customWidth="1"/>
    <col min="4347" max="4347" width="18.625" style="1" customWidth="1"/>
    <col min="4348" max="4348" width="9.625" style="1" customWidth="1"/>
    <col min="4349" max="4349" width="10.5" style="1" customWidth="1"/>
    <col min="4350" max="4350" width="20.375" style="1" bestFit="1" customWidth="1"/>
    <col min="4351" max="4351" width="12.5" style="1" customWidth="1"/>
    <col min="4352" max="4352" width="13.125" style="1" customWidth="1"/>
    <col min="4353" max="4357" width="9" style="1"/>
    <col min="4358" max="4358" width="11.25" style="1" bestFit="1" customWidth="1"/>
    <col min="4359" max="4359" width="11.625" style="1" bestFit="1" customWidth="1"/>
    <col min="4360" max="4590" width="9" style="1"/>
    <col min="4591" max="4591" width="4.625" style="1" customWidth="1"/>
    <col min="4592" max="4592" width="34.625" style="1" customWidth="1"/>
    <col min="4593" max="4593" width="11.625" style="1" customWidth="1"/>
    <col min="4594" max="4595" width="6.625" style="1" customWidth="1"/>
    <col min="4596" max="4596" width="10.625" style="1" customWidth="1"/>
    <col min="4597" max="4597" width="14.625" style="1" customWidth="1"/>
    <col min="4598" max="4598" width="10.625" style="1" customWidth="1"/>
    <col min="4599" max="4599" width="14.625" style="1" customWidth="1"/>
    <col min="4600" max="4600" width="10.625" style="1" customWidth="1"/>
    <col min="4601" max="4601" width="14.625" style="1" customWidth="1"/>
    <col min="4602" max="4602" width="10.625" style="1" customWidth="1"/>
    <col min="4603" max="4603" width="18.625" style="1" customWidth="1"/>
    <col min="4604" max="4604" width="9.625" style="1" customWidth="1"/>
    <col min="4605" max="4605" width="10.5" style="1" customWidth="1"/>
    <col min="4606" max="4606" width="20.375" style="1" bestFit="1" customWidth="1"/>
    <col min="4607" max="4607" width="12.5" style="1" customWidth="1"/>
    <col min="4608" max="4608" width="13.125" style="1" customWidth="1"/>
    <col min="4609" max="4613" width="9" style="1"/>
    <col min="4614" max="4614" width="11.25" style="1" bestFit="1" customWidth="1"/>
    <col min="4615" max="4615" width="11.625" style="1" bestFit="1" customWidth="1"/>
    <col min="4616" max="4846" width="9" style="1"/>
    <col min="4847" max="4847" width="4.625" style="1" customWidth="1"/>
    <col min="4848" max="4848" width="34.625" style="1" customWidth="1"/>
    <col min="4849" max="4849" width="11.625" style="1" customWidth="1"/>
    <col min="4850" max="4851" width="6.625" style="1" customWidth="1"/>
    <col min="4852" max="4852" width="10.625" style="1" customWidth="1"/>
    <col min="4853" max="4853" width="14.625" style="1" customWidth="1"/>
    <col min="4854" max="4854" width="10.625" style="1" customWidth="1"/>
    <col min="4855" max="4855" width="14.625" style="1" customWidth="1"/>
    <col min="4856" max="4856" width="10.625" style="1" customWidth="1"/>
    <col min="4857" max="4857" width="14.625" style="1" customWidth="1"/>
    <col min="4858" max="4858" width="10.625" style="1" customWidth="1"/>
    <col min="4859" max="4859" width="18.625" style="1" customWidth="1"/>
    <col min="4860" max="4860" width="9.625" style="1" customWidth="1"/>
    <col min="4861" max="4861" width="10.5" style="1" customWidth="1"/>
    <col min="4862" max="4862" width="20.375" style="1" bestFit="1" customWidth="1"/>
    <col min="4863" max="4863" width="12.5" style="1" customWidth="1"/>
    <col min="4864" max="4864" width="13.125" style="1" customWidth="1"/>
    <col min="4865" max="4869" width="9" style="1"/>
    <col min="4870" max="4870" width="11.25" style="1" bestFit="1" customWidth="1"/>
    <col min="4871" max="4871" width="11.625" style="1" bestFit="1" customWidth="1"/>
    <col min="4872" max="5102" width="9" style="1"/>
    <col min="5103" max="5103" width="4.625" style="1" customWidth="1"/>
    <col min="5104" max="5104" width="34.625" style="1" customWidth="1"/>
    <col min="5105" max="5105" width="11.625" style="1" customWidth="1"/>
    <col min="5106" max="5107" width="6.625" style="1" customWidth="1"/>
    <col min="5108" max="5108" width="10.625" style="1" customWidth="1"/>
    <col min="5109" max="5109" width="14.625" style="1" customWidth="1"/>
    <col min="5110" max="5110" width="10.625" style="1" customWidth="1"/>
    <col min="5111" max="5111" width="14.625" style="1" customWidth="1"/>
    <col min="5112" max="5112" width="10.625" style="1" customWidth="1"/>
    <col min="5113" max="5113" width="14.625" style="1" customWidth="1"/>
    <col min="5114" max="5114" width="10.625" style="1" customWidth="1"/>
    <col min="5115" max="5115" width="18.625" style="1" customWidth="1"/>
    <col min="5116" max="5116" width="9.625" style="1" customWidth="1"/>
    <col min="5117" max="5117" width="10.5" style="1" customWidth="1"/>
    <col min="5118" max="5118" width="20.375" style="1" bestFit="1" customWidth="1"/>
    <col min="5119" max="5119" width="12.5" style="1" customWidth="1"/>
    <col min="5120" max="5120" width="13.125" style="1" customWidth="1"/>
    <col min="5121" max="5125" width="9" style="1"/>
    <col min="5126" max="5126" width="11.25" style="1" bestFit="1" customWidth="1"/>
    <col min="5127" max="5127" width="11.625" style="1" bestFit="1" customWidth="1"/>
    <col min="5128" max="5358" width="9" style="1"/>
    <col min="5359" max="5359" width="4.625" style="1" customWidth="1"/>
    <col min="5360" max="5360" width="34.625" style="1" customWidth="1"/>
    <col min="5361" max="5361" width="11.625" style="1" customWidth="1"/>
    <col min="5362" max="5363" width="6.625" style="1" customWidth="1"/>
    <col min="5364" max="5364" width="10.625" style="1" customWidth="1"/>
    <col min="5365" max="5365" width="14.625" style="1" customWidth="1"/>
    <col min="5366" max="5366" width="10.625" style="1" customWidth="1"/>
    <col min="5367" max="5367" width="14.625" style="1" customWidth="1"/>
    <col min="5368" max="5368" width="10.625" style="1" customWidth="1"/>
    <col min="5369" max="5369" width="14.625" style="1" customWidth="1"/>
    <col min="5370" max="5370" width="10.625" style="1" customWidth="1"/>
    <col min="5371" max="5371" width="18.625" style="1" customWidth="1"/>
    <col min="5372" max="5372" width="9.625" style="1" customWidth="1"/>
    <col min="5373" max="5373" width="10.5" style="1" customWidth="1"/>
    <col min="5374" max="5374" width="20.375" style="1" bestFit="1" customWidth="1"/>
    <col min="5375" max="5375" width="12.5" style="1" customWidth="1"/>
    <col min="5376" max="5376" width="13.125" style="1" customWidth="1"/>
    <col min="5377" max="5381" width="9" style="1"/>
    <col min="5382" max="5382" width="11.25" style="1" bestFit="1" customWidth="1"/>
    <col min="5383" max="5383" width="11.625" style="1" bestFit="1" customWidth="1"/>
    <col min="5384" max="5614" width="9" style="1"/>
    <col min="5615" max="5615" width="4.625" style="1" customWidth="1"/>
    <col min="5616" max="5616" width="34.625" style="1" customWidth="1"/>
    <col min="5617" max="5617" width="11.625" style="1" customWidth="1"/>
    <col min="5618" max="5619" width="6.625" style="1" customWidth="1"/>
    <col min="5620" max="5620" width="10.625" style="1" customWidth="1"/>
    <col min="5621" max="5621" width="14.625" style="1" customWidth="1"/>
    <col min="5622" max="5622" width="10.625" style="1" customWidth="1"/>
    <col min="5623" max="5623" width="14.625" style="1" customWidth="1"/>
    <col min="5624" max="5624" width="10.625" style="1" customWidth="1"/>
    <col min="5625" max="5625" width="14.625" style="1" customWidth="1"/>
    <col min="5626" max="5626" width="10.625" style="1" customWidth="1"/>
    <col min="5627" max="5627" width="18.625" style="1" customWidth="1"/>
    <col min="5628" max="5628" width="9.625" style="1" customWidth="1"/>
    <col min="5629" max="5629" width="10.5" style="1" customWidth="1"/>
    <col min="5630" max="5630" width="20.375" style="1" bestFit="1" customWidth="1"/>
    <col min="5631" max="5631" width="12.5" style="1" customWidth="1"/>
    <col min="5632" max="5632" width="13.125" style="1" customWidth="1"/>
    <col min="5633" max="5637" width="9" style="1"/>
    <col min="5638" max="5638" width="11.25" style="1" bestFit="1" customWidth="1"/>
    <col min="5639" max="5639" width="11.625" style="1" bestFit="1" customWidth="1"/>
    <col min="5640" max="5870" width="9" style="1"/>
    <col min="5871" max="5871" width="4.625" style="1" customWidth="1"/>
    <col min="5872" max="5872" width="34.625" style="1" customWidth="1"/>
    <col min="5873" max="5873" width="11.625" style="1" customWidth="1"/>
    <col min="5874" max="5875" width="6.625" style="1" customWidth="1"/>
    <col min="5876" max="5876" width="10.625" style="1" customWidth="1"/>
    <col min="5877" max="5877" width="14.625" style="1" customWidth="1"/>
    <col min="5878" max="5878" width="10.625" style="1" customWidth="1"/>
    <col min="5879" max="5879" width="14.625" style="1" customWidth="1"/>
    <col min="5880" max="5880" width="10.625" style="1" customWidth="1"/>
    <col min="5881" max="5881" width="14.625" style="1" customWidth="1"/>
    <col min="5882" max="5882" width="10.625" style="1" customWidth="1"/>
    <col min="5883" max="5883" width="18.625" style="1" customWidth="1"/>
    <col min="5884" max="5884" width="9.625" style="1" customWidth="1"/>
    <col min="5885" max="5885" width="10.5" style="1" customWidth="1"/>
    <col min="5886" max="5886" width="20.375" style="1" bestFit="1" customWidth="1"/>
    <col min="5887" max="5887" width="12.5" style="1" customWidth="1"/>
    <col min="5888" max="5888" width="13.125" style="1" customWidth="1"/>
    <col min="5889" max="5893" width="9" style="1"/>
    <col min="5894" max="5894" width="11.25" style="1" bestFit="1" customWidth="1"/>
    <col min="5895" max="5895" width="11.625" style="1" bestFit="1" customWidth="1"/>
    <col min="5896" max="6126" width="9" style="1"/>
    <col min="6127" max="6127" width="4.625" style="1" customWidth="1"/>
    <col min="6128" max="6128" width="34.625" style="1" customWidth="1"/>
    <col min="6129" max="6129" width="11.625" style="1" customWidth="1"/>
    <col min="6130" max="6131" width="6.625" style="1" customWidth="1"/>
    <col min="6132" max="6132" width="10.625" style="1" customWidth="1"/>
    <col min="6133" max="6133" width="14.625" style="1" customWidth="1"/>
    <col min="6134" max="6134" width="10.625" style="1" customWidth="1"/>
    <col min="6135" max="6135" width="14.625" style="1" customWidth="1"/>
    <col min="6136" max="6136" width="10.625" style="1" customWidth="1"/>
    <col min="6137" max="6137" width="14.625" style="1" customWidth="1"/>
    <col min="6138" max="6138" width="10.625" style="1" customWidth="1"/>
    <col min="6139" max="6139" width="18.625" style="1" customWidth="1"/>
    <col min="6140" max="6140" width="9.625" style="1" customWidth="1"/>
    <col min="6141" max="6141" width="10.5" style="1" customWidth="1"/>
    <col min="6142" max="6142" width="20.375" style="1" bestFit="1" customWidth="1"/>
    <col min="6143" max="6143" width="12.5" style="1" customWidth="1"/>
    <col min="6144" max="6144" width="13.125" style="1" customWidth="1"/>
    <col min="6145" max="6149" width="9" style="1"/>
    <col min="6150" max="6150" width="11.25" style="1" bestFit="1" customWidth="1"/>
    <col min="6151" max="6151" width="11.625" style="1" bestFit="1" customWidth="1"/>
    <col min="6152" max="6382" width="9" style="1"/>
    <col min="6383" max="6383" width="4.625" style="1" customWidth="1"/>
    <col min="6384" max="6384" width="34.625" style="1" customWidth="1"/>
    <col min="6385" max="6385" width="11.625" style="1" customWidth="1"/>
    <col min="6386" max="6387" width="6.625" style="1" customWidth="1"/>
    <col min="6388" max="6388" width="10.625" style="1" customWidth="1"/>
    <col min="6389" max="6389" width="14.625" style="1" customWidth="1"/>
    <col min="6390" max="6390" width="10.625" style="1" customWidth="1"/>
    <col min="6391" max="6391" width="14.625" style="1" customWidth="1"/>
    <col min="6392" max="6392" width="10.625" style="1" customWidth="1"/>
    <col min="6393" max="6393" width="14.625" style="1" customWidth="1"/>
    <col min="6394" max="6394" width="10.625" style="1" customWidth="1"/>
    <col min="6395" max="6395" width="18.625" style="1" customWidth="1"/>
    <col min="6396" max="6396" width="9.625" style="1" customWidth="1"/>
    <col min="6397" max="6397" width="10.5" style="1" customWidth="1"/>
    <col min="6398" max="6398" width="20.375" style="1" bestFit="1" customWidth="1"/>
    <col min="6399" max="6399" width="12.5" style="1" customWidth="1"/>
    <col min="6400" max="6400" width="13.125" style="1" customWidth="1"/>
    <col min="6401" max="6405" width="9" style="1"/>
    <col min="6406" max="6406" width="11.25" style="1" bestFit="1" customWidth="1"/>
    <col min="6407" max="6407" width="11.625" style="1" bestFit="1" customWidth="1"/>
    <col min="6408" max="6638" width="9" style="1"/>
    <col min="6639" max="6639" width="4.625" style="1" customWidth="1"/>
    <col min="6640" max="6640" width="34.625" style="1" customWidth="1"/>
    <col min="6641" max="6641" width="11.625" style="1" customWidth="1"/>
    <col min="6642" max="6643" width="6.625" style="1" customWidth="1"/>
    <col min="6644" max="6644" width="10.625" style="1" customWidth="1"/>
    <col min="6645" max="6645" width="14.625" style="1" customWidth="1"/>
    <col min="6646" max="6646" width="10.625" style="1" customWidth="1"/>
    <col min="6647" max="6647" width="14.625" style="1" customWidth="1"/>
    <col min="6648" max="6648" width="10.625" style="1" customWidth="1"/>
    <col min="6649" max="6649" width="14.625" style="1" customWidth="1"/>
    <col min="6650" max="6650" width="10.625" style="1" customWidth="1"/>
    <col min="6651" max="6651" width="18.625" style="1" customWidth="1"/>
    <col min="6652" max="6652" width="9.625" style="1" customWidth="1"/>
    <col min="6653" max="6653" width="10.5" style="1" customWidth="1"/>
    <col min="6654" max="6654" width="20.375" style="1" bestFit="1" customWidth="1"/>
    <col min="6655" max="6655" width="12.5" style="1" customWidth="1"/>
    <col min="6656" max="6656" width="13.125" style="1" customWidth="1"/>
    <col min="6657" max="6661" width="9" style="1"/>
    <col min="6662" max="6662" width="11.25" style="1" bestFit="1" customWidth="1"/>
    <col min="6663" max="6663" width="11.625" style="1" bestFit="1" customWidth="1"/>
    <col min="6664" max="6894" width="9" style="1"/>
    <col min="6895" max="6895" width="4.625" style="1" customWidth="1"/>
    <col min="6896" max="6896" width="34.625" style="1" customWidth="1"/>
    <col min="6897" max="6897" width="11.625" style="1" customWidth="1"/>
    <col min="6898" max="6899" width="6.625" style="1" customWidth="1"/>
    <col min="6900" max="6900" width="10.625" style="1" customWidth="1"/>
    <col min="6901" max="6901" width="14.625" style="1" customWidth="1"/>
    <col min="6902" max="6902" width="10.625" style="1" customWidth="1"/>
    <col min="6903" max="6903" width="14.625" style="1" customWidth="1"/>
    <col min="6904" max="6904" width="10.625" style="1" customWidth="1"/>
    <col min="6905" max="6905" width="14.625" style="1" customWidth="1"/>
    <col min="6906" max="6906" width="10.625" style="1" customWidth="1"/>
    <col min="6907" max="6907" width="18.625" style="1" customWidth="1"/>
    <col min="6908" max="6908" width="9.625" style="1" customWidth="1"/>
    <col min="6909" max="6909" width="10.5" style="1" customWidth="1"/>
    <col min="6910" max="6910" width="20.375" style="1" bestFit="1" customWidth="1"/>
    <col min="6911" max="6911" width="12.5" style="1" customWidth="1"/>
    <col min="6912" max="6912" width="13.125" style="1" customWidth="1"/>
    <col min="6913" max="6917" width="9" style="1"/>
    <col min="6918" max="6918" width="11.25" style="1" bestFit="1" customWidth="1"/>
    <col min="6919" max="6919" width="11.625" style="1" bestFit="1" customWidth="1"/>
    <col min="6920" max="7150" width="9" style="1"/>
    <col min="7151" max="7151" width="4.625" style="1" customWidth="1"/>
    <col min="7152" max="7152" width="34.625" style="1" customWidth="1"/>
    <col min="7153" max="7153" width="11.625" style="1" customWidth="1"/>
    <col min="7154" max="7155" width="6.625" style="1" customWidth="1"/>
    <col min="7156" max="7156" width="10.625" style="1" customWidth="1"/>
    <col min="7157" max="7157" width="14.625" style="1" customWidth="1"/>
    <col min="7158" max="7158" width="10.625" style="1" customWidth="1"/>
    <col min="7159" max="7159" width="14.625" style="1" customWidth="1"/>
    <col min="7160" max="7160" width="10.625" style="1" customWidth="1"/>
    <col min="7161" max="7161" width="14.625" style="1" customWidth="1"/>
    <col min="7162" max="7162" width="10.625" style="1" customWidth="1"/>
    <col min="7163" max="7163" width="18.625" style="1" customWidth="1"/>
    <col min="7164" max="7164" width="9.625" style="1" customWidth="1"/>
    <col min="7165" max="7165" width="10.5" style="1" customWidth="1"/>
    <col min="7166" max="7166" width="20.375" style="1" bestFit="1" customWidth="1"/>
    <col min="7167" max="7167" width="12.5" style="1" customWidth="1"/>
    <col min="7168" max="7168" width="13.125" style="1" customWidth="1"/>
    <col min="7169" max="7173" width="9" style="1"/>
    <col min="7174" max="7174" width="11.25" style="1" bestFit="1" customWidth="1"/>
    <col min="7175" max="7175" width="11.625" style="1" bestFit="1" customWidth="1"/>
    <col min="7176" max="7406" width="9" style="1"/>
    <col min="7407" max="7407" width="4.625" style="1" customWidth="1"/>
    <col min="7408" max="7408" width="34.625" style="1" customWidth="1"/>
    <col min="7409" max="7409" width="11.625" style="1" customWidth="1"/>
    <col min="7410" max="7411" width="6.625" style="1" customWidth="1"/>
    <col min="7412" max="7412" width="10.625" style="1" customWidth="1"/>
    <col min="7413" max="7413" width="14.625" style="1" customWidth="1"/>
    <col min="7414" max="7414" width="10.625" style="1" customWidth="1"/>
    <col min="7415" max="7415" width="14.625" style="1" customWidth="1"/>
    <col min="7416" max="7416" width="10.625" style="1" customWidth="1"/>
    <col min="7417" max="7417" width="14.625" style="1" customWidth="1"/>
    <col min="7418" max="7418" width="10.625" style="1" customWidth="1"/>
    <col min="7419" max="7419" width="18.625" style="1" customWidth="1"/>
    <col min="7420" max="7420" width="9.625" style="1" customWidth="1"/>
    <col min="7421" max="7421" width="10.5" style="1" customWidth="1"/>
    <col min="7422" max="7422" width="20.375" style="1" bestFit="1" customWidth="1"/>
    <col min="7423" max="7423" width="12.5" style="1" customWidth="1"/>
    <col min="7424" max="7424" width="13.125" style="1" customWidth="1"/>
    <col min="7425" max="7429" width="9" style="1"/>
    <col min="7430" max="7430" width="11.25" style="1" bestFit="1" customWidth="1"/>
    <col min="7431" max="7431" width="11.625" style="1" bestFit="1" customWidth="1"/>
    <col min="7432" max="7662" width="9" style="1"/>
    <col min="7663" max="7663" width="4.625" style="1" customWidth="1"/>
    <col min="7664" max="7664" width="34.625" style="1" customWidth="1"/>
    <col min="7665" max="7665" width="11.625" style="1" customWidth="1"/>
    <col min="7666" max="7667" width="6.625" style="1" customWidth="1"/>
    <col min="7668" max="7668" width="10.625" style="1" customWidth="1"/>
    <col min="7669" max="7669" width="14.625" style="1" customWidth="1"/>
    <col min="7670" max="7670" width="10.625" style="1" customWidth="1"/>
    <col min="7671" max="7671" width="14.625" style="1" customWidth="1"/>
    <col min="7672" max="7672" width="10.625" style="1" customWidth="1"/>
    <col min="7673" max="7673" width="14.625" style="1" customWidth="1"/>
    <col min="7674" max="7674" width="10.625" style="1" customWidth="1"/>
    <col min="7675" max="7675" width="18.625" style="1" customWidth="1"/>
    <col min="7676" max="7676" width="9.625" style="1" customWidth="1"/>
    <col min="7677" max="7677" width="10.5" style="1" customWidth="1"/>
    <col min="7678" max="7678" width="20.375" style="1" bestFit="1" customWidth="1"/>
    <col min="7679" max="7679" width="12.5" style="1" customWidth="1"/>
    <col min="7680" max="7680" width="13.125" style="1" customWidth="1"/>
    <col min="7681" max="7685" width="9" style="1"/>
    <col min="7686" max="7686" width="11.25" style="1" bestFit="1" customWidth="1"/>
    <col min="7687" max="7687" width="11.625" style="1" bestFit="1" customWidth="1"/>
    <col min="7688" max="7918" width="9" style="1"/>
    <col min="7919" max="7919" width="4.625" style="1" customWidth="1"/>
    <col min="7920" max="7920" width="34.625" style="1" customWidth="1"/>
    <col min="7921" max="7921" width="11.625" style="1" customWidth="1"/>
    <col min="7922" max="7923" width="6.625" style="1" customWidth="1"/>
    <col min="7924" max="7924" width="10.625" style="1" customWidth="1"/>
    <col min="7925" max="7925" width="14.625" style="1" customWidth="1"/>
    <col min="7926" max="7926" width="10.625" style="1" customWidth="1"/>
    <col min="7927" max="7927" width="14.625" style="1" customWidth="1"/>
    <col min="7928" max="7928" width="10.625" style="1" customWidth="1"/>
    <col min="7929" max="7929" width="14.625" style="1" customWidth="1"/>
    <col min="7930" max="7930" width="10.625" style="1" customWidth="1"/>
    <col min="7931" max="7931" width="18.625" style="1" customWidth="1"/>
    <col min="7932" max="7932" width="9.625" style="1" customWidth="1"/>
    <col min="7933" max="7933" width="10.5" style="1" customWidth="1"/>
    <col min="7934" max="7934" width="20.375" style="1" bestFit="1" customWidth="1"/>
    <col min="7935" max="7935" width="12.5" style="1" customWidth="1"/>
    <col min="7936" max="7936" width="13.125" style="1" customWidth="1"/>
    <col min="7937" max="7941" width="9" style="1"/>
    <col min="7942" max="7942" width="11.25" style="1" bestFit="1" customWidth="1"/>
    <col min="7943" max="7943" width="11.625" style="1" bestFit="1" customWidth="1"/>
    <col min="7944" max="8174" width="9" style="1"/>
    <col min="8175" max="8175" width="4.625" style="1" customWidth="1"/>
    <col min="8176" max="8176" width="34.625" style="1" customWidth="1"/>
    <col min="8177" max="8177" width="11.625" style="1" customWidth="1"/>
    <col min="8178" max="8179" width="6.625" style="1" customWidth="1"/>
    <col min="8180" max="8180" width="10.625" style="1" customWidth="1"/>
    <col min="8181" max="8181" width="14.625" style="1" customWidth="1"/>
    <col min="8182" max="8182" width="10.625" style="1" customWidth="1"/>
    <col min="8183" max="8183" width="14.625" style="1" customWidth="1"/>
    <col min="8184" max="8184" width="10.625" style="1" customWidth="1"/>
    <col min="8185" max="8185" width="14.625" style="1" customWidth="1"/>
    <col min="8186" max="8186" width="10.625" style="1" customWidth="1"/>
    <col min="8187" max="8187" width="18.625" style="1" customWidth="1"/>
    <col min="8188" max="8188" width="9.625" style="1" customWidth="1"/>
    <col min="8189" max="8189" width="10.5" style="1" customWidth="1"/>
    <col min="8190" max="8190" width="20.375" style="1" bestFit="1" customWidth="1"/>
    <col min="8191" max="8191" width="12.5" style="1" customWidth="1"/>
    <col min="8192" max="8192" width="13.125" style="1" customWidth="1"/>
    <col min="8193" max="8197" width="9" style="1"/>
    <col min="8198" max="8198" width="11.25" style="1" bestFit="1" customWidth="1"/>
    <col min="8199" max="8199" width="11.625" style="1" bestFit="1" customWidth="1"/>
    <col min="8200" max="8430" width="9" style="1"/>
    <col min="8431" max="8431" width="4.625" style="1" customWidth="1"/>
    <col min="8432" max="8432" width="34.625" style="1" customWidth="1"/>
    <col min="8433" max="8433" width="11.625" style="1" customWidth="1"/>
    <col min="8434" max="8435" width="6.625" style="1" customWidth="1"/>
    <col min="8436" max="8436" width="10.625" style="1" customWidth="1"/>
    <col min="8437" max="8437" width="14.625" style="1" customWidth="1"/>
    <col min="8438" max="8438" width="10.625" style="1" customWidth="1"/>
    <col min="8439" max="8439" width="14.625" style="1" customWidth="1"/>
    <col min="8440" max="8440" width="10.625" style="1" customWidth="1"/>
    <col min="8441" max="8441" width="14.625" style="1" customWidth="1"/>
    <col min="8442" max="8442" width="10.625" style="1" customWidth="1"/>
    <col min="8443" max="8443" width="18.625" style="1" customWidth="1"/>
    <col min="8444" max="8444" width="9.625" style="1" customWidth="1"/>
    <col min="8445" max="8445" width="10.5" style="1" customWidth="1"/>
    <col min="8446" max="8446" width="20.375" style="1" bestFit="1" customWidth="1"/>
    <col min="8447" max="8447" width="12.5" style="1" customWidth="1"/>
    <col min="8448" max="8448" width="13.125" style="1" customWidth="1"/>
    <col min="8449" max="8453" width="9" style="1"/>
    <col min="8454" max="8454" width="11.25" style="1" bestFit="1" customWidth="1"/>
    <col min="8455" max="8455" width="11.625" style="1" bestFit="1" customWidth="1"/>
    <col min="8456" max="8686" width="9" style="1"/>
    <col min="8687" max="8687" width="4.625" style="1" customWidth="1"/>
    <col min="8688" max="8688" width="34.625" style="1" customWidth="1"/>
    <col min="8689" max="8689" width="11.625" style="1" customWidth="1"/>
    <col min="8690" max="8691" width="6.625" style="1" customWidth="1"/>
    <col min="8692" max="8692" width="10.625" style="1" customWidth="1"/>
    <col min="8693" max="8693" width="14.625" style="1" customWidth="1"/>
    <col min="8694" max="8694" width="10.625" style="1" customWidth="1"/>
    <col min="8695" max="8695" width="14.625" style="1" customWidth="1"/>
    <col min="8696" max="8696" width="10.625" style="1" customWidth="1"/>
    <col min="8697" max="8697" width="14.625" style="1" customWidth="1"/>
    <col min="8698" max="8698" width="10.625" style="1" customWidth="1"/>
    <col min="8699" max="8699" width="18.625" style="1" customWidth="1"/>
    <col min="8700" max="8700" width="9.625" style="1" customWidth="1"/>
    <col min="8701" max="8701" width="10.5" style="1" customWidth="1"/>
    <col min="8702" max="8702" width="20.375" style="1" bestFit="1" customWidth="1"/>
    <col min="8703" max="8703" width="12.5" style="1" customWidth="1"/>
    <col min="8704" max="8704" width="13.125" style="1" customWidth="1"/>
    <col min="8705" max="8709" width="9" style="1"/>
    <col min="8710" max="8710" width="11.25" style="1" bestFit="1" customWidth="1"/>
    <col min="8711" max="8711" width="11.625" style="1" bestFit="1" customWidth="1"/>
    <col min="8712" max="8942" width="9" style="1"/>
    <col min="8943" max="8943" width="4.625" style="1" customWidth="1"/>
    <col min="8944" max="8944" width="34.625" style="1" customWidth="1"/>
    <col min="8945" max="8945" width="11.625" style="1" customWidth="1"/>
    <col min="8946" max="8947" width="6.625" style="1" customWidth="1"/>
    <col min="8948" max="8948" width="10.625" style="1" customWidth="1"/>
    <col min="8949" max="8949" width="14.625" style="1" customWidth="1"/>
    <col min="8950" max="8950" width="10.625" style="1" customWidth="1"/>
    <col min="8951" max="8951" width="14.625" style="1" customWidth="1"/>
    <col min="8952" max="8952" width="10.625" style="1" customWidth="1"/>
    <col min="8953" max="8953" width="14.625" style="1" customWidth="1"/>
    <col min="8954" max="8954" width="10.625" style="1" customWidth="1"/>
    <col min="8955" max="8955" width="18.625" style="1" customWidth="1"/>
    <col min="8956" max="8956" width="9.625" style="1" customWidth="1"/>
    <col min="8957" max="8957" width="10.5" style="1" customWidth="1"/>
    <col min="8958" max="8958" width="20.375" style="1" bestFit="1" customWidth="1"/>
    <col min="8959" max="8959" width="12.5" style="1" customWidth="1"/>
    <col min="8960" max="8960" width="13.125" style="1" customWidth="1"/>
    <col min="8961" max="8965" width="9" style="1"/>
    <col min="8966" max="8966" width="11.25" style="1" bestFit="1" customWidth="1"/>
    <col min="8967" max="8967" width="11.625" style="1" bestFit="1" customWidth="1"/>
    <col min="8968" max="9198" width="9" style="1"/>
    <col min="9199" max="9199" width="4.625" style="1" customWidth="1"/>
    <col min="9200" max="9200" width="34.625" style="1" customWidth="1"/>
    <col min="9201" max="9201" width="11.625" style="1" customWidth="1"/>
    <col min="9202" max="9203" width="6.625" style="1" customWidth="1"/>
    <col min="9204" max="9204" width="10.625" style="1" customWidth="1"/>
    <col min="9205" max="9205" width="14.625" style="1" customWidth="1"/>
    <col min="9206" max="9206" width="10.625" style="1" customWidth="1"/>
    <col min="9207" max="9207" width="14.625" style="1" customWidth="1"/>
    <col min="9208" max="9208" width="10.625" style="1" customWidth="1"/>
    <col min="9209" max="9209" width="14.625" style="1" customWidth="1"/>
    <col min="9210" max="9210" width="10.625" style="1" customWidth="1"/>
    <col min="9211" max="9211" width="18.625" style="1" customWidth="1"/>
    <col min="9212" max="9212" width="9.625" style="1" customWidth="1"/>
    <col min="9213" max="9213" width="10.5" style="1" customWidth="1"/>
    <col min="9214" max="9214" width="20.375" style="1" bestFit="1" customWidth="1"/>
    <col min="9215" max="9215" width="12.5" style="1" customWidth="1"/>
    <col min="9216" max="9216" width="13.125" style="1" customWidth="1"/>
    <col min="9217" max="9221" width="9" style="1"/>
    <col min="9222" max="9222" width="11.25" style="1" bestFit="1" customWidth="1"/>
    <col min="9223" max="9223" width="11.625" style="1" bestFit="1" customWidth="1"/>
    <col min="9224" max="9454" width="9" style="1"/>
    <col min="9455" max="9455" width="4.625" style="1" customWidth="1"/>
    <col min="9456" max="9456" width="34.625" style="1" customWidth="1"/>
    <col min="9457" max="9457" width="11.625" style="1" customWidth="1"/>
    <col min="9458" max="9459" width="6.625" style="1" customWidth="1"/>
    <col min="9460" max="9460" width="10.625" style="1" customWidth="1"/>
    <col min="9461" max="9461" width="14.625" style="1" customWidth="1"/>
    <col min="9462" max="9462" width="10.625" style="1" customWidth="1"/>
    <col min="9463" max="9463" width="14.625" style="1" customWidth="1"/>
    <col min="9464" max="9464" width="10.625" style="1" customWidth="1"/>
    <col min="9465" max="9465" width="14.625" style="1" customWidth="1"/>
    <col min="9466" max="9466" width="10.625" style="1" customWidth="1"/>
    <col min="9467" max="9467" width="18.625" style="1" customWidth="1"/>
    <col min="9468" max="9468" width="9.625" style="1" customWidth="1"/>
    <col min="9469" max="9469" width="10.5" style="1" customWidth="1"/>
    <col min="9470" max="9470" width="20.375" style="1" bestFit="1" customWidth="1"/>
    <col min="9471" max="9471" width="12.5" style="1" customWidth="1"/>
    <col min="9472" max="9472" width="13.125" style="1" customWidth="1"/>
    <col min="9473" max="9477" width="9" style="1"/>
    <col min="9478" max="9478" width="11.25" style="1" bestFit="1" customWidth="1"/>
    <col min="9479" max="9479" width="11.625" style="1" bestFit="1" customWidth="1"/>
    <col min="9480" max="9710" width="9" style="1"/>
    <col min="9711" max="9711" width="4.625" style="1" customWidth="1"/>
    <col min="9712" max="9712" width="34.625" style="1" customWidth="1"/>
    <col min="9713" max="9713" width="11.625" style="1" customWidth="1"/>
    <col min="9714" max="9715" width="6.625" style="1" customWidth="1"/>
    <col min="9716" max="9716" width="10.625" style="1" customWidth="1"/>
    <col min="9717" max="9717" width="14.625" style="1" customWidth="1"/>
    <col min="9718" max="9718" width="10.625" style="1" customWidth="1"/>
    <col min="9719" max="9719" width="14.625" style="1" customWidth="1"/>
    <col min="9720" max="9720" width="10.625" style="1" customWidth="1"/>
    <col min="9721" max="9721" width="14.625" style="1" customWidth="1"/>
    <col min="9722" max="9722" width="10.625" style="1" customWidth="1"/>
    <col min="9723" max="9723" width="18.625" style="1" customWidth="1"/>
    <col min="9724" max="9724" width="9.625" style="1" customWidth="1"/>
    <col min="9725" max="9725" width="10.5" style="1" customWidth="1"/>
    <col min="9726" max="9726" width="20.375" style="1" bestFit="1" customWidth="1"/>
    <col min="9727" max="9727" width="12.5" style="1" customWidth="1"/>
    <col min="9728" max="9728" width="13.125" style="1" customWidth="1"/>
    <col min="9729" max="9733" width="9" style="1"/>
    <col min="9734" max="9734" width="11.25" style="1" bestFit="1" customWidth="1"/>
    <col min="9735" max="9735" width="11.625" style="1" bestFit="1" customWidth="1"/>
    <col min="9736" max="9966" width="9" style="1"/>
    <col min="9967" max="9967" width="4.625" style="1" customWidth="1"/>
    <col min="9968" max="9968" width="34.625" style="1" customWidth="1"/>
    <col min="9969" max="9969" width="11.625" style="1" customWidth="1"/>
    <col min="9970" max="9971" width="6.625" style="1" customWidth="1"/>
    <col min="9972" max="9972" width="10.625" style="1" customWidth="1"/>
    <col min="9973" max="9973" width="14.625" style="1" customWidth="1"/>
    <col min="9974" max="9974" width="10.625" style="1" customWidth="1"/>
    <col min="9975" max="9975" width="14.625" style="1" customWidth="1"/>
    <col min="9976" max="9976" width="10.625" style="1" customWidth="1"/>
    <col min="9977" max="9977" width="14.625" style="1" customWidth="1"/>
    <col min="9978" max="9978" width="10.625" style="1" customWidth="1"/>
    <col min="9979" max="9979" width="18.625" style="1" customWidth="1"/>
    <col min="9980" max="9980" width="9.625" style="1" customWidth="1"/>
    <col min="9981" max="9981" width="10.5" style="1" customWidth="1"/>
    <col min="9982" max="9982" width="20.375" style="1" bestFit="1" customWidth="1"/>
    <col min="9983" max="9983" width="12.5" style="1" customWidth="1"/>
    <col min="9984" max="9984" width="13.125" style="1" customWidth="1"/>
    <col min="9985" max="9989" width="9" style="1"/>
    <col min="9990" max="9990" width="11.25" style="1" bestFit="1" customWidth="1"/>
    <col min="9991" max="9991" width="11.625" style="1" bestFit="1" customWidth="1"/>
    <col min="9992" max="10222" width="9" style="1"/>
    <col min="10223" max="10223" width="4.625" style="1" customWidth="1"/>
    <col min="10224" max="10224" width="34.625" style="1" customWidth="1"/>
    <col min="10225" max="10225" width="11.625" style="1" customWidth="1"/>
    <col min="10226" max="10227" width="6.625" style="1" customWidth="1"/>
    <col min="10228" max="10228" width="10.625" style="1" customWidth="1"/>
    <col min="10229" max="10229" width="14.625" style="1" customWidth="1"/>
    <col min="10230" max="10230" width="10.625" style="1" customWidth="1"/>
    <col min="10231" max="10231" width="14.625" style="1" customWidth="1"/>
    <col min="10232" max="10232" width="10.625" style="1" customWidth="1"/>
    <col min="10233" max="10233" width="14.625" style="1" customWidth="1"/>
    <col min="10234" max="10234" width="10.625" style="1" customWidth="1"/>
    <col min="10235" max="10235" width="18.625" style="1" customWidth="1"/>
    <col min="10236" max="10236" width="9.625" style="1" customWidth="1"/>
    <col min="10237" max="10237" width="10.5" style="1" customWidth="1"/>
    <col min="10238" max="10238" width="20.375" style="1" bestFit="1" customWidth="1"/>
    <col min="10239" max="10239" width="12.5" style="1" customWidth="1"/>
    <col min="10240" max="10240" width="13.125" style="1" customWidth="1"/>
    <col min="10241" max="10245" width="9" style="1"/>
    <col min="10246" max="10246" width="11.25" style="1" bestFit="1" customWidth="1"/>
    <col min="10247" max="10247" width="11.625" style="1" bestFit="1" customWidth="1"/>
    <col min="10248" max="10478" width="9" style="1"/>
    <col min="10479" max="10479" width="4.625" style="1" customWidth="1"/>
    <col min="10480" max="10480" width="34.625" style="1" customWidth="1"/>
    <col min="10481" max="10481" width="11.625" style="1" customWidth="1"/>
    <col min="10482" max="10483" width="6.625" style="1" customWidth="1"/>
    <col min="10484" max="10484" width="10.625" style="1" customWidth="1"/>
    <col min="10485" max="10485" width="14.625" style="1" customWidth="1"/>
    <col min="10486" max="10486" width="10.625" style="1" customWidth="1"/>
    <col min="10487" max="10487" width="14.625" style="1" customWidth="1"/>
    <col min="10488" max="10488" width="10.625" style="1" customWidth="1"/>
    <col min="10489" max="10489" width="14.625" style="1" customWidth="1"/>
    <col min="10490" max="10490" width="10.625" style="1" customWidth="1"/>
    <col min="10491" max="10491" width="18.625" style="1" customWidth="1"/>
    <col min="10492" max="10492" width="9.625" style="1" customWidth="1"/>
    <col min="10493" max="10493" width="10.5" style="1" customWidth="1"/>
    <col min="10494" max="10494" width="20.375" style="1" bestFit="1" customWidth="1"/>
    <col min="10495" max="10495" width="12.5" style="1" customWidth="1"/>
    <col min="10496" max="10496" width="13.125" style="1" customWidth="1"/>
    <col min="10497" max="10501" width="9" style="1"/>
    <col min="10502" max="10502" width="11.25" style="1" bestFit="1" customWidth="1"/>
    <col min="10503" max="10503" width="11.625" style="1" bestFit="1" customWidth="1"/>
    <col min="10504" max="10734" width="9" style="1"/>
    <col min="10735" max="10735" width="4.625" style="1" customWidth="1"/>
    <col min="10736" max="10736" width="34.625" style="1" customWidth="1"/>
    <col min="10737" max="10737" width="11.625" style="1" customWidth="1"/>
    <col min="10738" max="10739" width="6.625" style="1" customWidth="1"/>
    <col min="10740" max="10740" width="10.625" style="1" customWidth="1"/>
    <col min="10741" max="10741" width="14.625" style="1" customWidth="1"/>
    <col min="10742" max="10742" width="10.625" style="1" customWidth="1"/>
    <col min="10743" max="10743" width="14.625" style="1" customWidth="1"/>
    <col min="10744" max="10744" width="10.625" style="1" customWidth="1"/>
    <col min="10745" max="10745" width="14.625" style="1" customWidth="1"/>
    <col min="10746" max="10746" width="10.625" style="1" customWidth="1"/>
    <col min="10747" max="10747" width="18.625" style="1" customWidth="1"/>
    <col min="10748" max="10748" width="9.625" style="1" customWidth="1"/>
    <col min="10749" max="10749" width="10.5" style="1" customWidth="1"/>
    <col min="10750" max="10750" width="20.375" style="1" bestFit="1" customWidth="1"/>
    <col min="10751" max="10751" width="12.5" style="1" customWidth="1"/>
    <col min="10752" max="10752" width="13.125" style="1" customWidth="1"/>
    <col min="10753" max="10757" width="9" style="1"/>
    <col min="10758" max="10758" width="11.25" style="1" bestFit="1" customWidth="1"/>
    <col min="10759" max="10759" width="11.625" style="1" bestFit="1" customWidth="1"/>
    <col min="10760" max="10990" width="9" style="1"/>
    <col min="10991" max="10991" width="4.625" style="1" customWidth="1"/>
    <col min="10992" max="10992" width="34.625" style="1" customWidth="1"/>
    <col min="10993" max="10993" width="11.625" style="1" customWidth="1"/>
    <col min="10994" max="10995" width="6.625" style="1" customWidth="1"/>
    <col min="10996" max="10996" width="10.625" style="1" customWidth="1"/>
    <col min="10997" max="10997" width="14.625" style="1" customWidth="1"/>
    <col min="10998" max="10998" width="10.625" style="1" customWidth="1"/>
    <col min="10999" max="10999" width="14.625" style="1" customWidth="1"/>
    <col min="11000" max="11000" width="10.625" style="1" customWidth="1"/>
    <col min="11001" max="11001" width="14.625" style="1" customWidth="1"/>
    <col min="11002" max="11002" width="10.625" style="1" customWidth="1"/>
    <col min="11003" max="11003" width="18.625" style="1" customWidth="1"/>
    <col min="11004" max="11004" width="9.625" style="1" customWidth="1"/>
    <col min="11005" max="11005" width="10.5" style="1" customWidth="1"/>
    <col min="11006" max="11006" width="20.375" style="1" bestFit="1" customWidth="1"/>
    <col min="11007" max="11007" width="12.5" style="1" customWidth="1"/>
    <col min="11008" max="11008" width="13.125" style="1" customWidth="1"/>
    <col min="11009" max="11013" width="9" style="1"/>
    <col min="11014" max="11014" width="11.25" style="1" bestFit="1" customWidth="1"/>
    <col min="11015" max="11015" width="11.625" style="1" bestFit="1" customWidth="1"/>
    <col min="11016" max="11246" width="9" style="1"/>
    <col min="11247" max="11247" width="4.625" style="1" customWidth="1"/>
    <col min="11248" max="11248" width="34.625" style="1" customWidth="1"/>
    <col min="11249" max="11249" width="11.625" style="1" customWidth="1"/>
    <col min="11250" max="11251" width="6.625" style="1" customWidth="1"/>
    <col min="11252" max="11252" width="10.625" style="1" customWidth="1"/>
    <col min="11253" max="11253" width="14.625" style="1" customWidth="1"/>
    <col min="11254" max="11254" width="10.625" style="1" customWidth="1"/>
    <col min="11255" max="11255" width="14.625" style="1" customWidth="1"/>
    <col min="11256" max="11256" width="10.625" style="1" customWidth="1"/>
    <col min="11257" max="11257" width="14.625" style="1" customWidth="1"/>
    <col min="11258" max="11258" width="10.625" style="1" customWidth="1"/>
    <col min="11259" max="11259" width="18.625" style="1" customWidth="1"/>
    <col min="11260" max="11260" width="9.625" style="1" customWidth="1"/>
    <col min="11261" max="11261" width="10.5" style="1" customWidth="1"/>
    <col min="11262" max="11262" width="20.375" style="1" bestFit="1" customWidth="1"/>
    <col min="11263" max="11263" width="12.5" style="1" customWidth="1"/>
    <col min="11264" max="11264" width="13.125" style="1" customWidth="1"/>
    <col min="11265" max="11269" width="9" style="1"/>
    <col min="11270" max="11270" width="11.25" style="1" bestFit="1" customWidth="1"/>
    <col min="11271" max="11271" width="11.625" style="1" bestFit="1" customWidth="1"/>
    <col min="11272" max="11502" width="9" style="1"/>
    <col min="11503" max="11503" width="4.625" style="1" customWidth="1"/>
    <col min="11504" max="11504" width="34.625" style="1" customWidth="1"/>
    <col min="11505" max="11505" width="11.625" style="1" customWidth="1"/>
    <col min="11506" max="11507" width="6.625" style="1" customWidth="1"/>
    <col min="11508" max="11508" width="10.625" style="1" customWidth="1"/>
    <col min="11509" max="11509" width="14.625" style="1" customWidth="1"/>
    <col min="11510" max="11510" width="10.625" style="1" customWidth="1"/>
    <col min="11511" max="11511" width="14.625" style="1" customWidth="1"/>
    <col min="11512" max="11512" width="10.625" style="1" customWidth="1"/>
    <col min="11513" max="11513" width="14.625" style="1" customWidth="1"/>
    <col min="11514" max="11514" width="10.625" style="1" customWidth="1"/>
    <col min="11515" max="11515" width="18.625" style="1" customWidth="1"/>
    <col min="11516" max="11516" width="9.625" style="1" customWidth="1"/>
    <col min="11517" max="11517" width="10.5" style="1" customWidth="1"/>
    <col min="11518" max="11518" width="20.375" style="1" bestFit="1" customWidth="1"/>
    <col min="11519" max="11519" width="12.5" style="1" customWidth="1"/>
    <col min="11520" max="11520" width="13.125" style="1" customWidth="1"/>
    <col min="11521" max="11525" width="9" style="1"/>
    <col min="11526" max="11526" width="11.25" style="1" bestFit="1" customWidth="1"/>
    <col min="11527" max="11527" width="11.625" style="1" bestFit="1" customWidth="1"/>
    <col min="11528" max="11758" width="9" style="1"/>
    <col min="11759" max="11759" width="4.625" style="1" customWidth="1"/>
    <col min="11760" max="11760" width="34.625" style="1" customWidth="1"/>
    <col min="11761" max="11761" width="11.625" style="1" customWidth="1"/>
    <col min="11762" max="11763" width="6.625" style="1" customWidth="1"/>
    <col min="11764" max="11764" width="10.625" style="1" customWidth="1"/>
    <col min="11765" max="11765" width="14.625" style="1" customWidth="1"/>
    <col min="11766" max="11766" width="10.625" style="1" customWidth="1"/>
    <col min="11767" max="11767" width="14.625" style="1" customWidth="1"/>
    <col min="11768" max="11768" width="10.625" style="1" customWidth="1"/>
    <col min="11769" max="11769" width="14.625" style="1" customWidth="1"/>
    <col min="11770" max="11770" width="10.625" style="1" customWidth="1"/>
    <col min="11771" max="11771" width="18.625" style="1" customWidth="1"/>
    <col min="11772" max="11772" width="9.625" style="1" customWidth="1"/>
    <col min="11773" max="11773" width="10.5" style="1" customWidth="1"/>
    <col min="11774" max="11774" width="20.375" style="1" bestFit="1" customWidth="1"/>
    <col min="11775" max="11775" width="12.5" style="1" customWidth="1"/>
    <col min="11776" max="11776" width="13.125" style="1" customWidth="1"/>
    <col min="11777" max="11781" width="9" style="1"/>
    <col min="11782" max="11782" width="11.25" style="1" bestFit="1" customWidth="1"/>
    <col min="11783" max="11783" width="11.625" style="1" bestFit="1" customWidth="1"/>
    <col min="11784" max="12014" width="9" style="1"/>
    <col min="12015" max="12015" width="4.625" style="1" customWidth="1"/>
    <col min="12016" max="12016" width="34.625" style="1" customWidth="1"/>
    <col min="12017" max="12017" width="11.625" style="1" customWidth="1"/>
    <col min="12018" max="12019" width="6.625" style="1" customWidth="1"/>
    <col min="12020" max="12020" width="10.625" style="1" customWidth="1"/>
    <col min="12021" max="12021" width="14.625" style="1" customWidth="1"/>
    <col min="12022" max="12022" width="10.625" style="1" customWidth="1"/>
    <col min="12023" max="12023" width="14.625" style="1" customWidth="1"/>
    <col min="12024" max="12024" width="10.625" style="1" customWidth="1"/>
    <col min="12025" max="12025" width="14.625" style="1" customWidth="1"/>
    <col min="12026" max="12026" width="10.625" style="1" customWidth="1"/>
    <col min="12027" max="12027" width="18.625" style="1" customWidth="1"/>
    <col min="12028" max="12028" width="9.625" style="1" customWidth="1"/>
    <col min="12029" max="12029" width="10.5" style="1" customWidth="1"/>
    <col min="12030" max="12030" width="20.375" style="1" bestFit="1" customWidth="1"/>
    <col min="12031" max="12031" width="12.5" style="1" customWidth="1"/>
    <col min="12032" max="12032" width="13.125" style="1" customWidth="1"/>
    <col min="12033" max="12037" width="9" style="1"/>
    <col min="12038" max="12038" width="11.25" style="1" bestFit="1" customWidth="1"/>
    <col min="12039" max="12039" width="11.625" style="1" bestFit="1" customWidth="1"/>
    <col min="12040" max="12270" width="9" style="1"/>
    <col min="12271" max="12271" width="4.625" style="1" customWidth="1"/>
    <col min="12272" max="12272" width="34.625" style="1" customWidth="1"/>
    <col min="12273" max="12273" width="11.625" style="1" customWidth="1"/>
    <col min="12274" max="12275" width="6.625" style="1" customWidth="1"/>
    <col min="12276" max="12276" width="10.625" style="1" customWidth="1"/>
    <col min="12277" max="12277" width="14.625" style="1" customWidth="1"/>
    <col min="12278" max="12278" width="10.625" style="1" customWidth="1"/>
    <col min="12279" max="12279" width="14.625" style="1" customWidth="1"/>
    <col min="12280" max="12280" width="10.625" style="1" customWidth="1"/>
    <col min="12281" max="12281" width="14.625" style="1" customWidth="1"/>
    <col min="12282" max="12282" width="10.625" style="1" customWidth="1"/>
    <col min="12283" max="12283" width="18.625" style="1" customWidth="1"/>
    <col min="12284" max="12284" width="9.625" style="1" customWidth="1"/>
    <col min="12285" max="12285" width="10.5" style="1" customWidth="1"/>
    <col min="12286" max="12286" width="20.375" style="1" bestFit="1" customWidth="1"/>
    <col min="12287" max="12287" width="12.5" style="1" customWidth="1"/>
    <col min="12288" max="12288" width="13.125" style="1" customWidth="1"/>
    <col min="12289" max="12293" width="9" style="1"/>
    <col min="12294" max="12294" width="11.25" style="1" bestFit="1" customWidth="1"/>
    <col min="12295" max="12295" width="11.625" style="1" bestFit="1" customWidth="1"/>
    <col min="12296" max="12526" width="9" style="1"/>
    <col min="12527" max="12527" width="4.625" style="1" customWidth="1"/>
    <col min="12528" max="12528" width="34.625" style="1" customWidth="1"/>
    <col min="12529" max="12529" width="11.625" style="1" customWidth="1"/>
    <col min="12530" max="12531" width="6.625" style="1" customWidth="1"/>
    <col min="12532" max="12532" width="10.625" style="1" customWidth="1"/>
    <col min="12533" max="12533" width="14.625" style="1" customWidth="1"/>
    <col min="12534" max="12534" width="10.625" style="1" customWidth="1"/>
    <col min="12535" max="12535" width="14.625" style="1" customWidth="1"/>
    <col min="12536" max="12536" width="10.625" style="1" customWidth="1"/>
    <col min="12537" max="12537" width="14.625" style="1" customWidth="1"/>
    <col min="12538" max="12538" width="10.625" style="1" customWidth="1"/>
    <col min="12539" max="12539" width="18.625" style="1" customWidth="1"/>
    <col min="12540" max="12540" width="9.625" style="1" customWidth="1"/>
    <col min="12541" max="12541" width="10.5" style="1" customWidth="1"/>
    <col min="12542" max="12542" width="20.375" style="1" bestFit="1" customWidth="1"/>
    <col min="12543" max="12543" width="12.5" style="1" customWidth="1"/>
    <col min="12544" max="12544" width="13.125" style="1" customWidth="1"/>
    <col min="12545" max="12549" width="9" style="1"/>
    <col min="12550" max="12550" width="11.25" style="1" bestFit="1" customWidth="1"/>
    <col min="12551" max="12551" width="11.625" style="1" bestFit="1" customWidth="1"/>
    <col min="12552" max="12782" width="9" style="1"/>
    <col min="12783" max="12783" width="4.625" style="1" customWidth="1"/>
    <col min="12784" max="12784" width="34.625" style="1" customWidth="1"/>
    <col min="12785" max="12785" width="11.625" style="1" customWidth="1"/>
    <col min="12786" max="12787" width="6.625" style="1" customWidth="1"/>
    <col min="12788" max="12788" width="10.625" style="1" customWidth="1"/>
    <col min="12789" max="12789" width="14.625" style="1" customWidth="1"/>
    <col min="12790" max="12790" width="10.625" style="1" customWidth="1"/>
    <col min="12791" max="12791" width="14.625" style="1" customWidth="1"/>
    <col min="12792" max="12792" width="10.625" style="1" customWidth="1"/>
    <col min="12793" max="12793" width="14.625" style="1" customWidth="1"/>
    <col min="12794" max="12794" width="10.625" style="1" customWidth="1"/>
    <col min="12795" max="12795" width="18.625" style="1" customWidth="1"/>
    <col min="12796" max="12796" width="9.625" style="1" customWidth="1"/>
    <col min="12797" max="12797" width="10.5" style="1" customWidth="1"/>
    <col min="12798" max="12798" width="20.375" style="1" bestFit="1" customWidth="1"/>
    <col min="12799" max="12799" width="12.5" style="1" customWidth="1"/>
    <col min="12800" max="12800" width="13.125" style="1" customWidth="1"/>
    <col min="12801" max="12805" width="9" style="1"/>
    <col min="12806" max="12806" width="11.25" style="1" bestFit="1" customWidth="1"/>
    <col min="12807" max="12807" width="11.625" style="1" bestFit="1" customWidth="1"/>
    <col min="12808" max="13038" width="9" style="1"/>
    <col min="13039" max="13039" width="4.625" style="1" customWidth="1"/>
    <col min="13040" max="13040" width="34.625" style="1" customWidth="1"/>
    <col min="13041" max="13041" width="11.625" style="1" customWidth="1"/>
    <col min="13042" max="13043" width="6.625" style="1" customWidth="1"/>
    <col min="13044" max="13044" width="10.625" style="1" customWidth="1"/>
    <col min="13045" max="13045" width="14.625" style="1" customWidth="1"/>
    <col min="13046" max="13046" width="10.625" style="1" customWidth="1"/>
    <col min="13047" max="13047" width="14.625" style="1" customWidth="1"/>
    <col min="13048" max="13048" width="10.625" style="1" customWidth="1"/>
    <col min="13049" max="13049" width="14.625" style="1" customWidth="1"/>
    <col min="13050" max="13050" width="10.625" style="1" customWidth="1"/>
    <col min="13051" max="13051" width="18.625" style="1" customWidth="1"/>
    <col min="13052" max="13052" width="9.625" style="1" customWidth="1"/>
    <col min="13053" max="13053" width="10.5" style="1" customWidth="1"/>
    <col min="13054" max="13054" width="20.375" style="1" bestFit="1" customWidth="1"/>
    <col min="13055" max="13055" width="12.5" style="1" customWidth="1"/>
    <col min="13056" max="13056" width="13.125" style="1" customWidth="1"/>
    <col min="13057" max="13061" width="9" style="1"/>
    <col min="13062" max="13062" width="11.25" style="1" bestFit="1" customWidth="1"/>
    <col min="13063" max="13063" width="11.625" style="1" bestFit="1" customWidth="1"/>
    <col min="13064" max="13294" width="9" style="1"/>
    <col min="13295" max="13295" width="4.625" style="1" customWidth="1"/>
    <col min="13296" max="13296" width="34.625" style="1" customWidth="1"/>
    <col min="13297" max="13297" width="11.625" style="1" customWidth="1"/>
    <col min="13298" max="13299" width="6.625" style="1" customWidth="1"/>
    <col min="13300" max="13300" width="10.625" style="1" customWidth="1"/>
    <col min="13301" max="13301" width="14.625" style="1" customWidth="1"/>
    <col min="13302" max="13302" width="10.625" style="1" customWidth="1"/>
    <col min="13303" max="13303" width="14.625" style="1" customWidth="1"/>
    <col min="13304" max="13304" width="10.625" style="1" customWidth="1"/>
    <col min="13305" max="13305" width="14.625" style="1" customWidth="1"/>
    <col min="13306" max="13306" width="10.625" style="1" customWidth="1"/>
    <col min="13307" max="13307" width="18.625" style="1" customWidth="1"/>
    <col min="13308" max="13308" width="9.625" style="1" customWidth="1"/>
    <col min="13309" max="13309" width="10.5" style="1" customWidth="1"/>
    <col min="13310" max="13310" width="20.375" style="1" bestFit="1" customWidth="1"/>
    <col min="13311" max="13311" width="12.5" style="1" customWidth="1"/>
    <col min="13312" max="13312" width="13.125" style="1" customWidth="1"/>
    <col min="13313" max="13317" width="9" style="1"/>
    <col min="13318" max="13318" width="11.25" style="1" bestFit="1" customWidth="1"/>
    <col min="13319" max="13319" width="11.625" style="1" bestFit="1" customWidth="1"/>
    <col min="13320" max="13550" width="9" style="1"/>
    <col min="13551" max="13551" width="4.625" style="1" customWidth="1"/>
    <col min="13552" max="13552" width="34.625" style="1" customWidth="1"/>
    <col min="13553" max="13553" width="11.625" style="1" customWidth="1"/>
    <col min="13554" max="13555" width="6.625" style="1" customWidth="1"/>
    <col min="13556" max="13556" width="10.625" style="1" customWidth="1"/>
    <col min="13557" max="13557" width="14.625" style="1" customWidth="1"/>
    <col min="13558" max="13558" width="10.625" style="1" customWidth="1"/>
    <col min="13559" max="13559" width="14.625" style="1" customWidth="1"/>
    <col min="13560" max="13560" width="10.625" style="1" customWidth="1"/>
    <col min="13561" max="13561" width="14.625" style="1" customWidth="1"/>
    <col min="13562" max="13562" width="10.625" style="1" customWidth="1"/>
    <col min="13563" max="13563" width="18.625" style="1" customWidth="1"/>
    <col min="13564" max="13564" width="9.625" style="1" customWidth="1"/>
    <col min="13565" max="13565" width="10.5" style="1" customWidth="1"/>
    <col min="13566" max="13566" width="20.375" style="1" bestFit="1" customWidth="1"/>
    <col min="13567" max="13567" width="12.5" style="1" customWidth="1"/>
    <col min="13568" max="13568" width="13.125" style="1" customWidth="1"/>
    <col min="13569" max="13573" width="9" style="1"/>
    <col min="13574" max="13574" width="11.25" style="1" bestFit="1" customWidth="1"/>
    <col min="13575" max="13575" width="11.625" style="1" bestFit="1" customWidth="1"/>
    <col min="13576" max="13806" width="9" style="1"/>
    <col min="13807" max="13807" width="4.625" style="1" customWidth="1"/>
    <col min="13808" max="13808" width="34.625" style="1" customWidth="1"/>
    <col min="13809" max="13809" width="11.625" style="1" customWidth="1"/>
    <col min="13810" max="13811" width="6.625" style="1" customWidth="1"/>
    <col min="13812" max="13812" width="10.625" style="1" customWidth="1"/>
    <col min="13813" max="13813" width="14.625" style="1" customWidth="1"/>
    <col min="13814" max="13814" width="10.625" style="1" customWidth="1"/>
    <col min="13815" max="13815" width="14.625" style="1" customWidth="1"/>
    <col min="13816" max="13816" width="10.625" style="1" customWidth="1"/>
    <col min="13817" max="13817" width="14.625" style="1" customWidth="1"/>
    <col min="13818" max="13818" width="10.625" style="1" customWidth="1"/>
    <col min="13819" max="13819" width="18.625" style="1" customWidth="1"/>
    <col min="13820" max="13820" width="9.625" style="1" customWidth="1"/>
    <col min="13821" max="13821" width="10.5" style="1" customWidth="1"/>
    <col min="13822" max="13822" width="20.375" style="1" bestFit="1" customWidth="1"/>
    <col min="13823" max="13823" width="12.5" style="1" customWidth="1"/>
    <col min="13824" max="13824" width="13.125" style="1" customWidth="1"/>
    <col min="13825" max="13829" width="9" style="1"/>
    <col min="13830" max="13830" width="11.25" style="1" bestFit="1" customWidth="1"/>
    <col min="13831" max="13831" width="11.625" style="1" bestFit="1" customWidth="1"/>
    <col min="13832" max="14062" width="9" style="1"/>
    <col min="14063" max="14063" width="4.625" style="1" customWidth="1"/>
    <col min="14064" max="14064" width="34.625" style="1" customWidth="1"/>
    <col min="14065" max="14065" width="11.625" style="1" customWidth="1"/>
    <col min="14066" max="14067" width="6.625" style="1" customWidth="1"/>
    <col min="14068" max="14068" width="10.625" style="1" customWidth="1"/>
    <col min="14069" max="14069" width="14.625" style="1" customWidth="1"/>
    <col min="14070" max="14070" width="10.625" style="1" customWidth="1"/>
    <col min="14071" max="14071" width="14.625" style="1" customWidth="1"/>
    <col min="14072" max="14072" width="10.625" style="1" customWidth="1"/>
    <col min="14073" max="14073" width="14.625" style="1" customWidth="1"/>
    <col min="14074" max="14074" width="10.625" style="1" customWidth="1"/>
    <col min="14075" max="14075" width="18.625" style="1" customWidth="1"/>
    <col min="14076" max="14076" width="9.625" style="1" customWidth="1"/>
    <col min="14077" max="14077" width="10.5" style="1" customWidth="1"/>
    <col min="14078" max="14078" width="20.375" style="1" bestFit="1" customWidth="1"/>
    <col min="14079" max="14079" width="12.5" style="1" customWidth="1"/>
    <col min="14080" max="14080" width="13.125" style="1" customWidth="1"/>
    <col min="14081" max="14085" width="9" style="1"/>
    <col min="14086" max="14086" width="11.25" style="1" bestFit="1" customWidth="1"/>
    <col min="14087" max="14087" width="11.625" style="1" bestFit="1" customWidth="1"/>
    <col min="14088" max="14318" width="9" style="1"/>
    <col min="14319" max="14319" width="4.625" style="1" customWidth="1"/>
    <col min="14320" max="14320" width="34.625" style="1" customWidth="1"/>
    <col min="14321" max="14321" width="11.625" style="1" customWidth="1"/>
    <col min="14322" max="14323" width="6.625" style="1" customWidth="1"/>
    <col min="14324" max="14324" width="10.625" style="1" customWidth="1"/>
    <col min="14325" max="14325" width="14.625" style="1" customWidth="1"/>
    <col min="14326" max="14326" width="10.625" style="1" customWidth="1"/>
    <col min="14327" max="14327" width="14.625" style="1" customWidth="1"/>
    <col min="14328" max="14328" width="10.625" style="1" customWidth="1"/>
    <col min="14329" max="14329" width="14.625" style="1" customWidth="1"/>
    <col min="14330" max="14330" width="10.625" style="1" customWidth="1"/>
    <col min="14331" max="14331" width="18.625" style="1" customWidth="1"/>
    <col min="14332" max="14332" width="9.625" style="1" customWidth="1"/>
    <col min="14333" max="14333" width="10.5" style="1" customWidth="1"/>
    <col min="14334" max="14334" width="20.375" style="1" bestFit="1" customWidth="1"/>
    <col min="14335" max="14335" width="12.5" style="1" customWidth="1"/>
    <col min="14336" max="14336" width="13.125" style="1" customWidth="1"/>
    <col min="14337" max="14341" width="9" style="1"/>
    <col min="14342" max="14342" width="11.25" style="1" bestFit="1" customWidth="1"/>
    <col min="14343" max="14343" width="11.625" style="1" bestFit="1" customWidth="1"/>
    <col min="14344" max="14574" width="9" style="1"/>
    <col min="14575" max="14575" width="4.625" style="1" customWidth="1"/>
    <col min="14576" max="14576" width="34.625" style="1" customWidth="1"/>
    <col min="14577" max="14577" width="11.625" style="1" customWidth="1"/>
    <col min="14578" max="14579" width="6.625" style="1" customWidth="1"/>
    <col min="14580" max="14580" width="10.625" style="1" customWidth="1"/>
    <col min="14581" max="14581" width="14.625" style="1" customWidth="1"/>
    <col min="14582" max="14582" width="10.625" style="1" customWidth="1"/>
    <col min="14583" max="14583" width="14.625" style="1" customWidth="1"/>
    <col min="14584" max="14584" width="10.625" style="1" customWidth="1"/>
    <col min="14585" max="14585" width="14.625" style="1" customWidth="1"/>
    <col min="14586" max="14586" width="10.625" style="1" customWidth="1"/>
    <col min="14587" max="14587" width="18.625" style="1" customWidth="1"/>
    <col min="14588" max="14588" width="9.625" style="1" customWidth="1"/>
    <col min="14589" max="14589" width="10.5" style="1" customWidth="1"/>
    <col min="14590" max="14590" width="20.375" style="1" bestFit="1" customWidth="1"/>
    <col min="14591" max="14591" width="12.5" style="1" customWidth="1"/>
    <col min="14592" max="14592" width="13.125" style="1" customWidth="1"/>
    <col min="14593" max="14597" width="9" style="1"/>
    <col min="14598" max="14598" width="11.25" style="1" bestFit="1" customWidth="1"/>
    <col min="14599" max="14599" width="11.625" style="1" bestFit="1" customWidth="1"/>
    <col min="14600" max="14830" width="9" style="1"/>
    <col min="14831" max="14831" width="4.625" style="1" customWidth="1"/>
    <col min="14832" max="14832" width="34.625" style="1" customWidth="1"/>
    <col min="14833" max="14833" width="11.625" style="1" customWidth="1"/>
    <col min="14834" max="14835" width="6.625" style="1" customWidth="1"/>
    <col min="14836" max="14836" width="10.625" style="1" customWidth="1"/>
    <col min="14837" max="14837" width="14.625" style="1" customWidth="1"/>
    <col min="14838" max="14838" width="10.625" style="1" customWidth="1"/>
    <col min="14839" max="14839" width="14.625" style="1" customWidth="1"/>
    <col min="14840" max="14840" width="10.625" style="1" customWidth="1"/>
    <col min="14841" max="14841" width="14.625" style="1" customWidth="1"/>
    <col min="14842" max="14842" width="10.625" style="1" customWidth="1"/>
    <col min="14843" max="14843" width="18.625" style="1" customWidth="1"/>
    <col min="14844" max="14844" width="9.625" style="1" customWidth="1"/>
    <col min="14845" max="14845" width="10.5" style="1" customWidth="1"/>
    <col min="14846" max="14846" width="20.375" style="1" bestFit="1" customWidth="1"/>
    <col min="14847" max="14847" width="12.5" style="1" customWidth="1"/>
    <col min="14848" max="14848" width="13.125" style="1" customWidth="1"/>
    <col min="14849" max="14853" width="9" style="1"/>
    <col min="14854" max="14854" width="11.25" style="1" bestFit="1" customWidth="1"/>
    <col min="14855" max="14855" width="11.625" style="1" bestFit="1" customWidth="1"/>
    <col min="14856" max="15086" width="9" style="1"/>
    <col min="15087" max="15087" width="4.625" style="1" customWidth="1"/>
    <col min="15088" max="15088" width="34.625" style="1" customWidth="1"/>
    <col min="15089" max="15089" width="11.625" style="1" customWidth="1"/>
    <col min="15090" max="15091" width="6.625" style="1" customWidth="1"/>
    <col min="15092" max="15092" width="10.625" style="1" customWidth="1"/>
    <col min="15093" max="15093" width="14.625" style="1" customWidth="1"/>
    <col min="15094" max="15094" width="10.625" style="1" customWidth="1"/>
    <col min="15095" max="15095" width="14.625" style="1" customWidth="1"/>
    <col min="15096" max="15096" width="10.625" style="1" customWidth="1"/>
    <col min="15097" max="15097" width="14.625" style="1" customWidth="1"/>
    <col min="15098" max="15098" width="10.625" style="1" customWidth="1"/>
    <col min="15099" max="15099" width="18.625" style="1" customWidth="1"/>
    <col min="15100" max="15100" width="9.625" style="1" customWidth="1"/>
    <col min="15101" max="15101" width="10.5" style="1" customWidth="1"/>
    <col min="15102" max="15102" width="20.375" style="1" bestFit="1" customWidth="1"/>
    <col min="15103" max="15103" width="12.5" style="1" customWidth="1"/>
    <col min="15104" max="15104" width="13.125" style="1" customWidth="1"/>
    <col min="15105" max="15109" width="9" style="1"/>
    <col min="15110" max="15110" width="11.25" style="1" bestFit="1" customWidth="1"/>
    <col min="15111" max="15111" width="11.625" style="1" bestFit="1" customWidth="1"/>
    <col min="15112" max="15342" width="9" style="1"/>
    <col min="15343" max="15343" width="4.625" style="1" customWidth="1"/>
    <col min="15344" max="15344" width="34.625" style="1" customWidth="1"/>
    <col min="15345" max="15345" width="11.625" style="1" customWidth="1"/>
    <col min="15346" max="15347" width="6.625" style="1" customWidth="1"/>
    <col min="15348" max="15348" width="10.625" style="1" customWidth="1"/>
    <col min="15349" max="15349" width="14.625" style="1" customWidth="1"/>
    <col min="15350" max="15350" width="10.625" style="1" customWidth="1"/>
    <col min="15351" max="15351" width="14.625" style="1" customWidth="1"/>
    <col min="15352" max="15352" width="10.625" style="1" customWidth="1"/>
    <col min="15353" max="15353" width="14.625" style="1" customWidth="1"/>
    <col min="15354" max="15354" width="10.625" style="1" customWidth="1"/>
    <col min="15355" max="15355" width="18.625" style="1" customWidth="1"/>
    <col min="15356" max="15356" width="9.625" style="1" customWidth="1"/>
    <col min="15357" max="15357" width="10.5" style="1" customWidth="1"/>
    <col min="15358" max="15358" width="20.375" style="1" bestFit="1" customWidth="1"/>
    <col min="15359" max="15359" width="12.5" style="1" customWidth="1"/>
    <col min="15360" max="15360" width="13.125" style="1" customWidth="1"/>
    <col min="15361" max="15365" width="9" style="1"/>
    <col min="15366" max="15366" width="11.25" style="1" bestFit="1" customWidth="1"/>
    <col min="15367" max="15367" width="11.625" style="1" bestFit="1" customWidth="1"/>
    <col min="15368" max="15598" width="9" style="1"/>
    <col min="15599" max="15599" width="4.625" style="1" customWidth="1"/>
    <col min="15600" max="15600" width="34.625" style="1" customWidth="1"/>
    <col min="15601" max="15601" width="11.625" style="1" customWidth="1"/>
    <col min="15602" max="15603" width="6.625" style="1" customWidth="1"/>
    <col min="15604" max="15604" width="10.625" style="1" customWidth="1"/>
    <col min="15605" max="15605" width="14.625" style="1" customWidth="1"/>
    <col min="15606" max="15606" width="10.625" style="1" customWidth="1"/>
    <col min="15607" max="15607" width="14.625" style="1" customWidth="1"/>
    <col min="15608" max="15608" width="10.625" style="1" customWidth="1"/>
    <col min="15609" max="15609" width="14.625" style="1" customWidth="1"/>
    <col min="15610" max="15610" width="10.625" style="1" customWidth="1"/>
    <col min="15611" max="15611" width="18.625" style="1" customWidth="1"/>
    <col min="15612" max="15612" width="9.625" style="1" customWidth="1"/>
    <col min="15613" max="15613" width="10.5" style="1" customWidth="1"/>
    <col min="15614" max="15614" width="20.375" style="1" bestFit="1" customWidth="1"/>
    <col min="15615" max="15615" width="12.5" style="1" customWidth="1"/>
    <col min="15616" max="15616" width="13.125" style="1" customWidth="1"/>
    <col min="15617" max="15621" width="9" style="1"/>
    <col min="15622" max="15622" width="11.25" style="1" bestFit="1" customWidth="1"/>
    <col min="15623" max="15623" width="11.625" style="1" bestFit="1" customWidth="1"/>
    <col min="15624" max="15854" width="9" style="1"/>
    <col min="15855" max="15855" width="4.625" style="1" customWidth="1"/>
    <col min="15856" max="15856" width="34.625" style="1" customWidth="1"/>
    <col min="15857" max="15857" width="11.625" style="1" customWidth="1"/>
    <col min="15858" max="15859" width="6.625" style="1" customWidth="1"/>
    <col min="15860" max="15860" width="10.625" style="1" customWidth="1"/>
    <col min="15861" max="15861" width="14.625" style="1" customWidth="1"/>
    <col min="15862" max="15862" width="10.625" style="1" customWidth="1"/>
    <col min="15863" max="15863" width="14.625" style="1" customWidth="1"/>
    <col min="15864" max="15864" width="10.625" style="1" customWidth="1"/>
    <col min="15865" max="15865" width="14.625" style="1" customWidth="1"/>
    <col min="15866" max="15866" width="10.625" style="1" customWidth="1"/>
    <col min="15867" max="15867" width="18.625" style="1" customWidth="1"/>
    <col min="15868" max="15868" width="9.625" style="1" customWidth="1"/>
    <col min="15869" max="15869" width="10.5" style="1" customWidth="1"/>
    <col min="15870" max="15870" width="20.375" style="1" bestFit="1" customWidth="1"/>
    <col min="15871" max="15871" width="12.5" style="1" customWidth="1"/>
    <col min="15872" max="15872" width="13.125" style="1" customWidth="1"/>
    <col min="15873" max="15877" width="9" style="1"/>
    <col min="15878" max="15878" width="11.25" style="1" bestFit="1" customWidth="1"/>
    <col min="15879" max="15879" width="11.625" style="1" bestFit="1" customWidth="1"/>
    <col min="15880" max="16110" width="9" style="1"/>
    <col min="16111" max="16111" width="4.625" style="1" customWidth="1"/>
    <col min="16112" max="16112" width="34.625" style="1" customWidth="1"/>
    <col min="16113" max="16113" width="11.625" style="1" customWidth="1"/>
    <col min="16114" max="16115" width="6.625" style="1" customWidth="1"/>
    <col min="16116" max="16116" width="10.625" style="1" customWidth="1"/>
    <col min="16117" max="16117" width="14.625" style="1" customWidth="1"/>
    <col min="16118" max="16118" width="10.625" style="1" customWidth="1"/>
    <col min="16119" max="16119" width="14.625" style="1" customWidth="1"/>
    <col min="16120" max="16120" width="10.625" style="1" customWidth="1"/>
    <col min="16121" max="16121" width="14.625" style="1" customWidth="1"/>
    <col min="16122" max="16122" width="10.625" style="1" customWidth="1"/>
    <col min="16123" max="16123" width="18.625" style="1" customWidth="1"/>
    <col min="16124" max="16124" width="9.625" style="1" customWidth="1"/>
    <col min="16125" max="16125" width="10.5" style="1" customWidth="1"/>
    <col min="16126" max="16126" width="20.375" style="1" bestFit="1" customWidth="1"/>
    <col min="16127" max="16127" width="12.5" style="1" customWidth="1"/>
    <col min="16128" max="16128" width="13.125" style="1" customWidth="1"/>
    <col min="16129" max="16133" width="9" style="1"/>
    <col min="16134" max="16134" width="11.25" style="1" bestFit="1" customWidth="1"/>
    <col min="16135" max="16135" width="11.625" style="1" bestFit="1" customWidth="1"/>
    <col min="16136" max="16384" width="9" style="1"/>
  </cols>
  <sheetData>
    <row r="1" spans="1:123" ht="35.1" customHeight="1">
      <c r="A1" s="330" t="s">
        <v>402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2"/>
    </row>
    <row r="2" spans="1:123" customFormat="1" ht="19.5" customHeight="1" thickBot="1">
      <c r="A2" s="356" t="s">
        <v>289</v>
      </c>
      <c r="B2" s="356"/>
      <c r="C2" s="356"/>
      <c r="D2" s="356"/>
      <c r="E2" s="356"/>
      <c r="F2" s="60"/>
      <c r="G2" s="60"/>
      <c r="H2" s="60"/>
      <c r="I2" s="60"/>
      <c r="J2" s="60"/>
      <c r="K2" s="60"/>
      <c r="L2" s="60"/>
      <c r="M2" s="368" t="s">
        <v>430</v>
      </c>
      <c r="N2" s="368"/>
    </row>
    <row r="3" spans="1:123" ht="30" customHeight="1">
      <c r="A3" s="121"/>
      <c r="B3" s="346" t="s">
        <v>56</v>
      </c>
      <c r="C3" s="348" t="s">
        <v>39</v>
      </c>
      <c r="D3" s="348" t="s">
        <v>38</v>
      </c>
      <c r="E3" s="348" t="s">
        <v>37</v>
      </c>
      <c r="F3" s="350" t="s">
        <v>40</v>
      </c>
      <c r="G3" s="351"/>
      <c r="H3" s="350" t="s">
        <v>57</v>
      </c>
      <c r="I3" s="351"/>
      <c r="J3" s="350" t="s">
        <v>41</v>
      </c>
      <c r="K3" s="351"/>
      <c r="L3" s="350" t="s">
        <v>4</v>
      </c>
      <c r="M3" s="351"/>
      <c r="N3" s="352" t="s">
        <v>0</v>
      </c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</row>
    <row r="4" spans="1:123" s="5" customFormat="1" ht="30" customHeight="1" thickBot="1">
      <c r="A4" s="122"/>
      <c r="B4" s="347"/>
      <c r="C4" s="349"/>
      <c r="D4" s="349"/>
      <c r="E4" s="349"/>
      <c r="F4" s="74" t="s">
        <v>58</v>
      </c>
      <c r="G4" s="74" t="s">
        <v>59</v>
      </c>
      <c r="H4" s="74" t="s">
        <v>58</v>
      </c>
      <c r="I4" s="74" t="s">
        <v>59</v>
      </c>
      <c r="J4" s="74" t="s">
        <v>58</v>
      </c>
      <c r="K4" s="74" t="s">
        <v>59</v>
      </c>
      <c r="L4" s="74" t="s">
        <v>58</v>
      </c>
      <c r="M4" s="74" t="s">
        <v>59</v>
      </c>
      <c r="N4" s="353"/>
      <c r="O4" s="2"/>
    </row>
    <row r="5" spans="1:123" s="2" customFormat="1" ht="30" hidden="1" customHeight="1">
      <c r="A5" s="123"/>
      <c r="B5" s="342" t="s">
        <v>60</v>
      </c>
      <c r="C5" s="342"/>
      <c r="D5" s="342"/>
      <c r="E5" s="343"/>
      <c r="F5" s="124"/>
      <c r="G5" s="124"/>
      <c r="H5" s="124"/>
      <c r="I5" s="124"/>
      <c r="J5" s="124"/>
      <c r="K5" s="124"/>
      <c r="L5" s="124"/>
      <c r="M5" s="124"/>
      <c r="N5" s="125"/>
    </row>
    <row r="6" spans="1:123" ht="30" customHeight="1">
      <c r="A6" s="165" t="s">
        <v>54</v>
      </c>
      <c r="B6" s="44"/>
      <c r="C6" s="44"/>
      <c r="D6" s="44"/>
      <c r="E6" s="47"/>
      <c r="F6" s="48"/>
      <c r="G6" s="48">
        <f>'기성내역서(2024용인_지성_건가)'!G61</f>
        <v>136559156</v>
      </c>
      <c r="H6" s="48"/>
      <c r="I6" s="48">
        <f>'기성내역서(2024용인_지성_건가)'!I61</f>
        <v>33964988</v>
      </c>
      <c r="J6" s="48"/>
      <c r="K6" s="48">
        <f>'기성내역서(2024용인_지성_건가)'!K61</f>
        <v>4595430</v>
      </c>
      <c r="L6" s="46"/>
      <c r="M6" s="45">
        <f>G6+I6+K6</f>
        <v>175119574</v>
      </c>
      <c r="N6" s="166"/>
      <c r="O6" s="2"/>
    </row>
    <row r="7" spans="1:123" s="3" customFormat="1" ht="30" customHeight="1">
      <c r="A7" s="127"/>
      <c r="B7" s="132"/>
      <c r="C7" s="129"/>
      <c r="D7" s="130"/>
      <c r="E7" s="128"/>
      <c r="F7" s="131"/>
      <c r="G7" s="80"/>
      <c r="H7" s="80"/>
      <c r="I7" s="80"/>
      <c r="J7" s="80"/>
      <c r="K7" s="80"/>
      <c r="L7" s="80"/>
      <c r="M7" s="80"/>
      <c r="N7" s="8"/>
      <c r="O7" s="2"/>
    </row>
    <row r="8" spans="1:123" s="3" customFormat="1" ht="30" customHeight="1">
      <c r="A8" s="127"/>
      <c r="B8" s="132"/>
      <c r="C8" s="129"/>
      <c r="D8" s="130"/>
      <c r="E8" s="128"/>
      <c r="F8" s="131"/>
      <c r="G8" s="80"/>
      <c r="H8" s="80"/>
      <c r="I8" s="80"/>
      <c r="J8" s="80"/>
      <c r="K8" s="80"/>
      <c r="L8" s="80"/>
      <c r="M8" s="80"/>
      <c r="N8" s="8"/>
      <c r="O8" s="2"/>
    </row>
    <row r="9" spans="1:123" s="3" customFormat="1" ht="30" customHeight="1" thickBot="1">
      <c r="A9" s="133"/>
      <c r="B9" s="134"/>
      <c r="C9" s="135"/>
      <c r="D9" s="62"/>
      <c r="E9" s="62"/>
      <c r="F9" s="22"/>
      <c r="G9" s="23"/>
      <c r="H9" s="23"/>
      <c r="I9" s="23"/>
      <c r="J9" s="23"/>
      <c r="K9" s="23"/>
      <c r="L9" s="23"/>
      <c r="M9" s="23"/>
      <c r="N9" s="63"/>
      <c r="O9" s="2"/>
    </row>
    <row r="10" spans="1:123" s="52" customFormat="1" ht="30" customHeight="1" thickBot="1">
      <c r="A10" s="136"/>
      <c r="B10" s="137" t="s">
        <v>46</v>
      </c>
      <c r="C10" s="138"/>
      <c r="D10" s="139"/>
      <c r="E10" s="138"/>
      <c r="F10" s="140"/>
      <c r="G10" s="140">
        <f>SUM(G6:G9)</f>
        <v>136559156</v>
      </c>
      <c r="H10" s="140"/>
      <c r="I10" s="140">
        <f>SUM(I6:I9)</f>
        <v>33964988</v>
      </c>
      <c r="J10" s="140"/>
      <c r="K10" s="140">
        <f>SUM(K6:K9)</f>
        <v>4595430</v>
      </c>
      <c r="L10" s="140"/>
      <c r="M10" s="140">
        <f>SUM(M6:M9)</f>
        <v>175119574</v>
      </c>
      <c r="N10" s="141"/>
      <c r="O10" s="51"/>
    </row>
    <row r="11" spans="1:123" s="92" customFormat="1" ht="30" customHeight="1">
      <c r="A11" s="142"/>
      <c r="B11" s="143" t="s">
        <v>1</v>
      </c>
      <c r="C11" s="82"/>
      <c r="D11" s="83"/>
      <c r="E11" s="84"/>
      <c r="F11" s="85"/>
      <c r="G11" s="86"/>
      <c r="H11" s="87"/>
      <c r="I11" s="86"/>
      <c r="J11" s="87"/>
      <c r="K11" s="86"/>
      <c r="L11" s="88"/>
      <c r="M11" s="89"/>
      <c r="N11" s="90"/>
      <c r="O11" s="91"/>
    </row>
    <row r="12" spans="1:123" s="3" customFormat="1" ht="30" customHeight="1">
      <c r="A12" s="144" t="s">
        <v>36</v>
      </c>
      <c r="B12" s="145" t="s">
        <v>61</v>
      </c>
      <c r="C12" s="6"/>
      <c r="D12" s="7">
        <v>1</v>
      </c>
      <c r="E12" s="6" t="s">
        <v>5</v>
      </c>
      <c r="F12" s="27"/>
      <c r="G12" s="28"/>
      <c r="H12" s="29"/>
      <c r="I12" s="28"/>
      <c r="J12" s="29"/>
      <c r="K12" s="28"/>
      <c r="L12" s="29"/>
      <c r="M12" s="30">
        <f>G10</f>
        <v>136559156</v>
      </c>
      <c r="N12" s="8"/>
      <c r="O12" s="2"/>
    </row>
    <row r="13" spans="1:123" s="3" customFormat="1" ht="30" customHeight="1">
      <c r="A13" s="144" t="s">
        <v>34</v>
      </c>
      <c r="B13" s="146" t="s">
        <v>47</v>
      </c>
      <c r="C13" s="6"/>
      <c r="D13" s="31"/>
      <c r="E13" s="32"/>
      <c r="F13" s="27"/>
      <c r="G13" s="28"/>
      <c r="H13" s="29"/>
      <c r="I13" s="28"/>
      <c r="J13" s="29"/>
      <c r="K13" s="28"/>
      <c r="L13" s="29"/>
      <c r="M13" s="30">
        <f>SUM(M14:M15)</f>
        <v>38482331</v>
      </c>
      <c r="N13" s="8"/>
      <c r="O13" s="2"/>
    </row>
    <row r="14" spans="1:123" ht="30" customHeight="1">
      <c r="A14" s="126"/>
      <c r="B14" s="145" t="s">
        <v>42</v>
      </c>
      <c r="C14" s="33"/>
      <c r="D14" s="7">
        <v>1</v>
      </c>
      <c r="E14" s="6" t="s">
        <v>5</v>
      </c>
      <c r="F14" s="34"/>
      <c r="G14" s="25"/>
      <c r="H14" s="25"/>
      <c r="I14" s="25"/>
      <c r="J14" s="25"/>
      <c r="K14" s="25"/>
      <c r="L14" s="26"/>
      <c r="M14" s="24">
        <f>I10</f>
        <v>33964988</v>
      </c>
      <c r="N14" s="8"/>
    </row>
    <row r="15" spans="1:123" ht="30" customHeight="1">
      <c r="A15" s="126"/>
      <c r="B15" s="145" t="s">
        <v>43</v>
      </c>
      <c r="C15" s="35">
        <v>0.13300000000000001</v>
      </c>
      <c r="D15" s="7">
        <v>1</v>
      </c>
      <c r="E15" s="6" t="s">
        <v>5</v>
      </c>
      <c r="F15" s="34" t="s">
        <v>2</v>
      </c>
      <c r="G15" s="25"/>
      <c r="H15" s="25"/>
      <c r="I15" s="25"/>
      <c r="J15" s="25"/>
      <c r="K15" s="25"/>
      <c r="L15" s="26"/>
      <c r="M15" s="24">
        <f>INT(I10*C15)</f>
        <v>4517343</v>
      </c>
      <c r="N15" s="8"/>
      <c r="O15" s="41"/>
    </row>
    <row r="16" spans="1:123" ht="30" customHeight="1">
      <c r="A16" s="144" t="s">
        <v>35</v>
      </c>
      <c r="B16" s="146" t="s">
        <v>62</v>
      </c>
      <c r="C16" s="33"/>
      <c r="D16" s="7"/>
      <c r="E16" s="6"/>
      <c r="F16" s="34"/>
      <c r="G16" s="25"/>
      <c r="H16" s="25"/>
      <c r="I16" s="25"/>
      <c r="J16" s="25"/>
      <c r="K16" s="25"/>
      <c r="L16" s="26"/>
      <c r="M16" s="24">
        <f>SUM(M17:M30)</f>
        <v>13705813</v>
      </c>
      <c r="N16" s="8"/>
    </row>
    <row r="17" spans="1:16" ht="30" customHeight="1">
      <c r="A17" s="126"/>
      <c r="B17" s="145" t="s">
        <v>63</v>
      </c>
      <c r="C17" s="33"/>
      <c r="D17" s="7">
        <v>1</v>
      </c>
      <c r="E17" s="6" t="s">
        <v>5</v>
      </c>
      <c r="F17" s="34"/>
      <c r="G17" s="25"/>
      <c r="H17" s="25"/>
      <c r="I17" s="25"/>
      <c r="J17" s="25"/>
      <c r="K17" s="25"/>
      <c r="L17" s="26"/>
      <c r="M17" s="24">
        <f>K10</f>
        <v>4595430</v>
      </c>
      <c r="N17" s="8"/>
    </row>
    <row r="18" spans="1:16" ht="30" customHeight="1">
      <c r="A18" s="126"/>
      <c r="B18" s="145" t="s">
        <v>87</v>
      </c>
      <c r="C18" s="36"/>
      <c r="D18" s="7"/>
      <c r="E18" s="6"/>
      <c r="F18" s="34"/>
      <c r="G18" s="25"/>
      <c r="H18" s="25"/>
      <c r="I18" s="25"/>
      <c r="J18" s="25"/>
      <c r="K18" s="25"/>
      <c r="L18" s="26"/>
      <c r="M18" s="24"/>
      <c r="N18" s="49"/>
      <c r="P18" s="5"/>
    </row>
    <row r="19" spans="1:16" ht="30" customHeight="1">
      <c r="A19" s="126"/>
      <c r="B19" s="146" t="s">
        <v>65</v>
      </c>
      <c r="C19" s="33">
        <v>3.56E-2</v>
      </c>
      <c r="D19" s="7">
        <v>1</v>
      </c>
      <c r="E19" s="6" t="s">
        <v>5</v>
      </c>
      <c r="F19" s="34" t="s">
        <v>66</v>
      </c>
      <c r="G19" s="25"/>
      <c r="H19" s="25"/>
      <c r="I19" s="25"/>
      <c r="J19" s="25"/>
      <c r="K19" s="25"/>
      <c r="L19" s="26"/>
      <c r="M19" s="24">
        <f>INT((I10+M15)*C19)</f>
        <v>1369970</v>
      </c>
      <c r="N19" s="8"/>
      <c r="O19" s="42"/>
      <c r="P19" s="52"/>
    </row>
    <row r="20" spans="1:16" ht="30" customHeight="1">
      <c r="A20" s="126"/>
      <c r="B20" s="146" t="s">
        <v>67</v>
      </c>
      <c r="C20" s="33">
        <v>1.01E-2</v>
      </c>
      <c r="D20" s="7">
        <v>1</v>
      </c>
      <c r="E20" s="6" t="s">
        <v>5</v>
      </c>
      <c r="F20" s="34" t="s">
        <v>66</v>
      </c>
      <c r="G20" s="25"/>
      <c r="H20" s="25"/>
      <c r="I20" s="25"/>
      <c r="J20" s="25"/>
      <c r="K20" s="25"/>
      <c r="L20" s="26"/>
      <c r="M20" s="24">
        <f>INT((M15+I10)*C20)</f>
        <v>388671</v>
      </c>
      <c r="N20" s="8"/>
      <c r="O20" s="42"/>
      <c r="P20" s="52"/>
    </row>
    <row r="21" spans="1:16" ht="30" customHeight="1">
      <c r="A21" s="126"/>
      <c r="B21" s="146" t="s">
        <v>68</v>
      </c>
      <c r="C21" s="33">
        <v>4.4999999999999998E-2</v>
      </c>
      <c r="D21" s="7">
        <v>1</v>
      </c>
      <c r="E21" s="6" t="s">
        <v>5</v>
      </c>
      <c r="F21" s="34" t="s">
        <v>2</v>
      </c>
      <c r="G21" s="25"/>
      <c r="H21" s="25"/>
      <c r="I21" s="25"/>
      <c r="J21" s="25"/>
      <c r="K21" s="25"/>
      <c r="L21" s="26"/>
      <c r="M21" s="50">
        <v>0</v>
      </c>
      <c r="N21" s="54" t="s">
        <v>64</v>
      </c>
      <c r="O21" s="42"/>
    </row>
    <row r="22" spans="1:16" ht="30" customHeight="1">
      <c r="A22" s="126"/>
      <c r="B22" s="146" t="s">
        <v>70</v>
      </c>
      <c r="C22" s="172">
        <v>3.5450000000000002E-2</v>
      </c>
      <c r="D22" s="7">
        <v>1</v>
      </c>
      <c r="E22" s="6" t="s">
        <v>5</v>
      </c>
      <c r="F22" s="34" t="s">
        <v>2</v>
      </c>
      <c r="G22" s="25"/>
      <c r="H22" s="25"/>
      <c r="I22" s="25"/>
      <c r="J22" s="25"/>
      <c r="K22" s="25"/>
      <c r="L22" s="26"/>
      <c r="M22" s="50">
        <v>0</v>
      </c>
      <c r="N22" s="54" t="s">
        <v>64</v>
      </c>
      <c r="O22" s="42"/>
    </row>
    <row r="23" spans="1:16" ht="30" customHeight="1">
      <c r="A23" s="126"/>
      <c r="B23" s="146" t="s">
        <v>71</v>
      </c>
      <c r="C23" s="33">
        <v>0.1295</v>
      </c>
      <c r="D23" s="7">
        <v>1</v>
      </c>
      <c r="E23" s="6" t="s">
        <v>5</v>
      </c>
      <c r="F23" s="34" t="s">
        <v>72</v>
      </c>
      <c r="G23" s="25"/>
      <c r="H23" s="25"/>
      <c r="I23" s="25"/>
      <c r="J23" s="25"/>
      <c r="K23" s="25"/>
      <c r="L23" s="26"/>
      <c r="M23" s="50">
        <v>0</v>
      </c>
      <c r="N23" s="54" t="s">
        <v>64</v>
      </c>
      <c r="O23" s="42"/>
    </row>
    <row r="24" spans="1:16" ht="30" customHeight="1">
      <c r="A24" s="126"/>
      <c r="B24" s="145" t="s">
        <v>88</v>
      </c>
      <c r="C24" s="35">
        <v>2.3E-2</v>
      </c>
      <c r="D24" s="7">
        <v>1</v>
      </c>
      <c r="E24" s="6" t="s">
        <v>5</v>
      </c>
      <c r="F24" s="34" t="s">
        <v>2</v>
      </c>
      <c r="G24" s="25"/>
      <c r="H24" s="25"/>
      <c r="I24" s="25"/>
      <c r="J24" s="25"/>
      <c r="K24" s="25"/>
      <c r="L24" s="26"/>
      <c r="M24" s="50">
        <v>0</v>
      </c>
      <c r="N24" s="54" t="s">
        <v>64</v>
      </c>
      <c r="O24" s="41"/>
    </row>
    <row r="25" spans="1:16" s="52" customFormat="1" ht="30" customHeight="1">
      <c r="A25" s="126"/>
      <c r="B25" s="145" t="s">
        <v>89</v>
      </c>
      <c r="C25" s="33">
        <v>2.5999999999999999E-2</v>
      </c>
      <c r="D25" s="7">
        <v>1</v>
      </c>
      <c r="E25" s="6" t="s">
        <v>5</v>
      </c>
      <c r="F25" s="153" t="s">
        <v>145</v>
      </c>
      <c r="G25" s="167"/>
      <c r="H25" s="167"/>
      <c r="I25" s="167"/>
      <c r="J25" s="167"/>
      <c r="K25" s="25"/>
      <c r="L25" s="26"/>
      <c r="M25" s="50">
        <v>0</v>
      </c>
      <c r="N25" s="54" t="s">
        <v>64</v>
      </c>
      <c r="O25" s="53"/>
    </row>
    <row r="26" spans="1:16" ht="30" customHeight="1">
      <c r="A26" s="126"/>
      <c r="B26" s="145" t="s">
        <v>90</v>
      </c>
      <c r="C26" s="33">
        <v>4.2000000000000003E-2</v>
      </c>
      <c r="D26" s="7">
        <v>1</v>
      </c>
      <c r="E26" s="6" t="s">
        <v>5</v>
      </c>
      <c r="F26" s="34" t="s">
        <v>73</v>
      </c>
      <c r="G26" s="25"/>
      <c r="H26" s="25"/>
      <c r="I26" s="25"/>
      <c r="J26" s="25"/>
      <c r="K26" s="25"/>
      <c r="L26" s="147"/>
      <c r="M26" s="24">
        <f>INT(($G$10+$I$10+$M$15)*C26)</f>
        <v>7351742</v>
      </c>
      <c r="N26" s="8"/>
      <c r="O26" s="41"/>
    </row>
    <row r="27" spans="1:16" ht="30" customHeight="1">
      <c r="A27" s="126"/>
      <c r="B27" s="145" t="s">
        <v>91</v>
      </c>
      <c r="C27" s="35">
        <v>5.0000000000000001E-3</v>
      </c>
      <c r="D27" s="7">
        <v>1</v>
      </c>
      <c r="E27" s="6" t="s">
        <v>5</v>
      </c>
      <c r="F27" s="34" t="s">
        <v>74</v>
      </c>
      <c r="G27" s="25"/>
      <c r="H27" s="25"/>
      <c r="I27" s="25"/>
      <c r="J27" s="25"/>
      <c r="K27" s="25"/>
      <c r="L27" s="26"/>
      <c r="M27" s="50">
        <v>0</v>
      </c>
      <c r="N27" s="54" t="s">
        <v>64</v>
      </c>
      <c r="O27" s="41"/>
    </row>
    <row r="28" spans="1:16" ht="30" customHeight="1">
      <c r="A28" s="148"/>
      <c r="B28" s="149" t="s">
        <v>92</v>
      </c>
      <c r="C28" s="150"/>
      <c r="D28" s="64"/>
      <c r="E28" s="61"/>
      <c r="F28" s="65"/>
      <c r="G28" s="66"/>
      <c r="H28" s="66"/>
      <c r="I28" s="66"/>
      <c r="J28" s="66"/>
      <c r="K28" s="66"/>
      <c r="L28" s="67"/>
      <c r="M28" s="68"/>
      <c r="N28" s="151"/>
    </row>
    <row r="29" spans="1:16" ht="30" customHeight="1">
      <c r="A29" s="148"/>
      <c r="B29" s="146" t="s">
        <v>75</v>
      </c>
      <c r="C29" s="152">
        <v>8.0000000000000004E-4</v>
      </c>
      <c r="D29" s="64">
        <v>1</v>
      </c>
      <c r="E29" s="61" t="s">
        <v>5</v>
      </c>
      <c r="F29" s="65" t="s">
        <v>74</v>
      </c>
      <c r="G29" s="66"/>
      <c r="H29" s="66"/>
      <c r="I29" s="66"/>
      <c r="J29" s="66"/>
      <c r="K29" s="66"/>
      <c r="L29" s="67"/>
      <c r="M29" s="205">
        <v>0</v>
      </c>
      <c r="N29" s="206" t="s">
        <v>64</v>
      </c>
      <c r="O29" s="43"/>
    </row>
    <row r="30" spans="1:16" ht="30" customHeight="1">
      <c r="A30" s="126"/>
      <c r="B30" s="146" t="s">
        <v>76</v>
      </c>
      <c r="C30" s="33">
        <v>3.2000000000000002E-3</v>
      </c>
      <c r="D30" s="7">
        <v>1</v>
      </c>
      <c r="E30" s="6" t="s">
        <v>5</v>
      </c>
      <c r="F30" s="34" t="s">
        <v>74</v>
      </c>
      <c r="G30" s="25"/>
      <c r="H30" s="25"/>
      <c r="I30" s="25"/>
      <c r="J30" s="25"/>
      <c r="K30" s="25"/>
      <c r="L30" s="26"/>
      <c r="M30" s="50">
        <v>0</v>
      </c>
      <c r="N30" s="54" t="s">
        <v>64</v>
      </c>
      <c r="O30" s="42"/>
    </row>
    <row r="31" spans="1:16" s="57" customFormat="1" ht="30" customHeight="1">
      <c r="A31" s="154"/>
      <c r="B31" s="155" t="s">
        <v>77</v>
      </c>
      <c r="C31" s="75"/>
      <c r="D31" s="76"/>
      <c r="E31" s="75"/>
      <c r="F31" s="77"/>
      <c r="G31" s="78"/>
      <c r="H31" s="78"/>
      <c r="I31" s="78"/>
      <c r="J31" s="78"/>
      <c r="K31" s="78"/>
      <c r="L31" s="79"/>
      <c r="M31" s="80">
        <f>M12+M13+M16</f>
        <v>188747300</v>
      </c>
      <c r="N31" s="81"/>
      <c r="O31" s="120"/>
    </row>
    <row r="32" spans="1:16" ht="30" customHeight="1">
      <c r="A32" s="144" t="s">
        <v>78</v>
      </c>
      <c r="B32" s="146" t="s">
        <v>79</v>
      </c>
      <c r="C32" s="33">
        <v>3.5000000000000003E-2</v>
      </c>
      <c r="D32" s="7">
        <v>1</v>
      </c>
      <c r="E32" s="6" t="s">
        <v>5</v>
      </c>
      <c r="F32" s="34" t="s">
        <v>80</v>
      </c>
      <c r="G32" s="25"/>
      <c r="H32" s="25"/>
      <c r="I32" s="25"/>
      <c r="J32" s="25"/>
      <c r="K32" s="25"/>
      <c r="L32" s="26"/>
      <c r="M32" s="24">
        <f>INT((M12+M13+M16)*C32)</f>
        <v>6606155</v>
      </c>
      <c r="N32" s="8"/>
      <c r="O32" s="41"/>
    </row>
    <row r="33" spans="1:123" ht="30" customHeight="1">
      <c r="A33" s="144" t="s">
        <v>81</v>
      </c>
      <c r="B33" s="146" t="s">
        <v>82</v>
      </c>
      <c r="C33" s="33">
        <v>4.2999999999999997E-2</v>
      </c>
      <c r="D33" s="7">
        <v>1</v>
      </c>
      <c r="E33" s="6" t="s">
        <v>5</v>
      </c>
      <c r="F33" s="34" t="s">
        <v>83</v>
      </c>
      <c r="G33" s="25"/>
      <c r="H33" s="25"/>
      <c r="I33" s="25"/>
      <c r="J33" s="37" t="s">
        <v>84</v>
      </c>
      <c r="K33" s="344">
        <f>INT((M13+M16+M32)*C33)</f>
        <v>2528154</v>
      </c>
      <c r="L33" s="345"/>
      <c r="M33" s="24">
        <f>INT((M13+M16+M32)*C33)-N33</f>
        <v>2526545</v>
      </c>
      <c r="N33" s="170">
        <v>1609</v>
      </c>
      <c r="O33" s="41"/>
    </row>
    <row r="34" spans="1:123" s="57" customFormat="1" ht="30" customHeight="1">
      <c r="A34" s="154"/>
      <c r="B34" s="155" t="s">
        <v>85</v>
      </c>
      <c r="C34" s="75"/>
      <c r="D34" s="76"/>
      <c r="E34" s="75"/>
      <c r="F34" s="77"/>
      <c r="G34" s="78"/>
      <c r="H34" s="78"/>
      <c r="I34" s="78"/>
      <c r="J34" s="78"/>
      <c r="K34" s="78"/>
      <c r="L34" s="79"/>
      <c r="M34" s="80">
        <f>SUM(M31:M33)</f>
        <v>197880000</v>
      </c>
      <c r="N34" s="81"/>
      <c r="O34" s="120"/>
    </row>
    <row r="35" spans="1:123" s="55" customFormat="1" ht="30" customHeight="1">
      <c r="A35" s="154"/>
      <c r="B35" s="155" t="s">
        <v>86</v>
      </c>
      <c r="C35" s="75"/>
      <c r="D35" s="76"/>
      <c r="E35" s="75"/>
      <c r="F35" s="77"/>
      <c r="G35" s="78"/>
      <c r="H35" s="78"/>
      <c r="I35" s="78"/>
      <c r="J35" s="78"/>
      <c r="K35" s="78"/>
      <c r="L35" s="79"/>
      <c r="M35" s="80">
        <f>M34</f>
        <v>197880000</v>
      </c>
      <c r="N35" s="81"/>
      <c r="O35" s="59"/>
    </row>
    <row r="36" spans="1:123" s="55" customFormat="1" ht="30" customHeight="1">
      <c r="A36" s="154"/>
      <c r="B36" s="155" t="s">
        <v>146</v>
      </c>
      <c r="C36" s="75"/>
      <c r="D36" s="76"/>
      <c r="E36" s="75"/>
      <c r="F36" s="77"/>
      <c r="G36" s="78"/>
      <c r="H36" s="78"/>
      <c r="I36" s="78"/>
      <c r="J36" s="78"/>
      <c r="K36" s="78"/>
      <c r="L36" s="79"/>
      <c r="M36" s="80">
        <f>M35*0.1</f>
        <v>19788000</v>
      </c>
      <c r="N36" s="81"/>
      <c r="O36" s="59"/>
    </row>
    <row r="37" spans="1:123" s="57" customFormat="1" ht="30" customHeight="1" thickBot="1">
      <c r="A37" s="156"/>
      <c r="B37" s="157" t="s">
        <v>152</v>
      </c>
      <c r="C37" s="158"/>
      <c r="D37" s="159"/>
      <c r="E37" s="158"/>
      <c r="F37" s="160"/>
      <c r="G37" s="161"/>
      <c r="H37" s="161"/>
      <c r="I37" s="161"/>
      <c r="J37" s="161"/>
      <c r="K37" s="161"/>
      <c r="L37" s="162"/>
      <c r="M37" s="163">
        <f>M35+M36</f>
        <v>217668000</v>
      </c>
      <c r="N37" s="164"/>
      <c r="O37" s="120"/>
    </row>
    <row r="38" spans="1:123" s="2" customFormat="1" ht="30" customHeight="1">
      <c r="A38" s="1"/>
      <c r="B38" s="1"/>
      <c r="D38" s="38"/>
      <c r="E38" s="5"/>
      <c r="F38" s="39"/>
      <c r="G38" s="38"/>
      <c r="H38" s="40"/>
      <c r="I38" s="38"/>
      <c r="J38" s="40"/>
      <c r="K38" s="38"/>
      <c r="L38" s="40"/>
      <c r="M38" s="40"/>
      <c r="N38" s="5"/>
      <c r="O38" s="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</row>
    <row r="39" spans="1:123" s="2" customFormat="1" ht="33" customHeight="1">
      <c r="A39" s="1"/>
      <c r="B39" s="1"/>
      <c r="D39" s="38"/>
      <c r="E39" s="5"/>
      <c r="F39" s="39"/>
      <c r="G39" s="38"/>
      <c r="H39" s="40"/>
      <c r="I39" s="38"/>
      <c r="J39" s="40"/>
      <c r="K39" s="38"/>
      <c r="L39" s="40"/>
      <c r="M39" s="168">
        <f>ROUND(M37/M10,5)</f>
        <v>1.2429699999999999</v>
      </c>
      <c r="N39" s="5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</row>
    <row r="40" spans="1:123" s="2" customFormat="1" ht="33" customHeight="1">
      <c r="A40" s="1"/>
      <c r="B40" s="1"/>
      <c r="D40" s="38"/>
      <c r="E40" s="5"/>
      <c r="F40" s="39"/>
      <c r="G40" s="38"/>
      <c r="H40" s="40"/>
      <c r="I40" s="38"/>
      <c r="J40" s="40"/>
      <c r="K40" s="38"/>
      <c r="L40" s="40"/>
      <c r="M40" s="40"/>
      <c r="N40" s="5"/>
      <c r="O40" s="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</row>
    <row r="41" spans="1:123" s="2" customFormat="1" ht="30" customHeight="1">
      <c r="A41" s="1"/>
      <c r="B41" s="1"/>
      <c r="D41" s="38"/>
      <c r="E41" s="5"/>
      <c r="F41" s="39"/>
      <c r="G41" s="38"/>
      <c r="H41" s="40"/>
      <c r="I41" s="38"/>
      <c r="J41" s="40"/>
      <c r="K41" s="38"/>
      <c r="L41" s="40"/>
      <c r="M41" s="40"/>
      <c r="N41" s="5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</row>
    <row r="45" spans="1:123" s="2" customFormat="1" ht="34.700000000000003" customHeight="1">
      <c r="A45" s="1"/>
      <c r="B45" s="1"/>
      <c r="D45" s="38"/>
      <c r="E45" s="5"/>
      <c r="F45" s="39"/>
      <c r="G45" s="38"/>
      <c r="H45" s="40"/>
      <c r="I45" s="38"/>
      <c r="J45" s="40"/>
      <c r="K45" s="38"/>
      <c r="L45" s="40"/>
      <c r="M45" s="40"/>
      <c r="N45" s="5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</row>
  </sheetData>
  <mergeCells count="14">
    <mergeCell ref="L3:M3"/>
    <mergeCell ref="N3:N4"/>
    <mergeCell ref="B5:E5"/>
    <mergeCell ref="K33:L33"/>
    <mergeCell ref="A1:N1"/>
    <mergeCell ref="A2:E2"/>
    <mergeCell ref="M2:N2"/>
    <mergeCell ref="B3:B4"/>
    <mergeCell ref="C3:C4"/>
    <mergeCell ref="D3:D4"/>
    <mergeCell ref="E3:E4"/>
    <mergeCell ref="F3:G3"/>
    <mergeCell ref="H3:I3"/>
    <mergeCell ref="J3:K3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horizontalDpi="1200" verticalDpi="1200" r:id="rId1"/>
  <headerFooter alignWithMargins="0">
    <oddHeader xml:space="preserve">&amp;C&amp;"돋움,보통"&amp;16&amp;U
</oddHeader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T62"/>
  <sheetViews>
    <sheetView view="pageBreakPreview" topLeftCell="A48" zoomScaleNormal="85" zoomScaleSheetLayoutView="100" workbookViewId="0">
      <selection activeCell="F51" sqref="F51"/>
    </sheetView>
  </sheetViews>
  <sheetFormatPr defaultColWidth="8" defaultRowHeight="14.25"/>
  <cols>
    <col min="1" max="1" width="10.5" customWidth="1"/>
    <col min="2" max="2" width="29.875" customWidth="1"/>
    <col min="3" max="3" width="18.75" customWidth="1"/>
    <col min="4" max="4" width="10.5" customWidth="1"/>
    <col min="5" max="5" width="5.25" customWidth="1"/>
    <col min="6" max="6" width="12.5" customWidth="1"/>
    <col min="7" max="7" width="15" customWidth="1"/>
    <col min="8" max="8" width="12.5" customWidth="1"/>
    <col min="9" max="9" width="16.875" customWidth="1"/>
    <col min="10" max="10" width="12.5" customWidth="1"/>
    <col min="11" max="11" width="16.875" customWidth="1"/>
    <col min="12" max="12" width="12.5" customWidth="1"/>
    <col min="13" max="13" width="16.875" customWidth="1"/>
    <col min="14" max="14" width="10.5" customWidth="1"/>
    <col min="16" max="16" width="19.25" bestFit="1" customWidth="1"/>
    <col min="18" max="18" width="10.625" bestFit="1" customWidth="1"/>
  </cols>
  <sheetData>
    <row r="1" spans="1:14" ht="35.1" customHeight="1">
      <c r="A1" s="338" t="s">
        <v>408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</row>
    <row r="2" spans="1:14" ht="15.4" customHeight="1">
      <c r="A2" s="60" t="s">
        <v>144</v>
      </c>
      <c r="B2" s="93"/>
      <c r="C2" s="116"/>
      <c r="D2" s="117"/>
      <c r="E2" s="93"/>
      <c r="F2" s="93"/>
      <c r="G2" s="93"/>
      <c r="H2" s="93"/>
      <c r="I2" s="93"/>
      <c r="J2" s="93"/>
      <c r="K2" s="93"/>
      <c r="L2" s="93"/>
      <c r="M2" s="369" t="s">
        <v>430</v>
      </c>
      <c r="N2" s="369"/>
    </row>
    <row r="3" spans="1:14" ht="19.5" customHeight="1">
      <c r="A3" s="94" t="s">
        <v>11</v>
      </c>
      <c r="B3" s="94" t="s">
        <v>12</v>
      </c>
      <c r="C3" s="115" t="s">
        <v>13</v>
      </c>
      <c r="D3" s="115" t="s">
        <v>14</v>
      </c>
      <c r="E3" s="94" t="s">
        <v>6</v>
      </c>
      <c r="F3" s="95" t="s">
        <v>8</v>
      </c>
      <c r="G3" s="96"/>
      <c r="H3" s="95" t="s">
        <v>9</v>
      </c>
      <c r="I3" s="96"/>
      <c r="J3" s="95" t="s">
        <v>15</v>
      </c>
      <c r="K3" s="96"/>
      <c r="L3" s="95" t="s">
        <v>16</v>
      </c>
      <c r="M3" s="304"/>
      <c r="N3" s="115" t="s">
        <v>44</v>
      </c>
    </row>
    <row r="4" spans="1:14" ht="19.5" customHeight="1">
      <c r="A4" s="97"/>
      <c r="B4" s="97"/>
      <c r="C4" s="97"/>
      <c r="D4" s="97"/>
      <c r="E4" s="97"/>
      <c r="F4" s="98" t="s">
        <v>17</v>
      </c>
      <c r="G4" s="98" t="s">
        <v>18</v>
      </c>
      <c r="H4" s="98" t="s">
        <v>17</v>
      </c>
      <c r="I4" s="98" t="s">
        <v>18</v>
      </c>
      <c r="J4" s="98" t="s">
        <v>17</v>
      </c>
      <c r="K4" s="98" t="s">
        <v>18</v>
      </c>
      <c r="L4" s="98" t="s">
        <v>17</v>
      </c>
      <c r="M4" s="98" t="s">
        <v>18</v>
      </c>
      <c r="N4" s="97"/>
    </row>
    <row r="5" spans="1:14" ht="22.5" customHeight="1">
      <c r="A5" s="99" t="s">
        <v>10</v>
      </c>
      <c r="B5" s="99" t="s">
        <v>19</v>
      </c>
      <c r="C5" s="99" t="s">
        <v>10</v>
      </c>
      <c r="D5" s="100">
        <v>0</v>
      </c>
      <c r="E5" s="98" t="s">
        <v>10</v>
      </c>
      <c r="F5" s="107" t="s">
        <v>10</v>
      </c>
      <c r="G5" s="107" t="s">
        <v>10</v>
      </c>
      <c r="H5" s="107" t="s">
        <v>10</v>
      </c>
      <c r="I5" s="107" t="s">
        <v>10</v>
      </c>
      <c r="J5" s="107" t="s">
        <v>10</v>
      </c>
      <c r="K5" s="107" t="s">
        <v>10</v>
      </c>
      <c r="L5" s="107" t="s">
        <v>10</v>
      </c>
      <c r="M5" s="107" t="s">
        <v>10</v>
      </c>
      <c r="N5" s="110" t="s">
        <v>10</v>
      </c>
    </row>
    <row r="6" spans="1:14" ht="22.5" customHeight="1">
      <c r="A6" s="103" t="s">
        <v>20</v>
      </c>
      <c r="B6" s="102" t="s">
        <v>93</v>
      </c>
      <c r="C6" s="103" t="s">
        <v>10</v>
      </c>
      <c r="D6" s="104">
        <v>0</v>
      </c>
      <c r="E6" s="105" t="s">
        <v>10</v>
      </c>
      <c r="F6" s="111" t="s">
        <v>10</v>
      </c>
      <c r="G6" s="111" t="s">
        <v>10</v>
      </c>
      <c r="H6" s="111" t="s">
        <v>10</v>
      </c>
      <c r="I6" s="111" t="s">
        <v>10</v>
      </c>
      <c r="J6" s="111" t="s">
        <v>10</v>
      </c>
      <c r="K6" s="111" t="s">
        <v>10</v>
      </c>
      <c r="L6" s="111" t="s">
        <v>10</v>
      </c>
      <c r="M6" s="111" t="s">
        <v>10</v>
      </c>
      <c r="N6" s="112" t="s">
        <v>10</v>
      </c>
    </row>
    <row r="7" spans="1:14" ht="22.5" customHeight="1">
      <c r="A7" s="101" t="s">
        <v>115</v>
      </c>
      <c r="B7" s="56" t="s">
        <v>49</v>
      </c>
      <c r="C7" s="101" t="s">
        <v>114</v>
      </c>
      <c r="D7" s="169"/>
      <c r="E7" s="101" t="s">
        <v>53</v>
      </c>
      <c r="F7" s="107">
        <v>473488</v>
      </c>
      <c r="G7" s="107">
        <f>D7*F7</f>
        <v>0</v>
      </c>
      <c r="H7" s="107">
        <v>364249</v>
      </c>
      <c r="I7" s="107">
        <f>D7*H7</f>
        <v>0</v>
      </c>
      <c r="J7" s="107">
        <v>13214</v>
      </c>
      <c r="K7" s="107">
        <f>D7*J7</f>
        <v>0</v>
      </c>
      <c r="L7" s="107">
        <f>F7+H7+J7</f>
        <v>850951</v>
      </c>
      <c r="M7" s="107">
        <f>D7*L7</f>
        <v>0</v>
      </c>
      <c r="N7" s="110"/>
    </row>
    <row r="8" spans="1:14" ht="22.5" customHeight="1">
      <c r="A8" s="101" t="s">
        <v>94</v>
      </c>
      <c r="B8" s="56" t="s">
        <v>49</v>
      </c>
      <c r="C8" s="101" t="s">
        <v>113</v>
      </c>
      <c r="D8" s="169"/>
      <c r="E8" s="101" t="s">
        <v>53</v>
      </c>
      <c r="F8" s="107">
        <v>2096059</v>
      </c>
      <c r="G8" s="107">
        <f>D8*F8</f>
        <v>0</v>
      </c>
      <c r="H8" s="107">
        <v>651150</v>
      </c>
      <c r="I8" s="107">
        <f>D8*H8</f>
        <v>0</v>
      </c>
      <c r="J8" s="107">
        <v>61358</v>
      </c>
      <c r="K8" s="107">
        <f>D8*J8</f>
        <v>0</v>
      </c>
      <c r="L8" s="107">
        <f t="shared" ref="L8:L27" si="0">F8+H8+J8</f>
        <v>2808567</v>
      </c>
      <c r="M8" s="107">
        <f t="shared" ref="M8:M27" si="1">D8*L8</f>
        <v>0</v>
      </c>
      <c r="N8" s="110"/>
    </row>
    <row r="9" spans="1:14" ht="22.5" customHeight="1">
      <c r="A9" s="101" t="s">
        <v>95</v>
      </c>
      <c r="B9" s="56" t="s">
        <v>49</v>
      </c>
      <c r="C9" s="101" t="s">
        <v>55</v>
      </c>
      <c r="D9" s="169"/>
      <c r="E9" s="101" t="s">
        <v>53</v>
      </c>
      <c r="F9" s="119">
        <v>2525128</v>
      </c>
      <c r="G9" s="107">
        <f>D9*F9</f>
        <v>0</v>
      </c>
      <c r="H9" s="107">
        <v>732040</v>
      </c>
      <c r="I9" s="107">
        <f>D9*H9</f>
        <v>0</v>
      </c>
      <c r="J9" s="107">
        <v>65243</v>
      </c>
      <c r="K9" s="107">
        <f>D9*J9</f>
        <v>0</v>
      </c>
      <c r="L9" s="107">
        <f t="shared" si="0"/>
        <v>3322411</v>
      </c>
      <c r="M9" s="107">
        <f t="shared" si="1"/>
        <v>0</v>
      </c>
      <c r="N9" s="110" t="s">
        <v>10</v>
      </c>
    </row>
    <row r="10" spans="1:14" ht="22.5" customHeight="1">
      <c r="A10" s="101" t="s">
        <v>96</v>
      </c>
      <c r="B10" s="56" t="s">
        <v>49</v>
      </c>
      <c r="C10" s="101" t="s">
        <v>48</v>
      </c>
      <c r="D10" s="169"/>
      <c r="E10" s="101" t="s">
        <v>53</v>
      </c>
      <c r="F10" s="119">
        <v>3251378</v>
      </c>
      <c r="G10" s="107">
        <f>D10*F10</f>
        <v>0</v>
      </c>
      <c r="H10" s="107">
        <v>774354</v>
      </c>
      <c r="I10" s="107">
        <f t="shared" ref="I10:I27" si="2">D10*H10</f>
        <v>0</v>
      </c>
      <c r="J10" s="107">
        <v>77677</v>
      </c>
      <c r="K10" s="107">
        <f t="shared" ref="K10:K27" si="3">D10*J10</f>
        <v>0</v>
      </c>
      <c r="L10" s="107">
        <f t="shared" si="0"/>
        <v>4103409</v>
      </c>
      <c r="M10" s="107">
        <f t="shared" si="1"/>
        <v>0</v>
      </c>
      <c r="N10" s="110" t="s">
        <v>10</v>
      </c>
    </row>
    <row r="11" spans="1:14" ht="22.5" customHeight="1">
      <c r="A11" s="101" t="s">
        <v>97</v>
      </c>
      <c r="B11" s="56" t="s">
        <v>49</v>
      </c>
      <c r="C11" s="101" t="s">
        <v>50</v>
      </c>
      <c r="D11" s="169"/>
      <c r="E11" s="101" t="s">
        <v>53</v>
      </c>
      <c r="F11" s="119">
        <v>3767327</v>
      </c>
      <c r="G11" s="107">
        <f t="shared" ref="G11:G27" si="4">D11*F11</f>
        <v>0</v>
      </c>
      <c r="H11" s="107">
        <v>835058</v>
      </c>
      <c r="I11" s="107">
        <f t="shared" si="2"/>
        <v>0</v>
      </c>
      <c r="J11" s="107">
        <v>126235</v>
      </c>
      <c r="K11" s="107">
        <f t="shared" si="3"/>
        <v>0</v>
      </c>
      <c r="L11" s="107">
        <f t="shared" si="0"/>
        <v>4728620</v>
      </c>
      <c r="M11" s="107">
        <f t="shared" si="1"/>
        <v>0</v>
      </c>
      <c r="N11" s="110"/>
    </row>
    <row r="12" spans="1:14" ht="22.5" customHeight="1">
      <c r="A12" s="101" t="s">
        <v>98</v>
      </c>
      <c r="B12" s="56" t="s">
        <v>49</v>
      </c>
      <c r="C12" s="101" t="s">
        <v>51</v>
      </c>
      <c r="D12" s="169"/>
      <c r="E12" s="101" t="s">
        <v>53</v>
      </c>
      <c r="F12" s="119">
        <v>4688285</v>
      </c>
      <c r="G12" s="107">
        <f t="shared" si="4"/>
        <v>0</v>
      </c>
      <c r="H12" s="107">
        <v>938836</v>
      </c>
      <c r="I12" s="107">
        <f t="shared" si="2"/>
        <v>0</v>
      </c>
      <c r="J12" s="107">
        <v>133031</v>
      </c>
      <c r="K12" s="107">
        <f t="shared" si="3"/>
        <v>0</v>
      </c>
      <c r="L12" s="107">
        <f t="shared" si="0"/>
        <v>5760152</v>
      </c>
      <c r="M12" s="107">
        <f t="shared" si="1"/>
        <v>0</v>
      </c>
      <c r="N12" s="110"/>
    </row>
    <row r="13" spans="1:14" ht="22.5" customHeight="1">
      <c r="A13" s="101" t="s">
        <v>99</v>
      </c>
      <c r="B13" s="56" t="s">
        <v>49</v>
      </c>
      <c r="C13" s="101" t="s">
        <v>52</v>
      </c>
      <c r="D13" s="169"/>
      <c r="E13" s="101" t="s">
        <v>53</v>
      </c>
      <c r="F13" s="119">
        <v>7175084</v>
      </c>
      <c r="G13" s="107">
        <f t="shared" si="4"/>
        <v>0</v>
      </c>
      <c r="H13" s="107">
        <v>1344035</v>
      </c>
      <c r="I13" s="107">
        <f t="shared" si="2"/>
        <v>0</v>
      </c>
      <c r="J13" s="107">
        <v>256626</v>
      </c>
      <c r="K13" s="107">
        <f t="shared" si="3"/>
        <v>0</v>
      </c>
      <c r="L13" s="107">
        <f t="shared" si="0"/>
        <v>8775745</v>
      </c>
      <c r="M13" s="107">
        <f t="shared" si="1"/>
        <v>0</v>
      </c>
      <c r="N13" s="110" t="s">
        <v>10</v>
      </c>
    </row>
    <row r="14" spans="1:14" ht="22.5" customHeight="1">
      <c r="A14" s="101" t="s">
        <v>100</v>
      </c>
      <c r="B14" s="56" t="s">
        <v>49</v>
      </c>
      <c r="C14" s="101" t="s">
        <v>23</v>
      </c>
      <c r="D14" s="169"/>
      <c r="E14" s="101" t="s">
        <v>53</v>
      </c>
      <c r="F14" s="119">
        <v>9658162</v>
      </c>
      <c r="G14" s="107">
        <f t="shared" si="4"/>
        <v>0</v>
      </c>
      <c r="H14" s="107">
        <v>1485827</v>
      </c>
      <c r="I14" s="107">
        <f t="shared" si="2"/>
        <v>0</v>
      </c>
      <c r="J14" s="107">
        <v>308857</v>
      </c>
      <c r="K14" s="107">
        <f t="shared" si="3"/>
        <v>0</v>
      </c>
      <c r="L14" s="107">
        <f t="shared" si="0"/>
        <v>11452846</v>
      </c>
      <c r="M14" s="107">
        <f t="shared" si="1"/>
        <v>0</v>
      </c>
      <c r="N14" s="110" t="s">
        <v>10</v>
      </c>
    </row>
    <row r="15" spans="1:14" ht="22.5" customHeight="1">
      <c r="A15" s="101" t="s">
        <v>101</v>
      </c>
      <c r="B15" s="56" t="s">
        <v>49</v>
      </c>
      <c r="C15" s="101" t="s">
        <v>22</v>
      </c>
      <c r="D15" s="169"/>
      <c r="E15" s="101" t="s">
        <v>53</v>
      </c>
      <c r="F15" s="119">
        <v>12169198</v>
      </c>
      <c r="G15" s="107">
        <f t="shared" si="4"/>
        <v>0</v>
      </c>
      <c r="H15" s="107">
        <v>1649432</v>
      </c>
      <c r="I15" s="107">
        <f t="shared" si="2"/>
        <v>0</v>
      </c>
      <c r="J15" s="107">
        <v>341364</v>
      </c>
      <c r="K15" s="107">
        <f t="shared" si="3"/>
        <v>0</v>
      </c>
      <c r="L15" s="107">
        <f t="shared" si="0"/>
        <v>14159994</v>
      </c>
      <c r="M15" s="107">
        <f t="shared" si="1"/>
        <v>0</v>
      </c>
      <c r="N15" s="110" t="s">
        <v>10</v>
      </c>
    </row>
    <row r="16" spans="1:14" ht="22.5" customHeight="1">
      <c r="A16" s="101" t="s">
        <v>102</v>
      </c>
      <c r="B16" s="56" t="s">
        <v>49</v>
      </c>
      <c r="C16" s="101" t="s">
        <v>26</v>
      </c>
      <c r="D16" s="169"/>
      <c r="E16" s="101" t="s">
        <v>53</v>
      </c>
      <c r="F16" s="119">
        <v>17976469</v>
      </c>
      <c r="G16" s="107">
        <f>D16*F16</f>
        <v>0</v>
      </c>
      <c r="H16" s="107">
        <v>2270083</v>
      </c>
      <c r="I16" s="107">
        <f>D16*H16</f>
        <v>0</v>
      </c>
      <c r="J16" s="107">
        <v>594821</v>
      </c>
      <c r="K16" s="107">
        <f>D16*J16</f>
        <v>0</v>
      </c>
      <c r="L16" s="107">
        <f t="shared" si="0"/>
        <v>20841373</v>
      </c>
      <c r="M16" s="107">
        <f>D16*L16</f>
        <v>0</v>
      </c>
      <c r="N16" s="110"/>
    </row>
    <row r="17" spans="1:14" ht="22.5" customHeight="1">
      <c r="A17" s="101" t="s">
        <v>103</v>
      </c>
      <c r="B17" s="56" t="s">
        <v>49</v>
      </c>
      <c r="C17" s="101" t="s">
        <v>33</v>
      </c>
      <c r="D17" s="169"/>
      <c r="E17" s="101" t="s">
        <v>53</v>
      </c>
      <c r="F17" s="119">
        <v>18408234</v>
      </c>
      <c r="G17" s="107">
        <f t="shared" si="4"/>
        <v>0</v>
      </c>
      <c r="H17" s="107">
        <v>2676868</v>
      </c>
      <c r="I17" s="107">
        <f t="shared" si="2"/>
        <v>0</v>
      </c>
      <c r="J17" s="107">
        <v>664149</v>
      </c>
      <c r="K17" s="107">
        <f t="shared" si="3"/>
        <v>0</v>
      </c>
      <c r="L17" s="107">
        <f t="shared" si="0"/>
        <v>21749251</v>
      </c>
      <c r="M17" s="107">
        <f t="shared" si="1"/>
        <v>0</v>
      </c>
      <c r="N17" s="110" t="s">
        <v>10</v>
      </c>
    </row>
    <row r="18" spans="1:14" ht="22.5" customHeight="1">
      <c r="A18" s="101" t="s">
        <v>104</v>
      </c>
      <c r="B18" s="56" t="s">
        <v>49</v>
      </c>
      <c r="C18" s="101" t="s">
        <v>32</v>
      </c>
      <c r="D18" s="169"/>
      <c r="E18" s="101" t="s">
        <v>53</v>
      </c>
      <c r="F18" s="119">
        <v>21589104</v>
      </c>
      <c r="G18" s="107">
        <f t="shared" si="4"/>
        <v>0</v>
      </c>
      <c r="H18" s="107">
        <v>3082851</v>
      </c>
      <c r="I18" s="107">
        <f t="shared" si="2"/>
        <v>0</v>
      </c>
      <c r="J18" s="107">
        <v>906276</v>
      </c>
      <c r="K18" s="107">
        <f t="shared" si="3"/>
        <v>0</v>
      </c>
      <c r="L18" s="107">
        <f t="shared" si="0"/>
        <v>25578231</v>
      </c>
      <c r="M18" s="107">
        <f t="shared" si="1"/>
        <v>0</v>
      </c>
      <c r="N18" s="110"/>
    </row>
    <row r="19" spans="1:14" ht="22.5" customHeight="1">
      <c r="A19" s="101" t="s">
        <v>105</v>
      </c>
      <c r="B19" s="56" t="s">
        <v>49</v>
      </c>
      <c r="C19" s="101" t="s">
        <v>31</v>
      </c>
      <c r="D19" s="169"/>
      <c r="E19" s="101" t="s">
        <v>53</v>
      </c>
      <c r="F19" s="119">
        <v>24638400</v>
      </c>
      <c r="G19" s="107">
        <f t="shared" si="4"/>
        <v>0</v>
      </c>
      <c r="H19" s="107">
        <v>3861028</v>
      </c>
      <c r="I19" s="107">
        <f t="shared" si="2"/>
        <v>0</v>
      </c>
      <c r="J19" s="107">
        <v>1047466</v>
      </c>
      <c r="K19" s="107">
        <f t="shared" si="3"/>
        <v>0</v>
      </c>
      <c r="L19" s="107">
        <f t="shared" si="0"/>
        <v>29546894</v>
      </c>
      <c r="M19" s="107">
        <f t="shared" si="1"/>
        <v>0</v>
      </c>
      <c r="N19" s="110"/>
    </row>
    <row r="20" spans="1:14" ht="22.5" customHeight="1">
      <c r="A20" s="101" t="s">
        <v>106</v>
      </c>
      <c r="B20" s="56" t="s">
        <v>49</v>
      </c>
      <c r="C20" s="101" t="s">
        <v>30</v>
      </c>
      <c r="D20" s="169"/>
      <c r="E20" s="101" t="s">
        <v>53</v>
      </c>
      <c r="F20" s="119">
        <v>25877998</v>
      </c>
      <c r="G20" s="107">
        <f t="shared" si="4"/>
        <v>0</v>
      </c>
      <c r="H20" s="107">
        <v>4274693</v>
      </c>
      <c r="I20" s="107">
        <f t="shared" si="2"/>
        <v>0</v>
      </c>
      <c r="J20" s="107">
        <v>1733663</v>
      </c>
      <c r="K20" s="107">
        <f t="shared" si="3"/>
        <v>0</v>
      </c>
      <c r="L20" s="107">
        <f t="shared" si="0"/>
        <v>31886354</v>
      </c>
      <c r="M20" s="107">
        <f t="shared" si="1"/>
        <v>0</v>
      </c>
      <c r="N20" s="110"/>
    </row>
    <row r="21" spans="1:14" ht="22.5" customHeight="1">
      <c r="A21" s="101" t="s">
        <v>107</v>
      </c>
      <c r="B21" s="56" t="s">
        <v>49</v>
      </c>
      <c r="C21" s="101" t="s">
        <v>24</v>
      </c>
      <c r="D21" s="169"/>
      <c r="E21" s="101" t="s">
        <v>53</v>
      </c>
      <c r="F21" s="119">
        <v>32881624</v>
      </c>
      <c r="G21" s="107">
        <f t="shared" si="4"/>
        <v>0</v>
      </c>
      <c r="H21" s="107">
        <v>5130868</v>
      </c>
      <c r="I21" s="107">
        <f t="shared" si="2"/>
        <v>0</v>
      </c>
      <c r="J21" s="107">
        <v>1981912</v>
      </c>
      <c r="K21" s="107">
        <f t="shared" si="3"/>
        <v>0</v>
      </c>
      <c r="L21" s="107">
        <f t="shared" si="0"/>
        <v>39994404</v>
      </c>
      <c r="M21" s="107">
        <f t="shared" si="1"/>
        <v>0</v>
      </c>
      <c r="N21" s="110"/>
    </row>
    <row r="22" spans="1:14" ht="22.5" customHeight="1">
      <c r="A22" s="101" t="s">
        <v>108</v>
      </c>
      <c r="B22" s="56" t="s">
        <v>49</v>
      </c>
      <c r="C22" s="101" t="s">
        <v>29</v>
      </c>
      <c r="D22" s="169"/>
      <c r="E22" s="101" t="s">
        <v>53</v>
      </c>
      <c r="F22" s="119">
        <v>34983928</v>
      </c>
      <c r="G22" s="107">
        <f t="shared" si="4"/>
        <v>0</v>
      </c>
      <c r="H22" s="107">
        <v>5548044</v>
      </c>
      <c r="I22" s="107">
        <f t="shared" si="2"/>
        <v>0</v>
      </c>
      <c r="J22" s="107">
        <v>2455665</v>
      </c>
      <c r="K22" s="107">
        <f t="shared" si="3"/>
        <v>0</v>
      </c>
      <c r="L22" s="107">
        <f t="shared" si="0"/>
        <v>42987637</v>
      </c>
      <c r="M22" s="107">
        <f t="shared" si="1"/>
        <v>0</v>
      </c>
      <c r="N22" s="110"/>
    </row>
    <row r="23" spans="1:14" ht="22.5" customHeight="1">
      <c r="A23" s="101" t="s">
        <v>109</v>
      </c>
      <c r="B23" s="56" t="s">
        <v>49</v>
      </c>
      <c r="C23" s="101" t="s">
        <v>119</v>
      </c>
      <c r="D23" s="169"/>
      <c r="E23" s="101" t="s">
        <v>53</v>
      </c>
      <c r="F23" s="119">
        <v>38815548</v>
      </c>
      <c r="G23" s="107">
        <f t="shared" si="4"/>
        <v>0</v>
      </c>
      <c r="H23" s="107">
        <v>5926788</v>
      </c>
      <c r="I23" s="107">
        <f t="shared" si="2"/>
        <v>0</v>
      </c>
      <c r="J23" s="107">
        <v>2662404</v>
      </c>
      <c r="K23" s="107">
        <f t="shared" si="3"/>
        <v>0</v>
      </c>
      <c r="L23" s="107">
        <f t="shared" si="0"/>
        <v>47404740</v>
      </c>
      <c r="M23" s="107">
        <f t="shared" si="1"/>
        <v>0</v>
      </c>
      <c r="N23" s="110"/>
    </row>
    <row r="24" spans="1:14" ht="22.5" customHeight="1">
      <c r="A24" s="101" t="s">
        <v>110</v>
      </c>
      <c r="B24" s="56" t="s">
        <v>49</v>
      </c>
      <c r="C24" s="101" t="s">
        <v>28</v>
      </c>
      <c r="D24" s="169"/>
      <c r="E24" s="101" t="s">
        <v>53</v>
      </c>
      <c r="F24" s="119">
        <v>44317123</v>
      </c>
      <c r="G24" s="107">
        <f t="shared" si="4"/>
        <v>0</v>
      </c>
      <c r="H24" s="107">
        <v>6423413</v>
      </c>
      <c r="I24" s="107">
        <f t="shared" si="2"/>
        <v>0</v>
      </c>
      <c r="J24" s="107">
        <v>4659138</v>
      </c>
      <c r="K24" s="107">
        <f t="shared" si="3"/>
        <v>0</v>
      </c>
      <c r="L24" s="107">
        <f t="shared" si="0"/>
        <v>55399674</v>
      </c>
      <c r="M24" s="107">
        <f t="shared" si="1"/>
        <v>0</v>
      </c>
      <c r="N24" s="110"/>
    </row>
    <row r="25" spans="1:14" ht="22.5" customHeight="1">
      <c r="A25" s="101" t="s">
        <v>111</v>
      </c>
      <c r="B25" s="56" t="s">
        <v>49</v>
      </c>
      <c r="C25" s="101" t="s">
        <v>27</v>
      </c>
      <c r="D25" s="169"/>
      <c r="E25" s="101" t="s">
        <v>53</v>
      </c>
      <c r="F25" s="119">
        <v>47002938</v>
      </c>
      <c r="G25" s="107">
        <f>D25*F25</f>
        <v>0</v>
      </c>
      <c r="H25" s="107">
        <v>6754833</v>
      </c>
      <c r="I25" s="107">
        <f>D25*H25</f>
        <v>0</v>
      </c>
      <c r="J25" s="107">
        <v>4931649</v>
      </c>
      <c r="K25" s="107">
        <f>D25*J25</f>
        <v>0</v>
      </c>
      <c r="L25" s="107">
        <f t="shared" si="0"/>
        <v>58689420</v>
      </c>
      <c r="M25" s="107">
        <f>D25*L25</f>
        <v>0</v>
      </c>
      <c r="N25" s="110"/>
    </row>
    <row r="26" spans="1:14" ht="22.5" customHeight="1">
      <c r="A26" s="101" t="s">
        <v>112</v>
      </c>
      <c r="B26" s="56" t="s">
        <v>49</v>
      </c>
      <c r="C26" s="101" t="s">
        <v>25</v>
      </c>
      <c r="D26" s="169"/>
      <c r="E26" s="101" t="s">
        <v>53</v>
      </c>
      <c r="F26" s="119">
        <v>56158837</v>
      </c>
      <c r="G26" s="107">
        <f t="shared" si="4"/>
        <v>0</v>
      </c>
      <c r="H26" s="107">
        <v>7151107</v>
      </c>
      <c r="I26" s="107">
        <f t="shared" si="2"/>
        <v>0</v>
      </c>
      <c r="J26" s="107">
        <v>5363774</v>
      </c>
      <c r="K26" s="107">
        <f t="shared" si="3"/>
        <v>0</v>
      </c>
      <c r="L26" s="107">
        <f t="shared" si="0"/>
        <v>68673718</v>
      </c>
      <c r="M26" s="107">
        <f t="shared" si="1"/>
        <v>0</v>
      </c>
      <c r="N26" s="110"/>
    </row>
    <row r="27" spans="1:14" ht="22.5" customHeight="1">
      <c r="A27" s="101" t="s">
        <v>128</v>
      </c>
      <c r="B27" s="56" t="s">
        <v>49</v>
      </c>
      <c r="C27" s="101" t="s">
        <v>129</v>
      </c>
      <c r="D27" s="169"/>
      <c r="E27" s="101" t="s">
        <v>53</v>
      </c>
      <c r="F27" s="119">
        <v>67252461</v>
      </c>
      <c r="G27" s="107">
        <f t="shared" si="4"/>
        <v>0</v>
      </c>
      <c r="H27" s="119">
        <v>7451208</v>
      </c>
      <c r="I27" s="107">
        <f t="shared" si="2"/>
        <v>0</v>
      </c>
      <c r="J27" s="119">
        <v>5562272</v>
      </c>
      <c r="K27" s="107">
        <f t="shared" si="3"/>
        <v>0</v>
      </c>
      <c r="L27" s="107">
        <f t="shared" si="0"/>
        <v>80265941</v>
      </c>
      <c r="M27" s="107">
        <f t="shared" si="1"/>
        <v>0</v>
      </c>
      <c r="N27" s="110"/>
    </row>
    <row r="28" spans="1:14" ht="22.5" customHeight="1">
      <c r="A28" s="101"/>
      <c r="B28" s="56" t="s">
        <v>116</v>
      </c>
      <c r="C28" s="101"/>
      <c r="D28" s="169">
        <f>SUM(D7:D27)</f>
        <v>0</v>
      </c>
      <c r="E28" s="101"/>
      <c r="F28" s="119"/>
      <c r="G28" s="107">
        <f>SUM(G7:G27)</f>
        <v>0</v>
      </c>
      <c r="H28" s="107"/>
      <c r="I28" s="107">
        <f>SUM(I7:I27)</f>
        <v>0</v>
      </c>
      <c r="J28" s="107"/>
      <c r="K28" s="107">
        <f>SUM(K7:K27)</f>
        <v>0</v>
      </c>
      <c r="L28" s="107"/>
      <c r="M28" s="107">
        <f>SUM(M7:M27)</f>
        <v>0</v>
      </c>
      <c r="N28" s="110"/>
    </row>
    <row r="29" spans="1:14" ht="22.5" customHeight="1">
      <c r="A29" s="102" t="s">
        <v>117</v>
      </c>
      <c r="B29" s="102" t="s">
        <v>118</v>
      </c>
      <c r="C29" s="103" t="s">
        <v>10</v>
      </c>
      <c r="D29" s="104">
        <v>0</v>
      </c>
      <c r="E29" s="105" t="s">
        <v>10</v>
      </c>
      <c r="F29" s="111"/>
      <c r="G29" s="111" t="s">
        <v>10</v>
      </c>
      <c r="H29" s="111"/>
      <c r="I29" s="111" t="s">
        <v>10</v>
      </c>
      <c r="J29" s="111" t="s">
        <v>10</v>
      </c>
      <c r="K29" s="111" t="s">
        <v>10</v>
      </c>
      <c r="L29" s="111" t="s">
        <v>10</v>
      </c>
      <c r="M29" s="111" t="s">
        <v>10</v>
      </c>
      <c r="N29" s="112" t="s">
        <v>10</v>
      </c>
    </row>
    <row r="30" spans="1:14" ht="22.5" customHeight="1">
      <c r="A30" s="101" t="s">
        <v>394</v>
      </c>
      <c r="B30" s="56" t="s">
        <v>49</v>
      </c>
      <c r="C30" s="101" t="s">
        <v>114</v>
      </c>
      <c r="D30" s="169">
        <v>0</v>
      </c>
      <c r="E30" s="101" t="s">
        <v>53</v>
      </c>
      <c r="F30" s="119">
        <v>473488</v>
      </c>
      <c r="G30" s="107">
        <f t="shared" ref="G30:G43" si="5">D30*F30</f>
        <v>0</v>
      </c>
      <c r="H30" s="107">
        <v>632217</v>
      </c>
      <c r="I30" s="107">
        <f t="shared" ref="I30:I43" si="6">D30*H30</f>
        <v>0</v>
      </c>
      <c r="J30" s="107">
        <v>13220</v>
      </c>
      <c r="K30" s="107">
        <f t="shared" ref="K30:K43" si="7">D30*J30</f>
        <v>0</v>
      </c>
      <c r="L30" s="107">
        <f t="shared" ref="L30:L43" si="8">F30+H30+J30</f>
        <v>1118925</v>
      </c>
      <c r="M30" s="107">
        <f t="shared" ref="M30:M43" si="9">D30*L30</f>
        <v>0</v>
      </c>
      <c r="N30" s="110"/>
    </row>
    <row r="31" spans="1:14" ht="22.5" customHeight="1">
      <c r="A31" s="101" t="s">
        <v>362</v>
      </c>
      <c r="B31" s="56" t="s">
        <v>49</v>
      </c>
      <c r="C31" s="101" t="s">
        <v>113</v>
      </c>
      <c r="D31" s="169"/>
      <c r="E31" s="101" t="s">
        <v>53</v>
      </c>
      <c r="F31" s="119">
        <v>2096059</v>
      </c>
      <c r="G31" s="107">
        <f t="shared" si="5"/>
        <v>0</v>
      </c>
      <c r="H31" s="107">
        <v>1176471</v>
      </c>
      <c r="I31" s="107">
        <f t="shared" si="6"/>
        <v>0</v>
      </c>
      <c r="J31" s="107">
        <v>61358</v>
      </c>
      <c r="K31" s="107">
        <f t="shared" si="7"/>
        <v>0</v>
      </c>
      <c r="L31" s="107">
        <f t="shared" si="8"/>
        <v>3333888</v>
      </c>
      <c r="M31" s="107">
        <f t="shared" si="9"/>
        <v>0</v>
      </c>
      <c r="N31" s="110"/>
    </row>
    <row r="32" spans="1:14" ht="22.5" customHeight="1">
      <c r="A32" s="101" t="s">
        <v>265</v>
      </c>
      <c r="B32" s="56" t="s">
        <v>49</v>
      </c>
      <c r="C32" s="101" t="s">
        <v>51</v>
      </c>
      <c r="D32" s="169"/>
      <c r="E32" s="101" t="s">
        <v>53</v>
      </c>
      <c r="F32" s="119">
        <v>4688285</v>
      </c>
      <c r="G32" s="107">
        <f t="shared" si="5"/>
        <v>0</v>
      </c>
      <c r="H32" s="107">
        <v>1698490</v>
      </c>
      <c r="I32" s="107">
        <f t="shared" si="6"/>
        <v>0</v>
      </c>
      <c r="J32" s="107">
        <v>133030</v>
      </c>
      <c r="K32" s="107">
        <f t="shared" si="7"/>
        <v>0</v>
      </c>
      <c r="L32" s="107">
        <f t="shared" si="8"/>
        <v>6519805</v>
      </c>
      <c r="M32" s="107">
        <f t="shared" si="9"/>
        <v>0</v>
      </c>
      <c r="N32" s="110"/>
    </row>
    <row r="33" spans="1:20" ht="22.5" customHeight="1">
      <c r="A33" s="101" t="s">
        <v>266</v>
      </c>
      <c r="B33" s="56" t="s">
        <v>49</v>
      </c>
      <c r="C33" s="101" t="s">
        <v>52</v>
      </c>
      <c r="D33" s="169">
        <v>4</v>
      </c>
      <c r="E33" s="101" t="s">
        <v>53</v>
      </c>
      <c r="F33" s="119">
        <v>7175084</v>
      </c>
      <c r="G33" s="107">
        <f t="shared" si="5"/>
        <v>28700336</v>
      </c>
      <c r="H33" s="107">
        <v>2392787</v>
      </c>
      <c r="I33" s="107">
        <f t="shared" si="6"/>
        <v>9571148</v>
      </c>
      <c r="J33" s="107">
        <v>256626</v>
      </c>
      <c r="K33" s="107">
        <f t="shared" si="7"/>
        <v>1026504</v>
      </c>
      <c r="L33" s="107">
        <f t="shared" si="8"/>
        <v>9824497</v>
      </c>
      <c r="M33" s="107">
        <f t="shared" si="9"/>
        <v>39297988</v>
      </c>
      <c r="N33" s="110"/>
    </row>
    <row r="34" spans="1:20" ht="22.5" customHeight="1">
      <c r="A34" s="101" t="s">
        <v>363</v>
      </c>
      <c r="B34" s="56" t="s">
        <v>49</v>
      </c>
      <c r="C34" s="101" t="s">
        <v>141</v>
      </c>
      <c r="D34" s="169"/>
      <c r="E34" s="101" t="s">
        <v>53</v>
      </c>
      <c r="F34" s="119">
        <v>9658163</v>
      </c>
      <c r="G34" s="107">
        <f t="shared" si="5"/>
        <v>0</v>
      </c>
      <c r="H34" s="107">
        <v>2647683</v>
      </c>
      <c r="I34" s="107">
        <f t="shared" si="6"/>
        <v>0</v>
      </c>
      <c r="J34" s="107">
        <v>308857</v>
      </c>
      <c r="K34" s="107">
        <f t="shared" si="7"/>
        <v>0</v>
      </c>
      <c r="L34" s="107">
        <f t="shared" si="8"/>
        <v>12614703</v>
      </c>
      <c r="M34" s="107">
        <f t="shared" si="9"/>
        <v>0</v>
      </c>
      <c r="N34" s="110"/>
    </row>
    <row r="35" spans="1:20" ht="22.5" customHeight="1">
      <c r="A35" s="101" t="s">
        <v>364</v>
      </c>
      <c r="B35" s="56" t="s">
        <v>49</v>
      </c>
      <c r="C35" s="101" t="s">
        <v>22</v>
      </c>
      <c r="D35" s="169"/>
      <c r="E35" s="101" t="s">
        <v>53</v>
      </c>
      <c r="F35" s="119">
        <v>12169198</v>
      </c>
      <c r="G35" s="107">
        <f>D35*F35</f>
        <v>0</v>
      </c>
      <c r="H35" s="107">
        <v>2940693</v>
      </c>
      <c r="I35" s="107">
        <f>D35*H35</f>
        <v>0</v>
      </c>
      <c r="J35" s="107">
        <v>341364</v>
      </c>
      <c r="K35" s="107">
        <f>D35*J35</f>
        <v>0</v>
      </c>
      <c r="L35" s="107">
        <f t="shared" si="8"/>
        <v>15451255</v>
      </c>
      <c r="M35" s="107">
        <f>D35*L35</f>
        <v>0</v>
      </c>
      <c r="N35" s="110" t="s">
        <v>10</v>
      </c>
    </row>
    <row r="36" spans="1:20" ht="22.5" customHeight="1">
      <c r="A36" s="101" t="s">
        <v>365</v>
      </c>
      <c r="B36" s="56" t="s">
        <v>49</v>
      </c>
      <c r="C36" s="101" t="s">
        <v>142</v>
      </c>
      <c r="D36" s="169">
        <v>6</v>
      </c>
      <c r="E36" s="101" t="s">
        <v>53</v>
      </c>
      <c r="F36" s="119">
        <v>17976470</v>
      </c>
      <c r="G36" s="107">
        <f>D36*F36</f>
        <v>107858820</v>
      </c>
      <c r="H36" s="107">
        <v>4065640</v>
      </c>
      <c r="I36" s="107">
        <f>D36*H36</f>
        <v>24393840</v>
      </c>
      <c r="J36" s="107">
        <v>594821</v>
      </c>
      <c r="K36" s="107">
        <f>D36*J36</f>
        <v>3568926</v>
      </c>
      <c r="L36" s="107">
        <f t="shared" si="8"/>
        <v>22636931</v>
      </c>
      <c r="M36" s="107">
        <f>D36*L36</f>
        <v>135821586</v>
      </c>
      <c r="N36" s="110" t="s">
        <v>10</v>
      </c>
    </row>
    <row r="37" spans="1:20" ht="22.5" customHeight="1">
      <c r="A37" s="101" t="s">
        <v>366</v>
      </c>
      <c r="B37" s="56" t="s">
        <v>49</v>
      </c>
      <c r="C37" s="101" t="s">
        <v>33</v>
      </c>
      <c r="D37" s="169"/>
      <c r="E37" s="101" t="s">
        <v>53</v>
      </c>
      <c r="F37" s="119">
        <v>18408234</v>
      </c>
      <c r="G37" s="107">
        <f t="shared" si="5"/>
        <v>0</v>
      </c>
      <c r="H37" s="119">
        <v>4803583</v>
      </c>
      <c r="I37" s="107">
        <f t="shared" si="6"/>
        <v>0</v>
      </c>
      <c r="J37" s="119">
        <v>664149</v>
      </c>
      <c r="K37" s="107">
        <f t="shared" si="7"/>
        <v>0</v>
      </c>
      <c r="L37" s="107">
        <f t="shared" si="8"/>
        <v>23875966</v>
      </c>
      <c r="M37" s="107">
        <f t="shared" si="9"/>
        <v>0</v>
      </c>
      <c r="N37" s="110" t="s">
        <v>10</v>
      </c>
    </row>
    <row r="38" spans="1:20" ht="22.5" customHeight="1">
      <c r="A38" s="101" t="s">
        <v>367</v>
      </c>
      <c r="B38" s="56" t="s">
        <v>49</v>
      </c>
      <c r="C38" s="101" t="s">
        <v>31</v>
      </c>
      <c r="D38" s="118"/>
      <c r="E38" s="101" t="s">
        <v>53</v>
      </c>
      <c r="F38" s="119">
        <v>24638400</v>
      </c>
      <c r="G38" s="107">
        <f t="shared" si="5"/>
        <v>0</v>
      </c>
      <c r="H38" s="119">
        <v>6942629</v>
      </c>
      <c r="I38" s="107">
        <f t="shared" si="6"/>
        <v>0</v>
      </c>
      <c r="J38" s="119">
        <v>1047465</v>
      </c>
      <c r="K38" s="107">
        <f t="shared" si="7"/>
        <v>0</v>
      </c>
      <c r="L38" s="107">
        <f t="shared" si="8"/>
        <v>32628494</v>
      </c>
      <c r="M38" s="107">
        <f t="shared" si="9"/>
        <v>0</v>
      </c>
      <c r="N38" s="110"/>
    </row>
    <row r="39" spans="1:20" ht="22.5" customHeight="1">
      <c r="A39" s="101" t="s">
        <v>271</v>
      </c>
      <c r="B39" s="56" t="s">
        <v>49</v>
      </c>
      <c r="C39" s="101" t="s">
        <v>143</v>
      </c>
      <c r="D39" s="118"/>
      <c r="E39" s="101" t="s">
        <v>53</v>
      </c>
      <c r="F39" s="119">
        <v>25877998</v>
      </c>
      <c r="G39" s="107">
        <f t="shared" si="5"/>
        <v>0</v>
      </c>
      <c r="H39" s="119">
        <v>7691243</v>
      </c>
      <c r="I39" s="107">
        <f t="shared" si="6"/>
        <v>0</v>
      </c>
      <c r="J39" s="119">
        <v>1733663</v>
      </c>
      <c r="K39" s="107">
        <f t="shared" si="7"/>
        <v>0</v>
      </c>
      <c r="L39" s="107">
        <f t="shared" si="8"/>
        <v>35302904</v>
      </c>
      <c r="M39" s="107">
        <f t="shared" si="9"/>
        <v>0</v>
      </c>
      <c r="N39" s="110"/>
    </row>
    <row r="40" spans="1:20" ht="22.5" customHeight="1">
      <c r="A40" s="101" t="s">
        <v>275</v>
      </c>
      <c r="B40" s="56" t="s">
        <v>49</v>
      </c>
      <c r="C40" s="101" t="s">
        <v>24</v>
      </c>
      <c r="D40" s="169"/>
      <c r="E40" s="101" t="s">
        <v>53</v>
      </c>
      <c r="F40" s="119">
        <v>32881624</v>
      </c>
      <c r="G40" s="107">
        <f t="shared" si="5"/>
        <v>0</v>
      </c>
      <c r="H40" s="119">
        <v>9231123</v>
      </c>
      <c r="I40" s="107">
        <f t="shared" si="6"/>
        <v>0</v>
      </c>
      <c r="J40" s="119">
        <v>1981912</v>
      </c>
      <c r="K40" s="107">
        <f t="shared" si="7"/>
        <v>0</v>
      </c>
      <c r="L40" s="107">
        <f t="shared" si="8"/>
        <v>44094659</v>
      </c>
      <c r="M40" s="107">
        <f t="shared" si="9"/>
        <v>0</v>
      </c>
      <c r="N40" s="110"/>
    </row>
    <row r="41" spans="1:20" ht="22.5" customHeight="1">
      <c r="A41" s="101" t="s">
        <v>278</v>
      </c>
      <c r="B41" s="56" t="s">
        <v>49</v>
      </c>
      <c r="C41" s="101" t="s">
        <v>28</v>
      </c>
      <c r="D41" s="169"/>
      <c r="E41" s="101" t="s">
        <v>53</v>
      </c>
      <c r="F41" s="119">
        <v>44317123</v>
      </c>
      <c r="G41" s="107">
        <f t="shared" si="5"/>
        <v>0</v>
      </c>
      <c r="H41" s="119">
        <v>11562746</v>
      </c>
      <c r="I41" s="107">
        <f t="shared" si="6"/>
        <v>0</v>
      </c>
      <c r="J41" s="119">
        <v>4659138</v>
      </c>
      <c r="K41" s="107">
        <f t="shared" si="7"/>
        <v>0</v>
      </c>
      <c r="L41" s="107">
        <f t="shared" si="8"/>
        <v>60539007</v>
      </c>
      <c r="M41" s="107">
        <f t="shared" si="9"/>
        <v>0</v>
      </c>
      <c r="N41" s="110"/>
    </row>
    <row r="42" spans="1:20" ht="22.5" customHeight="1">
      <c r="A42" s="101" t="s">
        <v>368</v>
      </c>
      <c r="B42" s="56" t="s">
        <v>49</v>
      </c>
      <c r="C42" s="101" t="s">
        <v>27</v>
      </c>
      <c r="D42" s="118"/>
      <c r="E42" s="101" t="s">
        <v>53</v>
      </c>
      <c r="F42" s="119">
        <v>47002938</v>
      </c>
      <c r="G42" s="107">
        <f t="shared" si="5"/>
        <v>0</v>
      </c>
      <c r="H42" s="119">
        <v>12161036</v>
      </c>
      <c r="I42" s="107">
        <f t="shared" si="6"/>
        <v>0</v>
      </c>
      <c r="J42" s="119">
        <v>4931649</v>
      </c>
      <c r="K42" s="107">
        <f t="shared" si="7"/>
        <v>0</v>
      </c>
      <c r="L42" s="107">
        <f t="shared" si="8"/>
        <v>64095623</v>
      </c>
      <c r="M42" s="107">
        <f t="shared" si="9"/>
        <v>0</v>
      </c>
      <c r="N42" s="110"/>
    </row>
    <row r="43" spans="1:20" ht="22.5" customHeight="1">
      <c r="A43" s="101" t="s">
        <v>369</v>
      </c>
      <c r="B43" s="56" t="s">
        <v>49</v>
      </c>
      <c r="C43" s="101" t="s">
        <v>25</v>
      </c>
      <c r="D43" s="118">
        <v>0</v>
      </c>
      <c r="E43" s="101" t="s">
        <v>53</v>
      </c>
      <c r="F43" s="119">
        <v>56158837</v>
      </c>
      <c r="G43" s="107">
        <f t="shared" si="5"/>
        <v>0</v>
      </c>
      <c r="H43" s="119">
        <v>12875632</v>
      </c>
      <c r="I43" s="107">
        <f t="shared" si="6"/>
        <v>0</v>
      </c>
      <c r="J43" s="119">
        <v>5363775</v>
      </c>
      <c r="K43" s="107">
        <f t="shared" si="7"/>
        <v>0</v>
      </c>
      <c r="L43" s="107">
        <f t="shared" si="8"/>
        <v>74398244</v>
      </c>
      <c r="M43" s="107">
        <f t="shared" si="9"/>
        <v>0</v>
      </c>
      <c r="N43" s="110"/>
    </row>
    <row r="44" spans="1:20" ht="22.5" customHeight="1">
      <c r="A44" s="101"/>
      <c r="B44" s="56" t="s">
        <v>116</v>
      </c>
      <c r="C44" s="101"/>
      <c r="D44" s="169">
        <f>SUM(D30:D43)</f>
        <v>10</v>
      </c>
      <c r="E44" s="101"/>
      <c r="F44" s="119"/>
      <c r="G44" s="107">
        <f>SUM(G30:G43)</f>
        <v>136559156</v>
      </c>
      <c r="H44" s="107"/>
      <c r="I44" s="107">
        <f>SUM(I30:I43)</f>
        <v>33964988</v>
      </c>
      <c r="J44" s="107"/>
      <c r="K44" s="107">
        <f>SUM(K30:K43)</f>
        <v>4595430</v>
      </c>
      <c r="L44" s="107"/>
      <c r="M44" s="107">
        <f>SUM(M30:M43)</f>
        <v>175119574</v>
      </c>
      <c r="N44" s="110"/>
    </row>
    <row r="45" spans="1:20" ht="22.5" customHeight="1">
      <c r="A45" s="102" t="s">
        <v>131</v>
      </c>
      <c r="B45" s="102" t="s">
        <v>133</v>
      </c>
      <c r="C45" s="103" t="s">
        <v>10</v>
      </c>
      <c r="D45" s="104">
        <v>0</v>
      </c>
      <c r="E45" s="105" t="s">
        <v>10</v>
      </c>
      <c r="F45" s="111"/>
      <c r="G45" s="111"/>
      <c r="H45" s="111"/>
      <c r="I45" s="111" t="s">
        <v>10</v>
      </c>
      <c r="J45" s="111" t="s">
        <v>10</v>
      </c>
      <c r="K45" s="111" t="s">
        <v>10</v>
      </c>
      <c r="L45" s="111" t="s">
        <v>10</v>
      </c>
      <c r="M45" s="111" t="s">
        <v>10</v>
      </c>
      <c r="N45" s="112" t="s">
        <v>10</v>
      </c>
    </row>
    <row r="46" spans="1:20" ht="22.5" customHeight="1">
      <c r="A46" s="101" t="s">
        <v>370</v>
      </c>
      <c r="B46" s="56" t="s">
        <v>132</v>
      </c>
      <c r="C46" s="101" t="s">
        <v>138</v>
      </c>
      <c r="D46" s="118">
        <v>0</v>
      </c>
      <c r="E46" s="101" t="s">
        <v>130</v>
      </c>
      <c r="F46" s="119">
        <v>26432884</v>
      </c>
      <c r="G46" s="107">
        <f t="shared" ref="G46:G50" si="10">D46*F46</f>
        <v>0</v>
      </c>
      <c r="H46" s="119">
        <v>1649432</v>
      </c>
      <c r="I46" s="107">
        <f t="shared" ref="I46:I50" si="11">D46*H46</f>
        <v>0</v>
      </c>
      <c r="J46" s="119">
        <v>419928</v>
      </c>
      <c r="K46" s="107">
        <f t="shared" ref="K46:K50" si="12">D46*J46</f>
        <v>0</v>
      </c>
      <c r="L46" s="107">
        <f t="shared" ref="L46:L50" si="13">F46+H46+J46</f>
        <v>28502244</v>
      </c>
      <c r="M46" s="107">
        <f t="shared" ref="M46:M50" si="14">D46*L46</f>
        <v>0</v>
      </c>
      <c r="N46" s="110"/>
    </row>
    <row r="47" spans="1:20" ht="22.5" customHeight="1">
      <c r="A47" s="101" t="s">
        <v>285</v>
      </c>
      <c r="B47" s="56" t="s">
        <v>132</v>
      </c>
      <c r="C47" s="101" t="s">
        <v>134</v>
      </c>
      <c r="D47" s="118">
        <v>0</v>
      </c>
      <c r="E47" s="101" t="s">
        <v>130</v>
      </c>
      <c r="F47" s="119">
        <v>58301697</v>
      </c>
      <c r="G47" s="107">
        <f t="shared" si="10"/>
        <v>0</v>
      </c>
      <c r="H47" s="119">
        <v>5130868</v>
      </c>
      <c r="I47" s="107">
        <f t="shared" si="11"/>
        <v>0</v>
      </c>
      <c r="J47" s="119">
        <v>2543989</v>
      </c>
      <c r="K47" s="107">
        <f t="shared" si="12"/>
        <v>0</v>
      </c>
      <c r="L47" s="107">
        <f t="shared" si="13"/>
        <v>65976554</v>
      </c>
      <c r="M47" s="107">
        <f t="shared" si="14"/>
        <v>0</v>
      </c>
      <c r="N47" s="110"/>
      <c r="P47" s="171"/>
      <c r="T47" s="171"/>
    </row>
    <row r="48" spans="1:20" ht="22.5" customHeight="1">
      <c r="A48" s="101" t="s">
        <v>371</v>
      </c>
      <c r="B48" s="56" t="s">
        <v>132</v>
      </c>
      <c r="C48" s="101" t="s">
        <v>119</v>
      </c>
      <c r="D48" s="118">
        <v>0</v>
      </c>
      <c r="E48" s="101" t="s">
        <v>130</v>
      </c>
      <c r="F48" s="119">
        <v>67170931</v>
      </c>
      <c r="G48" s="107">
        <f t="shared" si="10"/>
        <v>0</v>
      </c>
      <c r="H48" s="119">
        <v>5926788</v>
      </c>
      <c r="I48" s="107">
        <f t="shared" si="11"/>
        <v>0</v>
      </c>
      <c r="J48" s="119">
        <v>5128336</v>
      </c>
      <c r="K48" s="107">
        <f t="shared" si="12"/>
        <v>0</v>
      </c>
      <c r="L48" s="107">
        <f t="shared" si="13"/>
        <v>78226055</v>
      </c>
      <c r="M48" s="107">
        <f t="shared" si="14"/>
        <v>0</v>
      </c>
      <c r="N48" s="110"/>
      <c r="P48" s="171"/>
      <c r="T48" s="171"/>
    </row>
    <row r="49" spans="1:20" ht="22.5" customHeight="1">
      <c r="A49" s="101" t="s">
        <v>372</v>
      </c>
      <c r="B49" s="56" t="s">
        <v>132</v>
      </c>
      <c r="C49" s="101" t="s">
        <v>135</v>
      </c>
      <c r="D49" s="118"/>
      <c r="E49" s="101" t="s">
        <v>130</v>
      </c>
      <c r="F49" s="119">
        <v>91562155</v>
      </c>
      <c r="G49" s="107">
        <f>D49*F49</f>
        <v>0</v>
      </c>
      <c r="H49" s="119">
        <v>6754833</v>
      </c>
      <c r="I49" s="107">
        <f>D49*H49</f>
        <v>0</v>
      </c>
      <c r="J49" s="119">
        <v>6416064</v>
      </c>
      <c r="K49" s="107">
        <f>D49*J49</f>
        <v>0</v>
      </c>
      <c r="L49" s="107">
        <f t="shared" si="13"/>
        <v>104733052</v>
      </c>
      <c r="M49" s="107">
        <f>D49*L49</f>
        <v>0</v>
      </c>
      <c r="N49" s="110"/>
      <c r="P49" s="171"/>
      <c r="T49" s="171"/>
    </row>
    <row r="50" spans="1:20" ht="22.5" customHeight="1">
      <c r="A50" s="101" t="s">
        <v>373</v>
      </c>
      <c r="B50" s="56" t="s">
        <v>132</v>
      </c>
      <c r="C50" s="101" t="s">
        <v>136</v>
      </c>
      <c r="D50" s="118">
        <v>0</v>
      </c>
      <c r="E50" s="101" t="s">
        <v>130</v>
      </c>
      <c r="F50" s="119">
        <v>101618610</v>
      </c>
      <c r="G50" s="107">
        <f t="shared" si="10"/>
        <v>0</v>
      </c>
      <c r="H50" s="119">
        <v>7151107</v>
      </c>
      <c r="I50" s="107">
        <f t="shared" si="11"/>
        <v>0</v>
      </c>
      <c r="J50" s="119">
        <v>7086024</v>
      </c>
      <c r="K50" s="107">
        <f t="shared" si="12"/>
        <v>0</v>
      </c>
      <c r="L50" s="107">
        <f t="shared" si="13"/>
        <v>115855741</v>
      </c>
      <c r="M50" s="107">
        <f t="shared" si="14"/>
        <v>0</v>
      </c>
      <c r="N50" s="110"/>
      <c r="P50" s="171"/>
      <c r="T50" s="171"/>
    </row>
    <row r="51" spans="1:20" ht="22.5" customHeight="1">
      <c r="A51" s="101"/>
      <c r="B51" s="56" t="s">
        <v>116</v>
      </c>
      <c r="C51" s="101"/>
      <c r="D51" s="169">
        <f>SUM(D46:D50)</f>
        <v>0</v>
      </c>
      <c r="E51" s="101"/>
      <c r="F51" s="119"/>
      <c r="G51" s="107">
        <f>SUM(G46:G50)</f>
        <v>0</v>
      </c>
      <c r="H51" s="107"/>
      <c r="I51" s="107">
        <f>SUM(I46:I50)</f>
        <v>0</v>
      </c>
      <c r="J51" s="107"/>
      <c r="K51" s="107">
        <f>SUM(K46:K50)</f>
        <v>0</v>
      </c>
      <c r="L51" s="107"/>
      <c r="M51" s="107">
        <f>SUM(M46:M50)</f>
        <v>0</v>
      </c>
      <c r="N51" s="110"/>
    </row>
    <row r="52" spans="1:20" ht="22.5" customHeight="1">
      <c r="A52" s="102" t="s">
        <v>137</v>
      </c>
      <c r="B52" s="102" t="s">
        <v>140</v>
      </c>
      <c r="C52" s="103" t="s">
        <v>10</v>
      </c>
      <c r="D52" s="104">
        <v>0</v>
      </c>
      <c r="E52" s="105" t="s">
        <v>10</v>
      </c>
      <c r="F52" s="111"/>
      <c r="G52" s="111" t="s">
        <v>10</v>
      </c>
      <c r="H52" s="111"/>
      <c r="I52" s="111" t="s">
        <v>10</v>
      </c>
      <c r="J52" s="111" t="s">
        <v>10</v>
      </c>
      <c r="K52" s="111" t="s">
        <v>10</v>
      </c>
      <c r="L52" s="111" t="s">
        <v>10</v>
      </c>
      <c r="M52" s="111" t="s">
        <v>10</v>
      </c>
      <c r="N52" s="112" t="s">
        <v>10</v>
      </c>
    </row>
    <row r="53" spans="1:20" ht="22.5" customHeight="1">
      <c r="A53" s="101" t="s">
        <v>374</v>
      </c>
      <c r="B53" s="56" t="s">
        <v>132</v>
      </c>
      <c r="C53" s="101" t="s">
        <v>136</v>
      </c>
      <c r="D53" s="118">
        <v>0</v>
      </c>
      <c r="E53" s="101" t="s">
        <v>130</v>
      </c>
      <c r="F53" s="119">
        <v>101618610</v>
      </c>
      <c r="G53" s="107">
        <v>0</v>
      </c>
      <c r="H53" s="119">
        <v>12875632</v>
      </c>
      <c r="I53" s="107">
        <f t="shared" ref="I53" si="15">D53*H53</f>
        <v>0</v>
      </c>
      <c r="J53" s="107">
        <v>7086025</v>
      </c>
      <c r="K53" s="107">
        <f t="shared" ref="K53" si="16">D53*J53</f>
        <v>0</v>
      </c>
      <c r="L53" s="107">
        <f t="shared" ref="L53" si="17">F53+H53+J53</f>
        <v>121580267</v>
      </c>
      <c r="M53" s="107">
        <f t="shared" ref="M53" si="18">D53*L53</f>
        <v>0</v>
      </c>
      <c r="N53" s="110"/>
    </row>
    <row r="54" spans="1:20" ht="22.5" customHeight="1">
      <c r="A54" s="101"/>
      <c r="B54" s="56" t="s">
        <v>116</v>
      </c>
      <c r="C54" s="101"/>
      <c r="D54" s="169">
        <f>SUM(D53)</f>
        <v>0</v>
      </c>
      <c r="E54" s="101"/>
      <c r="F54" s="119"/>
      <c r="G54" s="107">
        <f>SUM(G53)</f>
        <v>0</v>
      </c>
      <c r="H54" s="107"/>
      <c r="I54" s="107">
        <f>SUM(I53)</f>
        <v>0</v>
      </c>
      <c r="J54" s="107"/>
      <c r="K54" s="107">
        <f>SUM(K53)</f>
        <v>0</v>
      </c>
      <c r="L54" s="107"/>
      <c r="M54" s="107">
        <f>SUM(M53)</f>
        <v>0</v>
      </c>
      <c r="N54" s="110"/>
    </row>
    <row r="55" spans="1:20" ht="22.5" customHeight="1">
      <c r="A55" s="102" t="s">
        <v>139</v>
      </c>
      <c r="B55" s="102" t="s">
        <v>120</v>
      </c>
      <c r="C55" s="103" t="s">
        <v>10</v>
      </c>
      <c r="D55" s="104">
        <v>0</v>
      </c>
      <c r="E55" s="105" t="s">
        <v>10</v>
      </c>
      <c r="F55" s="111"/>
      <c r="G55" s="111" t="s">
        <v>10</v>
      </c>
      <c r="H55" s="111"/>
      <c r="I55" s="111" t="s">
        <v>10</v>
      </c>
      <c r="J55" s="111" t="s">
        <v>10</v>
      </c>
      <c r="K55" s="111" t="s">
        <v>10</v>
      </c>
      <c r="L55" s="111" t="s">
        <v>10</v>
      </c>
      <c r="M55" s="111" t="s">
        <v>10</v>
      </c>
      <c r="N55" s="112" t="s">
        <v>10</v>
      </c>
    </row>
    <row r="56" spans="1:20" ht="22.5" customHeight="1">
      <c r="A56" s="101" t="s">
        <v>393</v>
      </c>
      <c r="B56" s="56" t="s">
        <v>21</v>
      </c>
      <c r="C56" s="101" t="s">
        <v>121</v>
      </c>
      <c r="D56" s="169"/>
      <c r="E56" s="101" t="s">
        <v>125</v>
      </c>
      <c r="F56" s="107">
        <v>0</v>
      </c>
      <c r="G56" s="107">
        <f t="shared" ref="G56:G59" si="19">D56*F56</f>
        <v>0</v>
      </c>
      <c r="H56" s="107">
        <v>37560</v>
      </c>
      <c r="I56" s="107">
        <f t="shared" ref="I56:I59" si="20">D56*H56</f>
        <v>0</v>
      </c>
      <c r="J56" s="107">
        <v>0</v>
      </c>
      <c r="K56" s="107">
        <f t="shared" ref="K56:K59" si="21">D56*J56</f>
        <v>0</v>
      </c>
      <c r="L56" s="107">
        <f t="shared" ref="L56:L59" si="22">F56+H56+J56</f>
        <v>37560</v>
      </c>
      <c r="M56" s="107">
        <f t="shared" ref="M56:M59" si="23">D56*L56</f>
        <v>0</v>
      </c>
      <c r="N56" s="110"/>
    </row>
    <row r="57" spans="1:20" ht="22.5" customHeight="1">
      <c r="A57" s="101" t="s">
        <v>376</v>
      </c>
      <c r="B57" s="56" t="s">
        <v>123</v>
      </c>
      <c r="C57" s="101" t="s">
        <v>121</v>
      </c>
      <c r="D57" s="169"/>
      <c r="E57" s="101" t="s">
        <v>125</v>
      </c>
      <c r="F57" s="107">
        <v>12998</v>
      </c>
      <c r="G57" s="107">
        <f t="shared" si="19"/>
        <v>0</v>
      </c>
      <c r="H57" s="107">
        <v>35841</v>
      </c>
      <c r="I57" s="107">
        <f t="shared" si="20"/>
        <v>0</v>
      </c>
      <c r="J57" s="107">
        <v>3899</v>
      </c>
      <c r="K57" s="107">
        <f t="shared" si="21"/>
        <v>0</v>
      </c>
      <c r="L57" s="107">
        <f t="shared" si="22"/>
        <v>52738</v>
      </c>
      <c r="M57" s="107">
        <f t="shared" si="23"/>
        <v>0</v>
      </c>
      <c r="N57" s="110"/>
    </row>
    <row r="58" spans="1:20" ht="22.5" customHeight="1">
      <c r="A58" s="101" t="s">
        <v>377</v>
      </c>
      <c r="B58" s="56" t="s">
        <v>124</v>
      </c>
      <c r="C58" s="101" t="s">
        <v>121</v>
      </c>
      <c r="D58" s="169"/>
      <c r="E58" s="101" t="s">
        <v>125</v>
      </c>
      <c r="F58" s="119">
        <v>0</v>
      </c>
      <c r="G58" s="107">
        <f t="shared" si="19"/>
        <v>0</v>
      </c>
      <c r="H58" s="107">
        <v>0</v>
      </c>
      <c r="I58" s="107">
        <f t="shared" si="20"/>
        <v>0</v>
      </c>
      <c r="J58" s="107">
        <v>98</v>
      </c>
      <c r="K58" s="107">
        <f t="shared" si="21"/>
        <v>0</v>
      </c>
      <c r="L58" s="107">
        <f t="shared" si="22"/>
        <v>98</v>
      </c>
      <c r="M58" s="107">
        <f t="shared" si="23"/>
        <v>0</v>
      </c>
      <c r="N58" s="110" t="s">
        <v>10</v>
      </c>
    </row>
    <row r="59" spans="1:20" ht="22.5" customHeight="1">
      <c r="A59" s="101" t="s">
        <v>378</v>
      </c>
      <c r="B59" s="56" t="s">
        <v>122</v>
      </c>
      <c r="C59" s="101" t="s">
        <v>121</v>
      </c>
      <c r="D59" s="169"/>
      <c r="E59" s="101" t="s">
        <v>125</v>
      </c>
      <c r="F59" s="119">
        <v>10216</v>
      </c>
      <c r="G59" s="107">
        <f t="shared" si="19"/>
        <v>0</v>
      </c>
      <c r="H59" s="107">
        <v>58179</v>
      </c>
      <c r="I59" s="107">
        <f t="shared" si="20"/>
        <v>0</v>
      </c>
      <c r="J59" s="107">
        <v>49420</v>
      </c>
      <c r="K59" s="107">
        <f t="shared" si="21"/>
        <v>0</v>
      </c>
      <c r="L59" s="107">
        <f t="shared" si="22"/>
        <v>117815</v>
      </c>
      <c r="M59" s="107">
        <f t="shared" si="23"/>
        <v>0</v>
      </c>
      <c r="N59" s="110" t="s">
        <v>10</v>
      </c>
    </row>
    <row r="60" spans="1:20" ht="22.5" customHeight="1">
      <c r="A60" s="101"/>
      <c r="B60" s="56" t="s">
        <v>116</v>
      </c>
      <c r="C60" s="101"/>
      <c r="D60" s="169">
        <f>SUM(D56:D59)</f>
        <v>0</v>
      </c>
      <c r="E60" s="101"/>
      <c r="F60" s="119"/>
      <c r="G60" s="119">
        <f>SUM(G56:G59)</f>
        <v>0</v>
      </c>
      <c r="H60" s="119"/>
      <c r="I60" s="119">
        <f>SUM(I56:I59)</f>
        <v>0</v>
      </c>
      <c r="J60" s="119"/>
      <c r="K60" s="119">
        <f>SUM(K56:K59)</f>
        <v>0</v>
      </c>
      <c r="L60" s="119"/>
      <c r="M60" s="119">
        <f>SUM(M56:M59)</f>
        <v>0</v>
      </c>
      <c r="N60" s="110"/>
    </row>
    <row r="61" spans="1:20" ht="22.5" customHeight="1">
      <c r="A61" s="106" t="s">
        <v>45</v>
      </c>
      <c r="B61" s="106" t="s">
        <v>10</v>
      </c>
      <c r="C61" s="106" t="s">
        <v>10</v>
      </c>
      <c r="D61" s="108">
        <v>0</v>
      </c>
      <c r="E61" s="109" t="s">
        <v>10</v>
      </c>
      <c r="F61" s="113">
        <v>0</v>
      </c>
      <c r="G61" s="113">
        <f>G28+G44+G51+G60</f>
        <v>136559156</v>
      </c>
      <c r="H61" s="113">
        <v>0</v>
      </c>
      <c r="I61" s="113">
        <f>I28+I44+I51+I60</f>
        <v>33964988</v>
      </c>
      <c r="J61" s="113">
        <v>0</v>
      </c>
      <c r="K61" s="113">
        <f>K28+K44+K51+K60</f>
        <v>4595430</v>
      </c>
      <c r="L61" s="113">
        <v>0</v>
      </c>
      <c r="M61" s="113">
        <f>M28+M44+M51+M60</f>
        <v>175119574</v>
      </c>
      <c r="N61" s="114" t="s">
        <v>10</v>
      </c>
    </row>
    <row r="62" spans="1:20">
      <c r="D62" s="296">
        <f>SUM(D28,D44,D51,D54)</f>
        <v>10</v>
      </c>
    </row>
  </sheetData>
  <autoFilter ref="A4:N61"/>
  <mergeCells count="2">
    <mergeCell ref="A1:N1"/>
    <mergeCell ref="M2:N2"/>
  </mergeCells>
  <phoneticPr fontId="14" type="noConversion"/>
  <printOptions horizontalCentered="1"/>
  <pageMargins left="0.51181102362204722" right="0.51181102362204722" top="0.82677165354330717" bottom="0.86614173228346458" header="0.51181102362204722" footer="0.59055118110236227"/>
  <pageSetup paperSize="9" scale="63" fitToHeight="0" orientation="landscape" horizontalDpi="360" verticalDpi="360" r:id="rId1"/>
  <headerFooter alignWithMargins="0"/>
  <rowBreaks count="1" manualBreakCount="1">
    <brk id="32" max="1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N12"/>
  <sheetViews>
    <sheetView view="pageBreakPreview" zoomScale="85" zoomScaleNormal="100" zoomScaleSheetLayoutView="85" workbookViewId="0">
      <selection activeCell="F17" sqref="F17"/>
    </sheetView>
  </sheetViews>
  <sheetFormatPr defaultRowHeight="16.5"/>
  <cols>
    <col min="1" max="1" width="10.125" style="268" customWidth="1"/>
    <col min="2" max="2" width="10.625" style="268" customWidth="1"/>
    <col min="3" max="3" width="8.25" style="268" customWidth="1"/>
    <col min="4" max="4" width="22" style="268" customWidth="1"/>
    <col min="5" max="5" width="10.625" style="268" customWidth="1"/>
    <col min="6" max="7" width="11.5" style="268" customWidth="1"/>
    <col min="8" max="8" width="55.5" style="268" customWidth="1"/>
    <col min="9" max="9" width="18" style="268" bestFit="1" customWidth="1"/>
    <col min="10" max="16384" width="9" style="268"/>
  </cols>
  <sheetData>
    <row r="1" spans="1:14" s="260" customFormat="1" ht="35.1" customHeight="1">
      <c r="A1" s="359" t="s">
        <v>409</v>
      </c>
      <c r="B1" s="360"/>
      <c r="C1" s="360"/>
      <c r="D1" s="360"/>
      <c r="E1" s="360"/>
      <c r="F1" s="360"/>
      <c r="G1" s="360"/>
      <c r="H1" s="360"/>
      <c r="I1" s="361"/>
      <c r="J1" s="259"/>
      <c r="K1" s="259"/>
      <c r="L1" s="259"/>
      <c r="M1" s="259"/>
      <c r="N1" s="259"/>
    </row>
    <row r="2" spans="1:14" s="263" customFormat="1" ht="19.5" customHeight="1">
      <c r="A2" s="362" t="s">
        <v>289</v>
      </c>
      <c r="B2" s="363"/>
      <c r="C2" s="363"/>
      <c r="D2" s="363"/>
      <c r="E2" s="363"/>
      <c r="F2" s="261"/>
      <c r="G2" s="261"/>
      <c r="H2" s="261"/>
      <c r="I2" s="299" t="s">
        <v>429</v>
      </c>
      <c r="J2" s="261"/>
      <c r="K2" s="261"/>
      <c r="L2" s="261"/>
    </row>
    <row r="3" spans="1:14" ht="28.5" customHeight="1">
      <c r="A3" s="264" t="s">
        <v>330</v>
      </c>
      <c r="B3" s="265" t="s">
        <v>331</v>
      </c>
      <c r="C3" s="265" t="s">
        <v>332</v>
      </c>
      <c r="D3" s="265" t="s">
        <v>333</v>
      </c>
      <c r="E3" s="265" t="s">
        <v>334</v>
      </c>
      <c r="F3" s="266" t="s">
        <v>335</v>
      </c>
      <c r="G3" s="266" t="s">
        <v>336</v>
      </c>
      <c r="H3" s="266" t="s">
        <v>337</v>
      </c>
      <c r="I3" s="267" t="s">
        <v>338</v>
      </c>
    </row>
    <row r="4" spans="1:14" s="286" customFormat="1" ht="28.5" customHeight="1">
      <c r="A4" s="269" t="s">
        <v>343</v>
      </c>
      <c r="B4" s="266" t="s">
        <v>339</v>
      </c>
      <c r="C4" s="266">
        <v>2026</v>
      </c>
      <c r="D4" s="266" t="s">
        <v>452</v>
      </c>
      <c r="E4" s="270">
        <v>200</v>
      </c>
      <c r="F4" s="266">
        <v>2</v>
      </c>
      <c r="G4" s="266" t="s">
        <v>340</v>
      </c>
      <c r="H4" s="266" t="s">
        <v>428</v>
      </c>
      <c r="I4" s="267" t="s">
        <v>358</v>
      </c>
    </row>
    <row r="5" spans="1:14" s="286" customFormat="1" ht="28.5" customHeight="1">
      <c r="A5" s="269" t="s">
        <v>343</v>
      </c>
      <c r="B5" s="266" t="s">
        <v>339</v>
      </c>
      <c r="C5" s="266">
        <v>2026</v>
      </c>
      <c r="D5" s="266" t="s">
        <v>452</v>
      </c>
      <c r="E5" s="270">
        <v>200</v>
      </c>
      <c r="F5" s="266">
        <v>2</v>
      </c>
      <c r="G5" s="266" t="s">
        <v>340</v>
      </c>
      <c r="H5" s="266" t="s">
        <v>428</v>
      </c>
      <c r="I5" s="267" t="s">
        <v>358</v>
      </c>
    </row>
    <row r="6" spans="1:14" s="287" customFormat="1" ht="28.5" customHeight="1">
      <c r="A6" s="269" t="s">
        <v>343</v>
      </c>
      <c r="B6" s="290" t="s">
        <v>339</v>
      </c>
      <c r="C6" s="290">
        <v>2026</v>
      </c>
      <c r="D6" s="290" t="s">
        <v>454</v>
      </c>
      <c r="E6" s="270">
        <v>350</v>
      </c>
      <c r="F6" s="290">
        <v>2</v>
      </c>
      <c r="G6" s="290" t="s">
        <v>340</v>
      </c>
      <c r="H6" s="290" t="s">
        <v>431</v>
      </c>
      <c r="I6" s="267" t="s">
        <v>358</v>
      </c>
      <c r="J6" s="288"/>
    </row>
    <row r="7" spans="1:14" ht="28.5" customHeight="1">
      <c r="A7" s="269" t="s">
        <v>343</v>
      </c>
      <c r="B7" s="290" t="s">
        <v>339</v>
      </c>
      <c r="C7" s="290">
        <v>2026</v>
      </c>
      <c r="D7" s="290" t="s">
        <v>453</v>
      </c>
      <c r="E7" s="270">
        <v>350</v>
      </c>
      <c r="F7" s="290">
        <v>2</v>
      </c>
      <c r="G7" s="290" t="s">
        <v>340</v>
      </c>
      <c r="H7" s="290" t="s">
        <v>431</v>
      </c>
      <c r="I7" s="267" t="s">
        <v>358</v>
      </c>
    </row>
    <row r="8" spans="1:14" ht="28.5" customHeight="1">
      <c r="A8" s="269" t="s">
        <v>343</v>
      </c>
      <c r="B8" s="290" t="s">
        <v>339</v>
      </c>
      <c r="C8" s="290">
        <v>2026</v>
      </c>
      <c r="D8" s="290" t="s">
        <v>451</v>
      </c>
      <c r="E8" s="270">
        <v>350</v>
      </c>
      <c r="F8" s="290">
        <v>2</v>
      </c>
      <c r="G8" s="290" t="s">
        <v>340</v>
      </c>
      <c r="H8" s="290" t="s">
        <v>432</v>
      </c>
      <c r="I8" s="267" t="s">
        <v>358</v>
      </c>
    </row>
    <row r="9" spans="1:14" ht="28.5" customHeight="1">
      <c r="A9" s="289"/>
      <c r="B9" s="290"/>
      <c r="C9" s="290"/>
      <c r="D9" s="290"/>
      <c r="E9" s="270"/>
      <c r="F9" s="290"/>
      <c r="G9" s="290"/>
      <c r="H9" s="290"/>
      <c r="I9" s="291"/>
    </row>
    <row r="10" spans="1:14" ht="28.5" customHeight="1">
      <c r="A10" s="275"/>
      <c r="B10" s="276"/>
      <c r="C10" s="272"/>
      <c r="D10" s="272"/>
      <c r="E10" s="270"/>
      <c r="F10" s="272"/>
      <c r="G10" s="272"/>
      <c r="H10" s="272"/>
      <c r="I10" s="274"/>
    </row>
    <row r="11" spans="1:14" ht="28.5" customHeight="1">
      <c r="A11" s="275"/>
      <c r="B11" s="276"/>
      <c r="C11" s="272"/>
      <c r="D11" s="272"/>
      <c r="E11" s="270"/>
      <c r="F11" s="272"/>
      <c r="G11" s="272"/>
      <c r="H11" s="272"/>
      <c r="I11" s="274"/>
    </row>
    <row r="12" spans="1:14" ht="27.75" customHeight="1">
      <c r="F12" s="268">
        <f>SUM(F4:F11)</f>
        <v>10</v>
      </c>
    </row>
  </sheetData>
  <mergeCells count="2">
    <mergeCell ref="A1:I1"/>
    <mergeCell ref="A2:E2"/>
  </mergeCells>
  <phoneticPr fontId="14" type="noConversion"/>
  <pageMargins left="0.7" right="0.7" top="0.75" bottom="0.75" header="0.3" footer="0.3"/>
  <pageSetup paperSize="9" scale="51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CFF"/>
  </sheetPr>
  <dimension ref="A1:DN41"/>
  <sheetViews>
    <sheetView view="pageBreakPreview" zoomScale="85" zoomScaleNormal="90" zoomScaleSheetLayoutView="85" workbookViewId="0">
      <pane xSplit="10" ySplit="3" topLeftCell="K4" activePane="bottomRight" state="frozen"/>
      <selection activeCell="M2" sqref="M2:N2"/>
      <selection pane="topRight" activeCell="M2" sqref="M2:N2"/>
      <selection pane="bottomLeft" activeCell="M2" sqref="M2:N2"/>
      <selection pane="bottomRight" activeCell="K36" sqref="K36"/>
    </sheetView>
  </sheetViews>
  <sheetFormatPr defaultRowHeight="34.700000000000003" customHeight="1"/>
  <cols>
    <col min="1" max="1" width="4.625" style="1" customWidth="1"/>
    <col min="2" max="2" width="27.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4.625" style="38" customWidth="1"/>
    <col min="8" max="8" width="10.625" style="40" customWidth="1"/>
    <col min="9" max="9" width="9.875" style="38" customWidth="1"/>
    <col min="10" max="10" width="18.125" style="38" bestFit="1" customWidth="1"/>
    <col min="11" max="11" width="18.125" style="40" bestFit="1" customWidth="1"/>
    <col min="12" max="12" width="18.125" style="40" customWidth="1"/>
    <col min="13" max="13" width="9.625" style="5" customWidth="1"/>
    <col min="14" max="233" width="9" style="1"/>
    <col min="234" max="234" width="4.625" style="1" customWidth="1"/>
    <col min="235" max="235" width="34.625" style="1" customWidth="1"/>
    <col min="236" max="236" width="11.625" style="1" customWidth="1"/>
    <col min="237" max="238" width="6.625" style="1" customWidth="1"/>
    <col min="239" max="239" width="10.625" style="1" customWidth="1"/>
    <col min="240" max="240" width="14.625" style="1" customWidth="1"/>
    <col min="241" max="241" width="10.625" style="1" customWidth="1"/>
    <col min="242" max="242" width="14.625" style="1" customWidth="1"/>
    <col min="243" max="243" width="10.625" style="1" customWidth="1"/>
    <col min="244" max="244" width="14.625" style="1" customWidth="1"/>
    <col min="245" max="245" width="10.625" style="1" customWidth="1"/>
    <col min="246" max="246" width="18.625" style="1" customWidth="1"/>
    <col min="247" max="247" width="9.625" style="1" customWidth="1"/>
    <col min="248" max="248" width="10.5" style="1" customWidth="1"/>
    <col min="249" max="249" width="20.375" style="1" bestFit="1" customWidth="1"/>
    <col min="250" max="250" width="12.5" style="1" customWidth="1"/>
    <col min="251" max="251" width="13.125" style="1" customWidth="1"/>
    <col min="252" max="256" width="9" style="1"/>
    <col min="257" max="257" width="11.25" style="1" bestFit="1" customWidth="1"/>
    <col min="258" max="258" width="11.625" style="1" bestFit="1" customWidth="1"/>
    <col min="259" max="489" width="9" style="1"/>
    <col min="490" max="490" width="4.625" style="1" customWidth="1"/>
    <col min="491" max="491" width="34.625" style="1" customWidth="1"/>
    <col min="492" max="492" width="11.625" style="1" customWidth="1"/>
    <col min="493" max="494" width="6.625" style="1" customWidth="1"/>
    <col min="495" max="495" width="10.625" style="1" customWidth="1"/>
    <col min="496" max="496" width="14.625" style="1" customWidth="1"/>
    <col min="497" max="497" width="10.625" style="1" customWidth="1"/>
    <col min="498" max="498" width="14.625" style="1" customWidth="1"/>
    <col min="499" max="499" width="10.625" style="1" customWidth="1"/>
    <col min="500" max="500" width="14.625" style="1" customWidth="1"/>
    <col min="501" max="501" width="10.625" style="1" customWidth="1"/>
    <col min="502" max="502" width="18.625" style="1" customWidth="1"/>
    <col min="503" max="503" width="9.625" style="1" customWidth="1"/>
    <col min="504" max="504" width="10.5" style="1" customWidth="1"/>
    <col min="505" max="505" width="20.375" style="1" bestFit="1" customWidth="1"/>
    <col min="506" max="506" width="12.5" style="1" customWidth="1"/>
    <col min="507" max="507" width="13.125" style="1" customWidth="1"/>
    <col min="508" max="512" width="9" style="1"/>
    <col min="513" max="513" width="11.25" style="1" bestFit="1" customWidth="1"/>
    <col min="514" max="514" width="11.625" style="1" bestFit="1" customWidth="1"/>
    <col min="515" max="745" width="9" style="1"/>
    <col min="746" max="746" width="4.625" style="1" customWidth="1"/>
    <col min="747" max="747" width="34.625" style="1" customWidth="1"/>
    <col min="748" max="748" width="11.625" style="1" customWidth="1"/>
    <col min="749" max="750" width="6.625" style="1" customWidth="1"/>
    <col min="751" max="751" width="10.625" style="1" customWidth="1"/>
    <col min="752" max="752" width="14.625" style="1" customWidth="1"/>
    <col min="753" max="753" width="10.625" style="1" customWidth="1"/>
    <col min="754" max="754" width="14.625" style="1" customWidth="1"/>
    <col min="755" max="755" width="10.625" style="1" customWidth="1"/>
    <col min="756" max="756" width="14.625" style="1" customWidth="1"/>
    <col min="757" max="757" width="10.625" style="1" customWidth="1"/>
    <col min="758" max="758" width="18.625" style="1" customWidth="1"/>
    <col min="759" max="759" width="9.625" style="1" customWidth="1"/>
    <col min="760" max="760" width="10.5" style="1" customWidth="1"/>
    <col min="761" max="761" width="20.375" style="1" bestFit="1" customWidth="1"/>
    <col min="762" max="762" width="12.5" style="1" customWidth="1"/>
    <col min="763" max="763" width="13.125" style="1" customWidth="1"/>
    <col min="764" max="768" width="9" style="1"/>
    <col min="769" max="769" width="11.25" style="1" bestFit="1" customWidth="1"/>
    <col min="770" max="770" width="11.625" style="1" bestFit="1" customWidth="1"/>
    <col min="771" max="1001" width="9" style="1"/>
    <col min="1002" max="1002" width="4.625" style="1" customWidth="1"/>
    <col min="1003" max="1003" width="34.625" style="1" customWidth="1"/>
    <col min="1004" max="1004" width="11.625" style="1" customWidth="1"/>
    <col min="1005" max="1006" width="6.625" style="1" customWidth="1"/>
    <col min="1007" max="1007" width="10.625" style="1" customWidth="1"/>
    <col min="1008" max="1008" width="14.625" style="1" customWidth="1"/>
    <col min="1009" max="1009" width="10.625" style="1" customWidth="1"/>
    <col min="1010" max="1010" width="14.625" style="1" customWidth="1"/>
    <col min="1011" max="1011" width="10.625" style="1" customWidth="1"/>
    <col min="1012" max="1012" width="14.625" style="1" customWidth="1"/>
    <col min="1013" max="1013" width="10.625" style="1" customWidth="1"/>
    <col min="1014" max="1014" width="18.625" style="1" customWidth="1"/>
    <col min="1015" max="1015" width="9.625" style="1" customWidth="1"/>
    <col min="1016" max="1016" width="10.5" style="1" customWidth="1"/>
    <col min="1017" max="1017" width="20.375" style="1" bestFit="1" customWidth="1"/>
    <col min="1018" max="1018" width="12.5" style="1" customWidth="1"/>
    <col min="1019" max="1019" width="13.125" style="1" customWidth="1"/>
    <col min="1020" max="1024" width="9" style="1"/>
    <col min="1025" max="1025" width="11.25" style="1" bestFit="1" customWidth="1"/>
    <col min="1026" max="1026" width="11.625" style="1" bestFit="1" customWidth="1"/>
    <col min="1027" max="1257" width="9" style="1"/>
    <col min="1258" max="1258" width="4.625" style="1" customWidth="1"/>
    <col min="1259" max="1259" width="34.625" style="1" customWidth="1"/>
    <col min="1260" max="1260" width="11.625" style="1" customWidth="1"/>
    <col min="1261" max="1262" width="6.625" style="1" customWidth="1"/>
    <col min="1263" max="1263" width="10.625" style="1" customWidth="1"/>
    <col min="1264" max="1264" width="14.625" style="1" customWidth="1"/>
    <col min="1265" max="1265" width="10.625" style="1" customWidth="1"/>
    <col min="1266" max="1266" width="14.625" style="1" customWidth="1"/>
    <col min="1267" max="1267" width="10.625" style="1" customWidth="1"/>
    <col min="1268" max="1268" width="14.625" style="1" customWidth="1"/>
    <col min="1269" max="1269" width="10.625" style="1" customWidth="1"/>
    <col min="1270" max="1270" width="18.625" style="1" customWidth="1"/>
    <col min="1271" max="1271" width="9.625" style="1" customWidth="1"/>
    <col min="1272" max="1272" width="10.5" style="1" customWidth="1"/>
    <col min="1273" max="1273" width="20.375" style="1" bestFit="1" customWidth="1"/>
    <col min="1274" max="1274" width="12.5" style="1" customWidth="1"/>
    <col min="1275" max="1275" width="13.125" style="1" customWidth="1"/>
    <col min="1276" max="1280" width="9" style="1"/>
    <col min="1281" max="1281" width="11.25" style="1" bestFit="1" customWidth="1"/>
    <col min="1282" max="1282" width="11.625" style="1" bestFit="1" customWidth="1"/>
    <col min="1283" max="1513" width="9" style="1"/>
    <col min="1514" max="1514" width="4.625" style="1" customWidth="1"/>
    <col min="1515" max="1515" width="34.625" style="1" customWidth="1"/>
    <col min="1516" max="1516" width="11.625" style="1" customWidth="1"/>
    <col min="1517" max="1518" width="6.625" style="1" customWidth="1"/>
    <col min="1519" max="1519" width="10.625" style="1" customWidth="1"/>
    <col min="1520" max="1520" width="14.625" style="1" customWidth="1"/>
    <col min="1521" max="1521" width="10.625" style="1" customWidth="1"/>
    <col min="1522" max="1522" width="14.625" style="1" customWidth="1"/>
    <col min="1523" max="1523" width="10.625" style="1" customWidth="1"/>
    <col min="1524" max="1524" width="14.625" style="1" customWidth="1"/>
    <col min="1525" max="1525" width="10.625" style="1" customWidth="1"/>
    <col min="1526" max="1526" width="18.625" style="1" customWidth="1"/>
    <col min="1527" max="1527" width="9.625" style="1" customWidth="1"/>
    <col min="1528" max="1528" width="10.5" style="1" customWidth="1"/>
    <col min="1529" max="1529" width="20.375" style="1" bestFit="1" customWidth="1"/>
    <col min="1530" max="1530" width="12.5" style="1" customWidth="1"/>
    <col min="1531" max="1531" width="13.125" style="1" customWidth="1"/>
    <col min="1532" max="1536" width="9" style="1"/>
    <col min="1537" max="1537" width="11.25" style="1" bestFit="1" customWidth="1"/>
    <col min="1538" max="1538" width="11.625" style="1" bestFit="1" customWidth="1"/>
    <col min="1539" max="1769" width="9" style="1"/>
    <col min="1770" max="1770" width="4.625" style="1" customWidth="1"/>
    <col min="1771" max="1771" width="34.625" style="1" customWidth="1"/>
    <col min="1772" max="1772" width="11.625" style="1" customWidth="1"/>
    <col min="1773" max="1774" width="6.625" style="1" customWidth="1"/>
    <col min="1775" max="1775" width="10.625" style="1" customWidth="1"/>
    <col min="1776" max="1776" width="14.625" style="1" customWidth="1"/>
    <col min="1777" max="1777" width="10.625" style="1" customWidth="1"/>
    <col min="1778" max="1778" width="14.625" style="1" customWidth="1"/>
    <col min="1779" max="1779" width="10.625" style="1" customWidth="1"/>
    <col min="1780" max="1780" width="14.625" style="1" customWidth="1"/>
    <col min="1781" max="1781" width="10.625" style="1" customWidth="1"/>
    <col min="1782" max="1782" width="18.625" style="1" customWidth="1"/>
    <col min="1783" max="1783" width="9.625" style="1" customWidth="1"/>
    <col min="1784" max="1784" width="10.5" style="1" customWidth="1"/>
    <col min="1785" max="1785" width="20.375" style="1" bestFit="1" customWidth="1"/>
    <col min="1786" max="1786" width="12.5" style="1" customWidth="1"/>
    <col min="1787" max="1787" width="13.125" style="1" customWidth="1"/>
    <col min="1788" max="1792" width="9" style="1"/>
    <col min="1793" max="1793" width="11.25" style="1" bestFit="1" customWidth="1"/>
    <col min="1794" max="1794" width="11.625" style="1" bestFit="1" customWidth="1"/>
    <col min="1795" max="2025" width="9" style="1"/>
    <col min="2026" max="2026" width="4.625" style="1" customWidth="1"/>
    <col min="2027" max="2027" width="34.625" style="1" customWidth="1"/>
    <col min="2028" max="2028" width="11.625" style="1" customWidth="1"/>
    <col min="2029" max="2030" width="6.625" style="1" customWidth="1"/>
    <col min="2031" max="2031" width="10.625" style="1" customWidth="1"/>
    <col min="2032" max="2032" width="14.625" style="1" customWidth="1"/>
    <col min="2033" max="2033" width="10.625" style="1" customWidth="1"/>
    <col min="2034" max="2034" width="14.625" style="1" customWidth="1"/>
    <col min="2035" max="2035" width="10.625" style="1" customWidth="1"/>
    <col min="2036" max="2036" width="14.625" style="1" customWidth="1"/>
    <col min="2037" max="2037" width="10.625" style="1" customWidth="1"/>
    <col min="2038" max="2038" width="18.625" style="1" customWidth="1"/>
    <col min="2039" max="2039" width="9.625" style="1" customWidth="1"/>
    <col min="2040" max="2040" width="10.5" style="1" customWidth="1"/>
    <col min="2041" max="2041" width="20.375" style="1" bestFit="1" customWidth="1"/>
    <col min="2042" max="2042" width="12.5" style="1" customWidth="1"/>
    <col min="2043" max="2043" width="13.125" style="1" customWidth="1"/>
    <col min="2044" max="2048" width="9" style="1"/>
    <col min="2049" max="2049" width="11.25" style="1" bestFit="1" customWidth="1"/>
    <col min="2050" max="2050" width="11.625" style="1" bestFit="1" customWidth="1"/>
    <col min="2051" max="2281" width="9" style="1"/>
    <col min="2282" max="2282" width="4.625" style="1" customWidth="1"/>
    <col min="2283" max="2283" width="34.625" style="1" customWidth="1"/>
    <col min="2284" max="2284" width="11.625" style="1" customWidth="1"/>
    <col min="2285" max="2286" width="6.625" style="1" customWidth="1"/>
    <col min="2287" max="2287" width="10.625" style="1" customWidth="1"/>
    <col min="2288" max="2288" width="14.625" style="1" customWidth="1"/>
    <col min="2289" max="2289" width="10.625" style="1" customWidth="1"/>
    <col min="2290" max="2290" width="14.625" style="1" customWidth="1"/>
    <col min="2291" max="2291" width="10.625" style="1" customWidth="1"/>
    <col min="2292" max="2292" width="14.625" style="1" customWidth="1"/>
    <col min="2293" max="2293" width="10.625" style="1" customWidth="1"/>
    <col min="2294" max="2294" width="18.625" style="1" customWidth="1"/>
    <col min="2295" max="2295" width="9.625" style="1" customWidth="1"/>
    <col min="2296" max="2296" width="10.5" style="1" customWidth="1"/>
    <col min="2297" max="2297" width="20.375" style="1" bestFit="1" customWidth="1"/>
    <col min="2298" max="2298" width="12.5" style="1" customWidth="1"/>
    <col min="2299" max="2299" width="13.125" style="1" customWidth="1"/>
    <col min="2300" max="2304" width="9" style="1"/>
    <col min="2305" max="2305" width="11.25" style="1" bestFit="1" customWidth="1"/>
    <col min="2306" max="2306" width="11.625" style="1" bestFit="1" customWidth="1"/>
    <col min="2307" max="2537" width="9" style="1"/>
    <col min="2538" max="2538" width="4.625" style="1" customWidth="1"/>
    <col min="2539" max="2539" width="34.625" style="1" customWidth="1"/>
    <col min="2540" max="2540" width="11.625" style="1" customWidth="1"/>
    <col min="2541" max="2542" width="6.625" style="1" customWidth="1"/>
    <col min="2543" max="2543" width="10.625" style="1" customWidth="1"/>
    <col min="2544" max="2544" width="14.625" style="1" customWidth="1"/>
    <col min="2545" max="2545" width="10.625" style="1" customWidth="1"/>
    <col min="2546" max="2546" width="14.625" style="1" customWidth="1"/>
    <col min="2547" max="2547" width="10.625" style="1" customWidth="1"/>
    <col min="2548" max="2548" width="14.625" style="1" customWidth="1"/>
    <col min="2549" max="2549" width="10.625" style="1" customWidth="1"/>
    <col min="2550" max="2550" width="18.625" style="1" customWidth="1"/>
    <col min="2551" max="2551" width="9.625" style="1" customWidth="1"/>
    <col min="2552" max="2552" width="10.5" style="1" customWidth="1"/>
    <col min="2553" max="2553" width="20.375" style="1" bestFit="1" customWidth="1"/>
    <col min="2554" max="2554" width="12.5" style="1" customWidth="1"/>
    <col min="2555" max="2555" width="13.125" style="1" customWidth="1"/>
    <col min="2556" max="2560" width="9" style="1"/>
    <col min="2561" max="2561" width="11.25" style="1" bestFit="1" customWidth="1"/>
    <col min="2562" max="2562" width="11.625" style="1" bestFit="1" customWidth="1"/>
    <col min="2563" max="2793" width="9" style="1"/>
    <col min="2794" max="2794" width="4.625" style="1" customWidth="1"/>
    <col min="2795" max="2795" width="34.625" style="1" customWidth="1"/>
    <col min="2796" max="2796" width="11.625" style="1" customWidth="1"/>
    <col min="2797" max="2798" width="6.625" style="1" customWidth="1"/>
    <col min="2799" max="2799" width="10.625" style="1" customWidth="1"/>
    <col min="2800" max="2800" width="14.625" style="1" customWidth="1"/>
    <col min="2801" max="2801" width="10.625" style="1" customWidth="1"/>
    <col min="2802" max="2802" width="14.625" style="1" customWidth="1"/>
    <col min="2803" max="2803" width="10.625" style="1" customWidth="1"/>
    <col min="2804" max="2804" width="14.625" style="1" customWidth="1"/>
    <col min="2805" max="2805" width="10.625" style="1" customWidth="1"/>
    <col min="2806" max="2806" width="18.625" style="1" customWidth="1"/>
    <col min="2807" max="2807" width="9.625" style="1" customWidth="1"/>
    <col min="2808" max="2808" width="10.5" style="1" customWidth="1"/>
    <col min="2809" max="2809" width="20.375" style="1" bestFit="1" customWidth="1"/>
    <col min="2810" max="2810" width="12.5" style="1" customWidth="1"/>
    <col min="2811" max="2811" width="13.125" style="1" customWidth="1"/>
    <col min="2812" max="2816" width="9" style="1"/>
    <col min="2817" max="2817" width="11.25" style="1" bestFit="1" customWidth="1"/>
    <col min="2818" max="2818" width="11.625" style="1" bestFit="1" customWidth="1"/>
    <col min="2819" max="3049" width="9" style="1"/>
    <col min="3050" max="3050" width="4.625" style="1" customWidth="1"/>
    <col min="3051" max="3051" width="34.625" style="1" customWidth="1"/>
    <col min="3052" max="3052" width="11.625" style="1" customWidth="1"/>
    <col min="3053" max="3054" width="6.625" style="1" customWidth="1"/>
    <col min="3055" max="3055" width="10.625" style="1" customWidth="1"/>
    <col min="3056" max="3056" width="14.625" style="1" customWidth="1"/>
    <col min="3057" max="3057" width="10.625" style="1" customWidth="1"/>
    <col min="3058" max="3058" width="14.625" style="1" customWidth="1"/>
    <col min="3059" max="3059" width="10.625" style="1" customWidth="1"/>
    <col min="3060" max="3060" width="14.625" style="1" customWidth="1"/>
    <col min="3061" max="3061" width="10.625" style="1" customWidth="1"/>
    <col min="3062" max="3062" width="18.625" style="1" customWidth="1"/>
    <col min="3063" max="3063" width="9.625" style="1" customWidth="1"/>
    <col min="3064" max="3064" width="10.5" style="1" customWidth="1"/>
    <col min="3065" max="3065" width="20.375" style="1" bestFit="1" customWidth="1"/>
    <col min="3066" max="3066" width="12.5" style="1" customWidth="1"/>
    <col min="3067" max="3067" width="13.125" style="1" customWidth="1"/>
    <col min="3068" max="3072" width="9" style="1"/>
    <col min="3073" max="3073" width="11.25" style="1" bestFit="1" customWidth="1"/>
    <col min="3074" max="3074" width="11.625" style="1" bestFit="1" customWidth="1"/>
    <col min="3075" max="3305" width="9" style="1"/>
    <col min="3306" max="3306" width="4.625" style="1" customWidth="1"/>
    <col min="3307" max="3307" width="34.625" style="1" customWidth="1"/>
    <col min="3308" max="3308" width="11.625" style="1" customWidth="1"/>
    <col min="3309" max="3310" width="6.625" style="1" customWidth="1"/>
    <col min="3311" max="3311" width="10.625" style="1" customWidth="1"/>
    <col min="3312" max="3312" width="14.625" style="1" customWidth="1"/>
    <col min="3313" max="3313" width="10.625" style="1" customWidth="1"/>
    <col min="3314" max="3314" width="14.625" style="1" customWidth="1"/>
    <col min="3315" max="3315" width="10.625" style="1" customWidth="1"/>
    <col min="3316" max="3316" width="14.625" style="1" customWidth="1"/>
    <col min="3317" max="3317" width="10.625" style="1" customWidth="1"/>
    <col min="3318" max="3318" width="18.625" style="1" customWidth="1"/>
    <col min="3319" max="3319" width="9.625" style="1" customWidth="1"/>
    <col min="3320" max="3320" width="10.5" style="1" customWidth="1"/>
    <col min="3321" max="3321" width="20.375" style="1" bestFit="1" customWidth="1"/>
    <col min="3322" max="3322" width="12.5" style="1" customWidth="1"/>
    <col min="3323" max="3323" width="13.125" style="1" customWidth="1"/>
    <col min="3324" max="3328" width="9" style="1"/>
    <col min="3329" max="3329" width="11.25" style="1" bestFit="1" customWidth="1"/>
    <col min="3330" max="3330" width="11.625" style="1" bestFit="1" customWidth="1"/>
    <col min="3331" max="3561" width="9" style="1"/>
    <col min="3562" max="3562" width="4.625" style="1" customWidth="1"/>
    <col min="3563" max="3563" width="34.625" style="1" customWidth="1"/>
    <col min="3564" max="3564" width="11.625" style="1" customWidth="1"/>
    <col min="3565" max="3566" width="6.625" style="1" customWidth="1"/>
    <col min="3567" max="3567" width="10.625" style="1" customWidth="1"/>
    <col min="3568" max="3568" width="14.625" style="1" customWidth="1"/>
    <col min="3569" max="3569" width="10.625" style="1" customWidth="1"/>
    <col min="3570" max="3570" width="14.625" style="1" customWidth="1"/>
    <col min="3571" max="3571" width="10.625" style="1" customWidth="1"/>
    <col min="3572" max="3572" width="14.625" style="1" customWidth="1"/>
    <col min="3573" max="3573" width="10.625" style="1" customWidth="1"/>
    <col min="3574" max="3574" width="18.625" style="1" customWidth="1"/>
    <col min="3575" max="3575" width="9.625" style="1" customWidth="1"/>
    <col min="3576" max="3576" width="10.5" style="1" customWidth="1"/>
    <col min="3577" max="3577" width="20.375" style="1" bestFit="1" customWidth="1"/>
    <col min="3578" max="3578" width="12.5" style="1" customWidth="1"/>
    <col min="3579" max="3579" width="13.125" style="1" customWidth="1"/>
    <col min="3580" max="3584" width="9" style="1"/>
    <col min="3585" max="3585" width="11.25" style="1" bestFit="1" customWidth="1"/>
    <col min="3586" max="3586" width="11.625" style="1" bestFit="1" customWidth="1"/>
    <col min="3587" max="3817" width="9" style="1"/>
    <col min="3818" max="3818" width="4.625" style="1" customWidth="1"/>
    <col min="3819" max="3819" width="34.625" style="1" customWidth="1"/>
    <col min="3820" max="3820" width="11.625" style="1" customWidth="1"/>
    <col min="3821" max="3822" width="6.625" style="1" customWidth="1"/>
    <col min="3823" max="3823" width="10.625" style="1" customWidth="1"/>
    <col min="3824" max="3824" width="14.625" style="1" customWidth="1"/>
    <col min="3825" max="3825" width="10.625" style="1" customWidth="1"/>
    <col min="3826" max="3826" width="14.625" style="1" customWidth="1"/>
    <col min="3827" max="3827" width="10.625" style="1" customWidth="1"/>
    <col min="3828" max="3828" width="14.625" style="1" customWidth="1"/>
    <col min="3829" max="3829" width="10.625" style="1" customWidth="1"/>
    <col min="3830" max="3830" width="18.625" style="1" customWidth="1"/>
    <col min="3831" max="3831" width="9.625" style="1" customWidth="1"/>
    <col min="3832" max="3832" width="10.5" style="1" customWidth="1"/>
    <col min="3833" max="3833" width="20.375" style="1" bestFit="1" customWidth="1"/>
    <col min="3834" max="3834" width="12.5" style="1" customWidth="1"/>
    <col min="3835" max="3835" width="13.125" style="1" customWidth="1"/>
    <col min="3836" max="3840" width="9" style="1"/>
    <col min="3841" max="3841" width="11.25" style="1" bestFit="1" customWidth="1"/>
    <col min="3842" max="3842" width="11.625" style="1" bestFit="1" customWidth="1"/>
    <col min="3843" max="4073" width="9" style="1"/>
    <col min="4074" max="4074" width="4.625" style="1" customWidth="1"/>
    <col min="4075" max="4075" width="34.625" style="1" customWidth="1"/>
    <col min="4076" max="4076" width="11.625" style="1" customWidth="1"/>
    <col min="4077" max="4078" width="6.625" style="1" customWidth="1"/>
    <col min="4079" max="4079" width="10.625" style="1" customWidth="1"/>
    <col min="4080" max="4080" width="14.625" style="1" customWidth="1"/>
    <col min="4081" max="4081" width="10.625" style="1" customWidth="1"/>
    <col min="4082" max="4082" width="14.625" style="1" customWidth="1"/>
    <col min="4083" max="4083" width="10.625" style="1" customWidth="1"/>
    <col min="4084" max="4084" width="14.625" style="1" customWidth="1"/>
    <col min="4085" max="4085" width="10.625" style="1" customWidth="1"/>
    <col min="4086" max="4086" width="18.625" style="1" customWidth="1"/>
    <col min="4087" max="4087" width="9.625" style="1" customWidth="1"/>
    <col min="4088" max="4088" width="10.5" style="1" customWidth="1"/>
    <col min="4089" max="4089" width="20.375" style="1" bestFit="1" customWidth="1"/>
    <col min="4090" max="4090" width="12.5" style="1" customWidth="1"/>
    <col min="4091" max="4091" width="13.125" style="1" customWidth="1"/>
    <col min="4092" max="4096" width="9" style="1"/>
    <col min="4097" max="4097" width="11.25" style="1" bestFit="1" customWidth="1"/>
    <col min="4098" max="4098" width="11.625" style="1" bestFit="1" customWidth="1"/>
    <col min="4099" max="4329" width="9" style="1"/>
    <col min="4330" max="4330" width="4.625" style="1" customWidth="1"/>
    <col min="4331" max="4331" width="34.625" style="1" customWidth="1"/>
    <col min="4332" max="4332" width="11.625" style="1" customWidth="1"/>
    <col min="4333" max="4334" width="6.625" style="1" customWidth="1"/>
    <col min="4335" max="4335" width="10.625" style="1" customWidth="1"/>
    <col min="4336" max="4336" width="14.625" style="1" customWidth="1"/>
    <col min="4337" max="4337" width="10.625" style="1" customWidth="1"/>
    <col min="4338" max="4338" width="14.625" style="1" customWidth="1"/>
    <col min="4339" max="4339" width="10.625" style="1" customWidth="1"/>
    <col min="4340" max="4340" width="14.625" style="1" customWidth="1"/>
    <col min="4341" max="4341" width="10.625" style="1" customWidth="1"/>
    <col min="4342" max="4342" width="18.625" style="1" customWidth="1"/>
    <col min="4343" max="4343" width="9.625" style="1" customWidth="1"/>
    <col min="4344" max="4344" width="10.5" style="1" customWidth="1"/>
    <col min="4345" max="4345" width="20.375" style="1" bestFit="1" customWidth="1"/>
    <col min="4346" max="4346" width="12.5" style="1" customWidth="1"/>
    <col min="4347" max="4347" width="13.125" style="1" customWidth="1"/>
    <col min="4348" max="4352" width="9" style="1"/>
    <col min="4353" max="4353" width="11.25" style="1" bestFit="1" customWidth="1"/>
    <col min="4354" max="4354" width="11.625" style="1" bestFit="1" customWidth="1"/>
    <col min="4355" max="4585" width="9" style="1"/>
    <col min="4586" max="4586" width="4.625" style="1" customWidth="1"/>
    <col min="4587" max="4587" width="34.625" style="1" customWidth="1"/>
    <col min="4588" max="4588" width="11.625" style="1" customWidth="1"/>
    <col min="4589" max="4590" width="6.625" style="1" customWidth="1"/>
    <col min="4591" max="4591" width="10.625" style="1" customWidth="1"/>
    <col min="4592" max="4592" width="14.625" style="1" customWidth="1"/>
    <col min="4593" max="4593" width="10.625" style="1" customWidth="1"/>
    <col min="4594" max="4594" width="14.625" style="1" customWidth="1"/>
    <col min="4595" max="4595" width="10.625" style="1" customWidth="1"/>
    <col min="4596" max="4596" width="14.625" style="1" customWidth="1"/>
    <col min="4597" max="4597" width="10.625" style="1" customWidth="1"/>
    <col min="4598" max="4598" width="18.625" style="1" customWidth="1"/>
    <col min="4599" max="4599" width="9.625" style="1" customWidth="1"/>
    <col min="4600" max="4600" width="10.5" style="1" customWidth="1"/>
    <col min="4601" max="4601" width="20.375" style="1" bestFit="1" customWidth="1"/>
    <col min="4602" max="4602" width="12.5" style="1" customWidth="1"/>
    <col min="4603" max="4603" width="13.125" style="1" customWidth="1"/>
    <col min="4604" max="4608" width="9" style="1"/>
    <col min="4609" max="4609" width="11.25" style="1" bestFit="1" customWidth="1"/>
    <col min="4610" max="4610" width="11.625" style="1" bestFit="1" customWidth="1"/>
    <col min="4611" max="4841" width="9" style="1"/>
    <col min="4842" max="4842" width="4.625" style="1" customWidth="1"/>
    <col min="4843" max="4843" width="34.625" style="1" customWidth="1"/>
    <col min="4844" max="4844" width="11.625" style="1" customWidth="1"/>
    <col min="4845" max="4846" width="6.625" style="1" customWidth="1"/>
    <col min="4847" max="4847" width="10.625" style="1" customWidth="1"/>
    <col min="4848" max="4848" width="14.625" style="1" customWidth="1"/>
    <col min="4849" max="4849" width="10.625" style="1" customWidth="1"/>
    <col min="4850" max="4850" width="14.625" style="1" customWidth="1"/>
    <col min="4851" max="4851" width="10.625" style="1" customWidth="1"/>
    <col min="4852" max="4852" width="14.625" style="1" customWidth="1"/>
    <col min="4853" max="4853" width="10.625" style="1" customWidth="1"/>
    <col min="4854" max="4854" width="18.625" style="1" customWidth="1"/>
    <col min="4855" max="4855" width="9.625" style="1" customWidth="1"/>
    <col min="4856" max="4856" width="10.5" style="1" customWidth="1"/>
    <col min="4857" max="4857" width="20.375" style="1" bestFit="1" customWidth="1"/>
    <col min="4858" max="4858" width="12.5" style="1" customWidth="1"/>
    <col min="4859" max="4859" width="13.125" style="1" customWidth="1"/>
    <col min="4860" max="4864" width="9" style="1"/>
    <col min="4865" max="4865" width="11.25" style="1" bestFit="1" customWidth="1"/>
    <col min="4866" max="4866" width="11.625" style="1" bestFit="1" customWidth="1"/>
    <col min="4867" max="5097" width="9" style="1"/>
    <col min="5098" max="5098" width="4.625" style="1" customWidth="1"/>
    <col min="5099" max="5099" width="34.625" style="1" customWidth="1"/>
    <col min="5100" max="5100" width="11.625" style="1" customWidth="1"/>
    <col min="5101" max="5102" width="6.625" style="1" customWidth="1"/>
    <col min="5103" max="5103" width="10.625" style="1" customWidth="1"/>
    <col min="5104" max="5104" width="14.625" style="1" customWidth="1"/>
    <col min="5105" max="5105" width="10.625" style="1" customWidth="1"/>
    <col min="5106" max="5106" width="14.625" style="1" customWidth="1"/>
    <col min="5107" max="5107" width="10.625" style="1" customWidth="1"/>
    <col min="5108" max="5108" width="14.625" style="1" customWidth="1"/>
    <col min="5109" max="5109" width="10.625" style="1" customWidth="1"/>
    <col min="5110" max="5110" width="18.625" style="1" customWidth="1"/>
    <col min="5111" max="5111" width="9.625" style="1" customWidth="1"/>
    <col min="5112" max="5112" width="10.5" style="1" customWidth="1"/>
    <col min="5113" max="5113" width="20.375" style="1" bestFit="1" customWidth="1"/>
    <col min="5114" max="5114" width="12.5" style="1" customWidth="1"/>
    <col min="5115" max="5115" width="13.125" style="1" customWidth="1"/>
    <col min="5116" max="5120" width="9" style="1"/>
    <col min="5121" max="5121" width="11.25" style="1" bestFit="1" customWidth="1"/>
    <col min="5122" max="5122" width="11.625" style="1" bestFit="1" customWidth="1"/>
    <col min="5123" max="5353" width="9" style="1"/>
    <col min="5354" max="5354" width="4.625" style="1" customWidth="1"/>
    <col min="5355" max="5355" width="34.625" style="1" customWidth="1"/>
    <col min="5356" max="5356" width="11.625" style="1" customWidth="1"/>
    <col min="5357" max="5358" width="6.625" style="1" customWidth="1"/>
    <col min="5359" max="5359" width="10.625" style="1" customWidth="1"/>
    <col min="5360" max="5360" width="14.625" style="1" customWidth="1"/>
    <col min="5361" max="5361" width="10.625" style="1" customWidth="1"/>
    <col min="5362" max="5362" width="14.625" style="1" customWidth="1"/>
    <col min="5363" max="5363" width="10.625" style="1" customWidth="1"/>
    <col min="5364" max="5364" width="14.625" style="1" customWidth="1"/>
    <col min="5365" max="5365" width="10.625" style="1" customWidth="1"/>
    <col min="5366" max="5366" width="18.625" style="1" customWidth="1"/>
    <col min="5367" max="5367" width="9.625" style="1" customWidth="1"/>
    <col min="5368" max="5368" width="10.5" style="1" customWidth="1"/>
    <col min="5369" max="5369" width="20.375" style="1" bestFit="1" customWidth="1"/>
    <col min="5370" max="5370" width="12.5" style="1" customWidth="1"/>
    <col min="5371" max="5371" width="13.125" style="1" customWidth="1"/>
    <col min="5372" max="5376" width="9" style="1"/>
    <col min="5377" max="5377" width="11.25" style="1" bestFit="1" customWidth="1"/>
    <col min="5378" max="5378" width="11.625" style="1" bestFit="1" customWidth="1"/>
    <col min="5379" max="5609" width="9" style="1"/>
    <col min="5610" max="5610" width="4.625" style="1" customWidth="1"/>
    <col min="5611" max="5611" width="34.625" style="1" customWidth="1"/>
    <col min="5612" max="5612" width="11.625" style="1" customWidth="1"/>
    <col min="5613" max="5614" width="6.625" style="1" customWidth="1"/>
    <col min="5615" max="5615" width="10.625" style="1" customWidth="1"/>
    <col min="5616" max="5616" width="14.625" style="1" customWidth="1"/>
    <col min="5617" max="5617" width="10.625" style="1" customWidth="1"/>
    <col min="5618" max="5618" width="14.625" style="1" customWidth="1"/>
    <col min="5619" max="5619" width="10.625" style="1" customWidth="1"/>
    <col min="5620" max="5620" width="14.625" style="1" customWidth="1"/>
    <col min="5621" max="5621" width="10.625" style="1" customWidth="1"/>
    <col min="5622" max="5622" width="18.625" style="1" customWidth="1"/>
    <col min="5623" max="5623" width="9.625" style="1" customWidth="1"/>
    <col min="5624" max="5624" width="10.5" style="1" customWidth="1"/>
    <col min="5625" max="5625" width="20.375" style="1" bestFit="1" customWidth="1"/>
    <col min="5626" max="5626" width="12.5" style="1" customWidth="1"/>
    <col min="5627" max="5627" width="13.125" style="1" customWidth="1"/>
    <col min="5628" max="5632" width="9" style="1"/>
    <col min="5633" max="5633" width="11.25" style="1" bestFit="1" customWidth="1"/>
    <col min="5634" max="5634" width="11.625" style="1" bestFit="1" customWidth="1"/>
    <col min="5635" max="5865" width="9" style="1"/>
    <col min="5866" max="5866" width="4.625" style="1" customWidth="1"/>
    <col min="5867" max="5867" width="34.625" style="1" customWidth="1"/>
    <col min="5868" max="5868" width="11.625" style="1" customWidth="1"/>
    <col min="5869" max="5870" width="6.625" style="1" customWidth="1"/>
    <col min="5871" max="5871" width="10.625" style="1" customWidth="1"/>
    <col min="5872" max="5872" width="14.625" style="1" customWidth="1"/>
    <col min="5873" max="5873" width="10.625" style="1" customWidth="1"/>
    <col min="5874" max="5874" width="14.625" style="1" customWidth="1"/>
    <col min="5875" max="5875" width="10.625" style="1" customWidth="1"/>
    <col min="5876" max="5876" width="14.625" style="1" customWidth="1"/>
    <col min="5877" max="5877" width="10.625" style="1" customWidth="1"/>
    <col min="5878" max="5878" width="18.625" style="1" customWidth="1"/>
    <col min="5879" max="5879" width="9.625" style="1" customWidth="1"/>
    <col min="5880" max="5880" width="10.5" style="1" customWidth="1"/>
    <col min="5881" max="5881" width="20.375" style="1" bestFit="1" customWidth="1"/>
    <col min="5882" max="5882" width="12.5" style="1" customWidth="1"/>
    <col min="5883" max="5883" width="13.125" style="1" customWidth="1"/>
    <col min="5884" max="5888" width="9" style="1"/>
    <col min="5889" max="5889" width="11.25" style="1" bestFit="1" customWidth="1"/>
    <col min="5890" max="5890" width="11.625" style="1" bestFit="1" customWidth="1"/>
    <col min="5891" max="6121" width="9" style="1"/>
    <col min="6122" max="6122" width="4.625" style="1" customWidth="1"/>
    <col min="6123" max="6123" width="34.625" style="1" customWidth="1"/>
    <col min="6124" max="6124" width="11.625" style="1" customWidth="1"/>
    <col min="6125" max="6126" width="6.625" style="1" customWidth="1"/>
    <col min="6127" max="6127" width="10.625" style="1" customWidth="1"/>
    <col min="6128" max="6128" width="14.625" style="1" customWidth="1"/>
    <col min="6129" max="6129" width="10.625" style="1" customWidth="1"/>
    <col min="6130" max="6130" width="14.625" style="1" customWidth="1"/>
    <col min="6131" max="6131" width="10.625" style="1" customWidth="1"/>
    <col min="6132" max="6132" width="14.625" style="1" customWidth="1"/>
    <col min="6133" max="6133" width="10.625" style="1" customWidth="1"/>
    <col min="6134" max="6134" width="18.625" style="1" customWidth="1"/>
    <col min="6135" max="6135" width="9.625" style="1" customWidth="1"/>
    <col min="6136" max="6136" width="10.5" style="1" customWidth="1"/>
    <col min="6137" max="6137" width="20.375" style="1" bestFit="1" customWidth="1"/>
    <col min="6138" max="6138" width="12.5" style="1" customWidth="1"/>
    <col min="6139" max="6139" width="13.125" style="1" customWidth="1"/>
    <col min="6140" max="6144" width="9" style="1"/>
    <col min="6145" max="6145" width="11.25" style="1" bestFit="1" customWidth="1"/>
    <col min="6146" max="6146" width="11.625" style="1" bestFit="1" customWidth="1"/>
    <col min="6147" max="6377" width="9" style="1"/>
    <col min="6378" max="6378" width="4.625" style="1" customWidth="1"/>
    <col min="6379" max="6379" width="34.625" style="1" customWidth="1"/>
    <col min="6380" max="6380" width="11.625" style="1" customWidth="1"/>
    <col min="6381" max="6382" width="6.625" style="1" customWidth="1"/>
    <col min="6383" max="6383" width="10.625" style="1" customWidth="1"/>
    <col min="6384" max="6384" width="14.625" style="1" customWidth="1"/>
    <col min="6385" max="6385" width="10.625" style="1" customWidth="1"/>
    <col min="6386" max="6386" width="14.625" style="1" customWidth="1"/>
    <col min="6387" max="6387" width="10.625" style="1" customWidth="1"/>
    <col min="6388" max="6388" width="14.625" style="1" customWidth="1"/>
    <col min="6389" max="6389" width="10.625" style="1" customWidth="1"/>
    <col min="6390" max="6390" width="18.625" style="1" customWidth="1"/>
    <col min="6391" max="6391" width="9.625" style="1" customWidth="1"/>
    <col min="6392" max="6392" width="10.5" style="1" customWidth="1"/>
    <col min="6393" max="6393" width="20.375" style="1" bestFit="1" customWidth="1"/>
    <col min="6394" max="6394" width="12.5" style="1" customWidth="1"/>
    <col min="6395" max="6395" width="13.125" style="1" customWidth="1"/>
    <col min="6396" max="6400" width="9" style="1"/>
    <col min="6401" max="6401" width="11.25" style="1" bestFit="1" customWidth="1"/>
    <col min="6402" max="6402" width="11.625" style="1" bestFit="1" customWidth="1"/>
    <col min="6403" max="6633" width="9" style="1"/>
    <col min="6634" max="6634" width="4.625" style="1" customWidth="1"/>
    <col min="6635" max="6635" width="34.625" style="1" customWidth="1"/>
    <col min="6636" max="6636" width="11.625" style="1" customWidth="1"/>
    <col min="6637" max="6638" width="6.625" style="1" customWidth="1"/>
    <col min="6639" max="6639" width="10.625" style="1" customWidth="1"/>
    <col min="6640" max="6640" width="14.625" style="1" customWidth="1"/>
    <col min="6641" max="6641" width="10.625" style="1" customWidth="1"/>
    <col min="6642" max="6642" width="14.625" style="1" customWidth="1"/>
    <col min="6643" max="6643" width="10.625" style="1" customWidth="1"/>
    <col min="6644" max="6644" width="14.625" style="1" customWidth="1"/>
    <col min="6645" max="6645" width="10.625" style="1" customWidth="1"/>
    <col min="6646" max="6646" width="18.625" style="1" customWidth="1"/>
    <col min="6647" max="6647" width="9.625" style="1" customWidth="1"/>
    <col min="6648" max="6648" width="10.5" style="1" customWidth="1"/>
    <col min="6649" max="6649" width="20.375" style="1" bestFit="1" customWidth="1"/>
    <col min="6650" max="6650" width="12.5" style="1" customWidth="1"/>
    <col min="6651" max="6651" width="13.125" style="1" customWidth="1"/>
    <col min="6652" max="6656" width="9" style="1"/>
    <col min="6657" max="6657" width="11.25" style="1" bestFit="1" customWidth="1"/>
    <col min="6658" max="6658" width="11.625" style="1" bestFit="1" customWidth="1"/>
    <col min="6659" max="6889" width="9" style="1"/>
    <col min="6890" max="6890" width="4.625" style="1" customWidth="1"/>
    <col min="6891" max="6891" width="34.625" style="1" customWidth="1"/>
    <col min="6892" max="6892" width="11.625" style="1" customWidth="1"/>
    <col min="6893" max="6894" width="6.625" style="1" customWidth="1"/>
    <col min="6895" max="6895" width="10.625" style="1" customWidth="1"/>
    <col min="6896" max="6896" width="14.625" style="1" customWidth="1"/>
    <col min="6897" max="6897" width="10.625" style="1" customWidth="1"/>
    <col min="6898" max="6898" width="14.625" style="1" customWidth="1"/>
    <col min="6899" max="6899" width="10.625" style="1" customWidth="1"/>
    <col min="6900" max="6900" width="14.625" style="1" customWidth="1"/>
    <col min="6901" max="6901" width="10.625" style="1" customWidth="1"/>
    <col min="6902" max="6902" width="18.625" style="1" customWidth="1"/>
    <col min="6903" max="6903" width="9.625" style="1" customWidth="1"/>
    <col min="6904" max="6904" width="10.5" style="1" customWidth="1"/>
    <col min="6905" max="6905" width="20.375" style="1" bestFit="1" customWidth="1"/>
    <col min="6906" max="6906" width="12.5" style="1" customWidth="1"/>
    <col min="6907" max="6907" width="13.125" style="1" customWidth="1"/>
    <col min="6908" max="6912" width="9" style="1"/>
    <col min="6913" max="6913" width="11.25" style="1" bestFit="1" customWidth="1"/>
    <col min="6914" max="6914" width="11.625" style="1" bestFit="1" customWidth="1"/>
    <col min="6915" max="7145" width="9" style="1"/>
    <col min="7146" max="7146" width="4.625" style="1" customWidth="1"/>
    <col min="7147" max="7147" width="34.625" style="1" customWidth="1"/>
    <col min="7148" max="7148" width="11.625" style="1" customWidth="1"/>
    <col min="7149" max="7150" width="6.625" style="1" customWidth="1"/>
    <col min="7151" max="7151" width="10.625" style="1" customWidth="1"/>
    <col min="7152" max="7152" width="14.625" style="1" customWidth="1"/>
    <col min="7153" max="7153" width="10.625" style="1" customWidth="1"/>
    <col min="7154" max="7154" width="14.625" style="1" customWidth="1"/>
    <col min="7155" max="7155" width="10.625" style="1" customWidth="1"/>
    <col min="7156" max="7156" width="14.625" style="1" customWidth="1"/>
    <col min="7157" max="7157" width="10.625" style="1" customWidth="1"/>
    <col min="7158" max="7158" width="18.625" style="1" customWidth="1"/>
    <col min="7159" max="7159" width="9.625" style="1" customWidth="1"/>
    <col min="7160" max="7160" width="10.5" style="1" customWidth="1"/>
    <col min="7161" max="7161" width="20.375" style="1" bestFit="1" customWidth="1"/>
    <col min="7162" max="7162" width="12.5" style="1" customWidth="1"/>
    <col min="7163" max="7163" width="13.125" style="1" customWidth="1"/>
    <col min="7164" max="7168" width="9" style="1"/>
    <col min="7169" max="7169" width="11.25" style="1" bestFit="1" customWidth="1"/>
    <col min="7170" max="7170" width="11.625" style="1" bestFit="1" customWidth="1"/>
    <col min="7171" max="7401" width="9" style="1"/>
    <col min="7402" max="7402" width="4.625" style="1" customWidth="1"/>
    <col min="7403" max="7403" width="34.625" style="1" customWidth="1"/>
    <col min="7404" max="7404" width="11.625" style="1" customWidth="1"/>
    <col min="7405" max="7406" width="6.625" style="1" customWidth="1"/>
    <col min="7407" max="7407" width="10.625" style="1" customWidth="1"/>
    <col min="7408" max="7408" width="14.625" style="1" customWidth="1"/>
    <col min="7409" max="7409" width="10.625" style="1" customWidth="1"/>
    <col min="7410" max="7410" width="14.625" style="1" customWidth="1"/>
    <col min="7411" max="7411" width="10.625" style="1" customWidth="1"/>
    <col min="7412" max="7412" width="14.625" style="1" customWidth="1"/>
    <col min="7413" max="7413" width="10.625" style="1" customWidth="1"/>
    <col min="7414" max="7414" width="18.625" style="1" customWidth="1"/>
    <col min="7415" max="7415" width="9.625" style="1" customWidth="1"/>
    <col min="7416" max="7416" width="10.5" style="1" customWidth="1"/>
    <col min="7417" max="7417" width="20.375" style="1" bestFit="1" customWidth="1"/>
    <col min="7418" max="7418" width="12.5" style="1" customWidth="1"/>
    <col min="7419" max="7419" width="13.125" style="1" customWidth="1"/>
    <col min="7420" max="7424" width="9" style="1"/>
    <col min="7425" max="7425" width="11.25" style="1" bestFit="1" customWidth="1"/>
    <col min="7426" max="7426" width="11.625" style="1" bestFit="1" customWidth="1"/>
    <col min="7427" max="7657" width="9" style="1"/>
    <col min="7658" max="7658" width="4.625" style="1" customWidth="1"/>
    <col min="7659" max="7659" width="34.625" style="1" customWidth="1"/>
    <col min="7660" max="7660" width="11.625" style="1" customWidth="1"/>
    <col min="7661" max="7662" width="6.625" style="1" customWidth="1"/>
    <col min="7663" max="7663" width="10.625" style="1" customWidth="1"/>
    <col min="7664" max="7664" width="14.625" style="1" customWidth="1"/>
    <col min="7665" max="7665" width="10.625" style="1" customWidth="1"/>
    <col min="7666" max="7666" width="14.625" style="1" customWidth="1"/>
    <col min="7667" max="7667" width="10.625" style="1" customWidth="1"/>
    <col min="7668" max="7668" width="14.625" style="1" customWidth="1"/>
    <col min="7669" max="7669" width="10.625" style="1" customWidth="1"/>
    <col min="7670" max="7670" width="18.625" style="1" customWidth="1"/>
    <col min="7671" max="7671" width="9.625" style="1" customWidth="1"/>
    <col min="7672" max="7672" width="10.5" style="1" customWidth="1"/>
    <col min="7673" max="7673" width="20.375" style="1" bestFit="1" customWidth="1"/>
    <col min="7674" max="7674" width="12.5" style="1" customWidth="1"/>
    <col min="7675" max="7675" width="13.125" style="1" customWidth="1"/>
    <col min="7676" max="7680" width="9" style="1"/>
    <col min="7681" max="7681" width="11.25" style="1" bestFit="1" customWidth="1"/>
    <col min="7682" max="7682" width="11.625" style="1" bestFit="1" customWidth="1"/>
    <col min="7683" max="7913" width="9" style="1"/>
    <col min="7914" max="7914" width="4.625" style="1" customWidth="1"/>
    <col min="7915" max="7915" width="34.625" style="1" customWidth="1"/>
    <col min="7916" max="7916" width="11.625" style="1" customWidth="1"/>
    <col min="7917" max="7918" width="6.625" style="1" customWidth="1"/>
    <col min="7919" max="7919" width="10.625" style="1" customWidth="1"/>
    <col min="7920" max="7920" width="14.625" style="1" customWidth="1"/>
    <col min="7921" max="7921" width="10.625" style="1" customWidth="1"/>
    <col min="7922" max="7922" width="14.625" style="1" customWidth="1"/>
    <col min="7923" max="7923" width="10.625" style="1" customWidth="1"/>
    <col min="7924" max="7924" width="14.625" style="1" customWidth="1"/>
    <col min="7925" max="7925" width="10.625" style="1" customWidth="1"/>
    <col min="7926" max="7926" width="18.625" style="1" customWidth="1"/>
    <col min="7927" max="7927" width="9.625" style="1" customWidth="1"/>
    <col min="7928" max="7928" width="10.5" style="1" customWidth="1"/>
    <col min="7929" max="7929" width="20.375" style="1" bestFit="1" customWidth="1"/>
    <col min="7930" max="7930" width="12.5" style="1" customWidth="1"/>
    <col min="7931" max="7931" width="13.125" style="1" customWidth="1"/>
    <col min="7932" max="7936" width="9" style="1"/>
    <col min="7937" max="7937" width="11.25" style="1" bestFit="1" customWidth="1"/>
    <col min="7938" max="7938" width="11.625" style="1" bestFit="1" customWidth="1"/>
    <col min="7939" max="8169" width="9" style="1"/>
    <col min="8170" max="8170" width="4.625" style="1" customWidth="1"/>
    <col min="8171" max="8171" width="34.625" style="1" customWidth="1"/>
    <col min="8172" max="8172" width="11.625" style="1" customWidth="1"/>
    <col min="8173" max="8174" width="6.625" style="1" customWidth="1"/>
    <col min="8175" max="8175" width="10.625" style="1" customWidth="1"/>
    <col min="8176" max="8176" width="14.625" style="1" customWidth="1"/>
    <col min="8177" max="8177" width="10.625" style="1" customWidth="1"/>
    <col min="8178" max="8178" width="14.625" style="1" customWidth="1"/>
    <col min="8179" max="8179" width="10.625" style="1" customWidth="1"/>
    <col min="8180" max="8180" width="14.625" style="1" customWidth="1"/>
    <col min="8181" max="8181" width="10.625" style="1" customWidth="1"/>
    <col min="8182" max="8182" width="18.625" style="1" customWidth="1"/>
    <col min="8183" max="8183" width="9.625" style="1" customWidth="1"/>
    <col min="8184" max="8184" width="10.5" style="1" customWidth="1"/>
    <col min="8185" max="8185" width="20.375" style="1" bestFit="1" customWidth="1"/>
    <col min="8186" max="8186" width="12.5" style="1" customWidth="1"/>
    <col min="8187" max="8187" width="13.125" style="1" customWidth="1"/>
    <col min="8188" max="8192" width="9" style="1"/>
    <col min="8193" max="8193" width="11.25" style="1" bestFit="1" customWidth="1"/>
    <col min="8194" max="8194" width="11.625" style="1" bestFit="1" customWidth="1"/>
    <col min="8195" max="8425" width="9" style="1"/>
    <col min="8426" max="8426" width="4.625" style="1" customWidth="1"/>
    <col min="8427" max="8427" width="34.625" style="1" customWidth="1"/>
    <col min="8428" max="8428" width="11.625" style="1" customWidth="1"/>
    <col min="8429" max="8430" width="6.625" style="1" customWidth="1"/>
    <col min="8431" max="8431" width="10.625" style="1" customWidth="1"/>
    <col min="8432" max="8432" width="14.625" style="1" customWidth="1"/>
    <col min="8433" max="8433" width="10.625" style="1" customWidth="1"/>
    <col min="8434" max="8434" width="14.625" style="1" customWidth="1"/>
    <col min="8435" max="8435" width="10.625" style="1" customWidth="1"/>
    <col min="8436" max="8436" width="14.625" style="1" customWidth="1"/>
    <col min="8437" max="8437" width="10.625" style="1" customWidth="1"/>
    <col min="8438" max="8438" width="18.625" style="1" customWidth="1"/>
    <col min="8439" max="8439" width="9.625" style="1" customWidth="1"/>
    <col min="8440" max="8440" width="10.5" style="1" customWidth="1"/>
    <col min="8441" max="8441" width="20.375" style="1" bestFit="1" customWidth="1"/>
    <col min="8442" max="8442" width="12.5" style="1" customWidth="1"/>
    <col min="8443" max="8443" width="13.125" style="1" customWidth="1"/>
    <col min="8444" max="8448" width="9" style="1"/>
    <col min="8449" max="8449" width="11.25" style="1" bestFit="1" customWidth="1"/>
    <col min="8450" max="8450" width="11.625" style="1" bestFit="1" customWidth="1"/>
    <col min="8451" max="8681" width="9" style="1"/>
    <col min="8682" max="8682" width="4.625" style="1" customWidth="1"/>
    <col min="8683" max="8683" width="34.625" style="1" customWidth="1"/>
    <col min="8684" max="8684" width="11.625" style="1" customWidth="1"/>
    <col min="8685" max="8686" width="6.625" style="1" customWidth="1"/>
    <col min="8687" max="8687" width="10.625" style="1" customWidth="1"/>
    <col min="8688" max="8688" width="14.625" style="1" customWidth="1"/>
    <col min="8689" max="8689" width="10.625" style="1" customWidth="1"/>
    <col min="8690" max="8690" width="14.625" style="1" customWidth="1"/>
    <col min="8691" max="8691" width="10.625" style="1" customWidth="1"/>
    <col min="8692" max="8692" width="14.625" style="1" customWidth="1"/>
    <col min="8693" max="8693" width="10.625" style="1" customWidth="1"/>
    <col min="8694" max="8694" width="18.625" style="1" customWidth="1"/>
    <col min="8695" max="8695" width="9.625" style="1" customWidth="1"/>
    <col min="8696" max="8696" width="10.5" style="1" customWidth="1"/>
    <col min="8697" max="8697" width="20.375" style="1" bestFit="1" customWidth="1"/>
    <col min="8698" max="8698" width="12.5" style="1" customWidth="1"/>
    <col min="8699" max="8699" width="13.125" style="1" customWidth="1"/>
    <col min="8700" max="8704" width="9" style="1"/>
    <col min="8705" max="8705" width="11.25" style="1" bestFit="1" customWidth="1"/>
    <col min="8706" max="8706" width="11.625" style="1" bestFit="1" customWidth="1"/>
    <col min="8707" max="8937" width="9" style="1"/>
    <col min="8938" max="8938" width="4.625" style="1" customWidth="1"/>
    <col min="8939" max="8939" width="34.625" style="1" customWidth="1"/>
    <col min="8940" max="8940" width="11.625" style="1" customWidth="1"/>
    <col min="8941" max="8942" width="6.625" style="1" customWidth="1"/>
    <col min="8943" max="8943" width="10.625" style="1" customWidth="1"/>
    <col min="8944" max="8944" width="14.625" style="1" customWidth="1"/>
    <col min="8945" max="8945" width="10.625" style="1" customWidth="1"/>
    <col min="8946" max="8946" width="14.625" style="1" customWidth="1"/>
    <col min="8947" max="8947" width="10.625" style="1" customWidth="1"/>
    <col min="8948" max="8948" width="14.625" style="1" customWidth="1"/>
    <col min="8949" max="8949" width="10.625" style="1" customWidth="1"/>
    <col min="8950" max="8950" width="18.625" style="1" customWidth="1"/>
    <col min="8951" max="8951" width="9.625" style="1" customWidth="1"/>
    <col min="8952" max="8952" width="10.5" style="1" customWidth="1"/>
    <col min="8953" max="8953" width="20.375" style="1" bestFit="1" customWidth="1"/>
    <col min="8954" max="8954" width="12.5" style="1" customWidth="1"/>
    <col min="8955" max="8955" width="13.125" style="1" customWidth="1"/>
    <col min="8956" max="8960" width="9" style="1"/>
    <col min="8961" max="8961" width="11.25" style="1" bestFit="1" customWidth="1"/>
    <col min="8962" max="8962" width="11.625" style="1" bestFit="1" customWidth="1"/>
    <col min="8963" max="9193" width="9" style="1"/>
    <col min="9194" max="9194" width="4.625" style="1" customWidth="1"/>
    <col min="9195" max="9195" width="34.625" style="1" customWidth="1"/>
    <col min="9196" max="9196" width="11.625" style="1" customWidth="1"/>
    <col min="9197" max="9198" width="6.625" style="1" customWidth="1"/>
    <col min="9199" max="9199" width="10.625" style="1" customWidth="1"/>
    <col min="9200" max="9200" width="14.625" style="1" customWidth="1"/>
    <col min="9201" max="9201" width="10.625" style="1" customWidth="1"/>
    <col min="9202" max="9202" width="14.625" style="1" customWidth="1"/>
    <col min="9203" max="9203" width="10.625" style="1" customWidth="1"/>
    <col min="9204" max="9204" width="14.625" style="1" customWidth="1"/>
    <col min="9205" max="9205" width="10.625" style="1" customWidth="1"/>
    <col min="9206" max="9206" width="18.625" style="1" customWidth="1"/>
    <col min="9207" max="9207" width="9.625" style="1" customWidth="1"/>
    <col min="9208" max="9208" width="10.5" style="1" customWidth="1"/>
    <col min="9209" max="9209" width="20.375" style="1" bestFit="1" customWidth="1"/>
    <col min="9210" max="9210" width="12.5" style="1" customWidth="1"/>
    <col min="9211" max="9211" width="13.125" style="1" customWidth="1"/>
    <col min="9212" max="9216" width="9" style="1"/>
    <col min="9217" max="9217" width="11.25" style="1" bestFit="1" customWidth="1"/>
    <col min="9218" max="9218" width="11.625" style="1" bestFit="1" customWidth="1"/>
    <col min="9219" max="9449" width="9" style="1"/>
    <col min="9450" max="9450" width="4.625" style="1" customWidth="1"/>
    <col min="9451" max="9451" width="34.625" style="1" customWidth="1"/>
    <col min="9452" max="9452" width="11.625" style="1" customWidth="1"/>
    <col min="9453" max="9454" width="6.625" style="1" customWidth="1"/>
    <col min="9455" max="9455" width="10.625" style="1" customWidth="1"/>
    <col min="9456" max="9456" width="14.625" style="1" customWidth="1"/>
    <col min="9457" max="9457" width="10.625" style="1" customWidth="1"/>
    <col min="9458" max="9458" width="14.625" style="1" customWidth="1"/>
    <col min="9459" max="9459" width="10.625" style="1" customWidth="1"/>
    <col min="9460" max="9460" width="14.625" style="1" customWidth="1"/>
    <col min="9461" max="9461" width="10.625" style="1" customWidth="1"/>
    <col min="9462" max="9462" width="18.625" style="1" customWidth="1"/>
    <col min="9463" max="9463" width="9.625" style="1" customWidth="1"/>
    <col min="9464" max="9464" width="10.5" style="1" customWidth="1"/>
    <col min="9465" max="9465" width="20.375" style="1" bestFit="1" customWidth="1"/>
    <col min="9466" max="9466" width="12.5" style="1" customWidth="1"/>
    <col min="9467" max="9467" width="13.125" style="1" customWidth="1"/>
    <col min="9468" max="9472" width="9" style="1"/>
    <col min="9473" max="9473" width="11.25" style="1" bestFit="1" customWidth="1"/>
    <col min="9474" max="9474" width="11.625" style="1" bestFit="1" customWidth="1"/>
    <col min="9475" max="9705" width="9" style="1"/>
    <col min="9706" max="9706" width="4.625" style="1" customWidth="1"/>
    <col min="9707" max="9707" width="34.625" style="1" customWidth="1"/>
    <col min="9708" max="9708" width="11.625" style="1" customWidth="1"/>
    <col min="9709" max="9710" width="6.625" style="1" customWidth="1"/>
    <col min="9711" max="9711" width="10.625" style="1" customWidth="1"/>
    <col min="9712" max="9712" width="14.625" style="1" customWidth="1"/>
    <col min="9713" max="9713" width="10.625" style="1" customWidth="1"/>
    <col min="9714" max="9714" width="14.625" style="1" customWidth="1"/>
    <col min="9715" max="9715" width="10.625" style="1" customWidth="1"/>
    <col min="9716" max="9716" width="14.625" style="1" customWidth="1"/>
    <col min="9717" max="9717" width="10.625" style="1" customWidth="1"/>
    <col min="9718" max="9718" width="18.625" style="1" customWidth="1"/>
    <col min="9719" max="9719" width="9.625" style="1" customWidth="1"/>
    <col min="9720" max="9720" width="10.5" style="1" customWidth="1"/>
    <col min="9721" max="9721" width="20.375" style="1" bestFit="1" customWidth="1"/>
    <col min="9722" max="9722" width="12.5" style="1" customWidth="1"/>
    <col min="9723" max="9723" width="13.125" style="1" customWidth="1"/>
    <col min="9724" max="9728" width="9" style="1"/>
    <col min="9729" max="9729" width="11.25" style="1" bestFit="1" customWidth="1"/>
    <col min="9730" max="9730" width="11.625" style="1" bestFit="1" customWidth="1"/>
    <col min="9731" max="9961" width="9" style="1"/>
    <col min="9962" max="9962" width="4.625" style="1" customWidth="1"/>
    <col min="9963" max="9963" width="34.625" style="1" customWidth="1"/>
    <col min="9964" max="9964" width="11.625" style="1" customWidth="1"/>
    <col min="9965" max="9966" width="6.625" style="1" customWidth="1"/>
    <col min="9967" max="9967" width="10.625" style="1" customWidth="1"/>
    <col min="9968" max="9968" width="14.625" style="1" customWidth="1"/>
    <col min="9969" max="9969" width="10.625" style="1" customWidth="1"/>
    <col min="9970" max="9970" width="14.625" style="1" customWidth="1"/>
    <col min="9971" max="9971" width="10.625" style="1" customWidth="1"/>
    <col min="9972" max="9972" width="14.625" style="1" customWidth="1"/>
    <col min="9973" max="9973" width="10.625" style="1" customWidth="1"/>
    <col min="9974" max="9974" width="18.625" style="1" customWidth="1"/>
    <col min="9975" max="9975" width="9.625" style="1" customWidth="1"/>
    <col min="9976" max="9976" width="10.5" style="1" customWidth="1"/>
    <col min="9977" max="9977" width="20.375" style="1" bestFit="1" customWidth="1"/>
    <col min="9978" max="9978" width="12.5" style="1" customWidth="1"/>
    <col min="9979" max="9979" width="13.125" style="1" customWidth="1"/>
    <col min="9980" max="9984" width="9" style="1"/>
    <col min="9985" max="9985" width="11.25" style="1" bestFit="1" customWidth="1"/>
    <col min="9986" max="9986" width="11.625" style="1" bestFit="1" customWidth="1"/>
    <col min="9987" max="10217" width="9" style="1"/>
    <col min="10218" max="10218" width="4.625" style="1" customWidth="1"/>
    <col min="10219" max="10219" width="34.625" style="1" customWidth="1"/>
    <col min="10220" max="10220" width="11.625" style="1" customWidth="1"/>
    <col min="10221" max="10222" width="6.625" style="1" customWidth="1"/>
    <col min="10223" max="10223" width="10.625" style="1" customWidth="1"/>
    <col min="10224" max="10224" width="14.625" style="1" customWidth="1"/>
    <col min="10225" max="10225" width="10.625" style="1" customWidth="1"/>
    <col min="10226" max="10226" width="14.625" style="1" customWidth="1"/>
    <col min="10227" max="10227" width="10.625" style="1" customWidth="1"/>
    <col min="10228" max="10228" width="14.625" style="1" customWidth="1"/>
    <col min="10229" max="10229" width="10.625" style="1" customWidth="1"/>
    <col min="10230" max="10230" width="18.625" style="1" customWidth="1"/>
    <col min="10231" max="10231" width="9.625" style="1" customWidth="1"/>
    <col min="10232" max="10232" width="10.5" style="1" customWidth="1"/>
    <col min="10233" max="10233" width="20.375" style="1" bestFit="1" customWidth="1"/>
    <col min="10234" max="10234" width="12.5" style="1" customWidth="1"/>
    <col min="10235" max="10235" width="13.125" style="1" customWidth="1"/>
    <col min="10236" max="10240" width="9" style="1"/>
    <col min="10241" max="10241" width="11.25" style="1" bestFit="1" customWidth="1"/>
    <col min="10242" max="10242" width="11.625" style="1" bestFit="1" customWidth="1"/>
    <col min="10243" max="10473" width="9" style="1"/>
    <col min="10474" max="10474" width="4.625" style="1" customWidth="1"/>
    <col min="10475" max="10475" width="34.625" style="1" customWidth="1"/>
    <col min="10476" max="10476" width="11.625" style="1" customWidth="1"/>
    <col min="10477" max="10478" width="6.625" style="1" customWidth="1"/>
    <col min="10479" max="10479" width="10.625" style="1" customWidth="1"/>
    <col min="10480" max="10480" width="14.625" style="1" customWidth="1"/>
    <col min="10481" max="10481" width="10.625" style="1" customWidth="1"/>
    <col min="10482" max="10482" width="14.625" style="1" customWidth="1"/>
    <col min="10483" max="10483" width="10.625" style="1" customWidth="1"/>
    <col min="10484" max="10484" width="14.625" style="1" customWidth="1"/>
    <col min="10485" max="10485" width="10.625" style="1" customWidth="1"/>
    <col min="10486" max="10486" width="18.625" style="1" customWidth="1"/>
    <col min="10487" max="10487" width="9.625" style="1" customWidth="1"/>
    <col min="10488" max="10488" width="10.5" style="1" customWidth="1"/>
    <col min="10489" max="10489" width="20.375" style="1" bestFit="1" customWidth="1"/>
    <col min="10490" max="10490" width="12.5" style="1" customWidth="1"/>
    <col min="10491" max="10491" width="13.125" style="1" customWidth="1"/>
    <col min="10492" max="10496" width="9" style="1"/>
    <col min="10497" max="10497" width="11.25" style="1" bestFit="1" customWidth="1"/>
    <col min="10498" max="10498" width="11.625" style="1" bestFit="1" customWidth="1"/>
    <col min="10499" max="10729" width="9" style="1"/>
    <col min="10730" max="10730" width="4.625" style="1" customWidth="1"/>
    <col min="10731" max="10731" width="34.625" style="1" customWidth="1"/>
    <col min="10732" max="10732" width="11.625" style="1" customWidth="1"/>
    <col min="10733" max="10734" width="6.625" style="1" customWidth="1"/>
    <col min="10735" max="10735" width="10.625" style="1" customWidth="1"/>
    <col min="10736" max="10736" width="14.625" style="1" customWidth="1"/>
    <col min="10737" max="10737" width="10.625" style="1" customWidth="1"/>
    <col min="10738" max="10738" width="14.625" style="1" customWidth="1"/>
    <col min="10739" max="10739" width="10.625" style="1" customWidth="1"/>
    <col min="10740" max="10740" width="14.625" style="1" customWidth="1"/>
    <col min="10741" max="10741" width="10.625" style="1" customWidth="1"/>
    <col min="10742" max="10742" width="18.625" style="1" customWidth="1"/>
    <col min="10743" max="10743" width="9.625" style="1" customWidth="1"/>
    <col min="10744" max="10744" width="10.5" style="1" customWidth="1"/>
    <col min="10745" max="10745" width="20.375" style="1" bestFit="1" customWidth="1"/>
    <col min="10746" max="10746" width="12.5" style="1" customWidth="1"/>
    <col min="10747" max="10747" width="13.125" style="1" customWidth="1"/>
    <col min="10748" max="10752" width="9" style="1"/>
    <col min="10753" max="10753" width="11.25" style="1" bestFit="1" customWidth="1"/>
    <col min="10754" max="10754" width="11.625" style="1" bestFit="1" customWidth="1"/>
    <col min="10755" max="10985" width="9" style="1"/>
    <col min="10986" max="10986" width="4.625" style="1" customWidth="1"/>
    <col min="10987" max="10987" width="34.625" style="1" customWidth="1"/>
    <col min="10988" max="10988" width="11.625" style="1" customWidth="1"/>
    <col min="10989" max="10990" width="6.625" style="1" customWidth="1"/>
    <col min="10991" max="10991" width="10.625" style="1" customWidth="1"/>
    <col min="10992" max="10992" width="14.625" style="1" customWidth="1"/>
    <col min="10993" max="10993" width="10.625" style="1" customWidth="1"/>
    <col min="10994" max="10994" width="14.625" style="1" customWidth="1"/>
    <col min="10995" max="10995" width="10.625" style="1" customWidth="1"/>
    <col min="10996" max="10996" width="14.625" style="1" customWidth="1"/>
    <col min="10997" max="10997" width="10.625" style="1" customWidth="1"/>
    <col min="10998" max="10998" width="18.625" style="1" customWidth="1"/>
    <col min="10999" max="10999" width="9.625" style="1" customWidth="1"/>
    <col min="11000" max="11000" width="10.5" style="1" customWidth="1"/>
    <col min="11001" max="11001" width="20.375" style="1" bestFit="1" customWidth="1"/>
    <col min="11002" max="11002" width="12.5" style="1" customWidth="1"/>
    <col min="11003" max="11003" width="13.125" style="1" customWidth="1"/>
    <col min="11004" max="11008" width="9" style="1"/>
    <col min="11009" max="11009" width="11.25" style="1" bestFit="1" customWidth="1"/>
    <col min="11010" max="11010" width="11.625" style="1" bestFit="1" customWidth="1"/>
    <col min="11011" max="11241" width="9" style="1"/>
    <col min="11242" max="11242" width="4.625" style="1" customWidth="1"/>
    <col min="11243" max="11243" width="34.625" style="1" customWidth="1"/>
    <col min="11244" max="11244" width="11.625" style="1" customWidth="1"/>
    <col min="11245" max="11246" width="6.625" style="1" customWidth="1"/>
    <col min="11247" max="11247" width="10.625" style="1" customWidth="1"/>
    <col min="11248" max="11248" width="14.625" style="1" customWidth="1"/>
    <col min="11249" max="11249" width="10.625" style="1" customWidth="1"/>
    <col min="11250" max="11250" width="14.625" style="1" customWidth="1"/>
    <col min="11251" max="11251" width="10.625" style="1" customWidth="1"/>
    <col min="11252" max="11252" width="14.625" style="1" customWidth="1"/>
    <col min="11253" max="11253" width="10.625" style="1" customWidth="1"/>
    <col min="11254" max="11254" width="18.625" style="1" customWidth="1"/>
    <col min="11255" max="11255" width="9.625" style="1" customWidth="1"/>
    <col min="11256" max="11256" width="10.5" style="1" customWidth="1"/>
    <col min="11257" max="11257" width="20.375" style="1" bestFit="1" customWidth="1"/>
    <col min="11258" max="11258" width="12.5" style="1" customWidth="1"/>
    <col min="11259" max="11259" width="13.125" style="1" customWidth="1"/>
    <col min="11260" max="11264" width="9" style="1"/>
    <col min="11265" max="11265" width="11.25" style="1" bestFit="1" customWidth="1"/>
    <col min="11266" max="11266" width="11.625" style="1" bestFit="1" customWidth="1"/>
    <col min="11267" max="11497" width="9" style="1"/>
    <col min="11498" max="11498" width="4.625" style="1" customWidth="1"/>
    <col min="11499" max="11499" width="34.625" style="1" customWidth="1"/>
    <col min="11500" max="11500" width="11.625" style="1" customWidth="1"/>
    <col min="11501" max="11502" width="6.625" style="1" customWidth="1"/>
    <col min="11503" max="11503" width="10.625" style="1" customWidth="1"/>
    <col min="11504" max="11504" width="14.625" style="1" customWidth="1"/>
    <col min="11505" max="11505" width="10.625" style="1" customWidth="1"/>
    <col min="11506" max="11506" width="14.625" style="1" customWidth="1"/>
    <col min="11507" max="11507" width="10.625" style="1" customWidth="1"/>
    <col min="11508" max="11508" width="14.625" style="1" customWidth="1"/>
    <col min="11509" max="11509" width="10.625" style="1" customWidth="1"/>
    <col min="11510" max="11510" width="18.625" style="1" customWidth="1"/>
    <col min="11511" max="11511" width="9.625" style="1" customWidth="1"/>
    <col min="11512" max="11512" width="10.5" style="1" customWidth="1"/>
    <col min="11513" max="11513" width="20.375" style="1" bestFit="1" customWidth="1"/>
    <col min="11514" max="11514" width="12.5" style="1" customWidth="1"/>
    <col min="11515" max="11515" width="13.125" style="1" customWidth="1"/>
    <col min="11516" max="11520" width="9" style="1"/>
    <col min="11521" max="11521" width="11.25" style="1" bestFit="1" customWidth="1"/>
    <col min="11522" max="11522" width="11.625" style="1" bestFit="1" customWidth="1"/>
    <col min="11523" max="11753" width="9" style="1"/>
    <col min="11754" max="11754" width="4.625" style="1" customWidth="1"/>
    <col min="11755" max="11755" width="34.625" style="1" customWidth="1"/>
    <col min="11756" max="11756" width="11.625" style="1" customWidth="1"/>
    <col min="11757" max="11758" width="6.625" style="1" customWidth="1"/>
    <col min="11759" max="11759" width="10.625" style="1" customWidth="1"/>
    <col min="11760" max="11760" width="14.625" style="1" customWidth="1"/>
    <col min="11761" max="11761" width="10.625" style="1" customWidth="1"/>
    <col min="11762" max="11762" width="14.625" style="1" customWidth="1"/>
    <col min="11763" max="11763" width="10.625" style="1" customWidth="1"/>
    <col min="11764" max="11764" width="14.625" style="1" customWidth="1"/>
    <col min="11765" max="11765" width="10.625" style="1" customWidth="1"/>
    <col min="11766" max="11766" width="18.625" style="1" customWidth="1"/>
    <col min="11767" max="11767" width="9.625" style="1" customWidth="1"/>
    <col min="11768" max="11768" width="10.5" style="1" customWidth="1"/>
    <col min="11769" max="11769" width="20.375" style="1" bestFit="1" customWidth="1"/>
    <col min="11770" max="11770" width="12.5" style="1" customWidth="1"/>
    <col min="11771" max="11771" width="13.125" style="1" customWidth="1"/>
    <col min="11772" max="11776" width="9" style="1"/>
    <col min="11777" max="11777" width="11.25" style="1" bestFit="1" customWidth="1"/>
    <col min="11778" max="11778" width="11.625" style="1" bestFit="1" customWidth="1"/>
    <col min="11779" max="12009" width="9" style="1"/>
    <col min="12010" max="12010" width="4.625" style="1" customWidth="1"/>
    <col min="12011" max="12011" width="34.625" style="1" customWidth="1"/>
    <col min="12012" max="12012" width="11.625" style="1" customWidth="1"/>
    <col min="12013" max="12014" width="6.625" style="1" customWidth="1"/>
    <col min="12015" max="12015" width="10.625" style="1" customWidth="1"/>
    <col min="12016" max="12016" width="14.625" style="1" customWidth="1"/>
    <col min="12017" max="12017" width="10.625" style="1" customWidth="1"/>
    <col min="12018" max="12018" width="14.625" style="1" customWidth="1"/>
    <col min="12019" max="12019" width="10.625" style="1" customWidth="1"/>
    <col min="12020" max="12020" width="14.625" style="1" customWidth="1"/>
    <col min="12021" max="12021" width="10.625" style="1" customWidth="1"/>
    <col min="12022" max="12022" width="18.625" style="1" customWidth="1"/>
    <col min="12023" max="12023" width="9.625" style="1" customWidth="1"/>
    <col min="12024" max="12024" width="10.5" style="1" customWidth="1"/>
    <col min="12025" max="12025" width="20.375" style="1" bestFit="1" customWidth="1"/>
    <col min="12026" max="12026" width="12.5" style="1" customWidth="1"/>
    <col min="12027" max="12027" width="13.125" style="1" customWidth="1"/>
    <col min="12028" max="12032" width="9" style="1"/>
    <col min="12033" max="12033" width="11.25" style="1" bestFit="1" customWidth="1"/>
    <col min="12034" max="12034" width="11.625" style="1" bestFit="1" customWidth="1"/>
    <col min="12035" max="12265" width="9" style="1"/>
    <col min="12266" max="12266" width="4.625" style="1" customWidth="1"/>
    <col min="12267" max="12267" width="34.625" style="1" customWidth="1"/>
    <col min="12268" max="12268" width="11.625" style="1" customWidth="1"/>
    <col min="12269" max="12270" width="6.625" style="1" customWidth="1"/>
    <col min="12271" max="12271" width="10.625" style="1" customWidth="1"/>
    <col min="12272" max="12272" width="14.625" style="1" customWidth="1"/>
    <col min="12273" max="12273" width="10.625" style="1" customWidth="1"/>
    <col min="12274" max="12274" width="14.625" style="1" customWidth="1"/>
    <col min="12275" max="12275" width="10.625" style="1" customWidth="1"/>
    <col min="12276" max="12276" width="14.625" style="1" customWidth="1"/>
    <col min="12277" max="12277" width="10.625" style="1" customWidth="1"/>
    <col min="12278" max="12278" width="18.625" style="1" customWidth="1"/>
    <col min="12279" max="12279" width="9.625" style="1" customWidth="1"/>
    <col min="12280" max="12280" width="10.5" style="1" customWidth="1"/>
    <col min="12281" max="12281" width="20.375" style="1" bestFit="1" customWidth="1"/>
    <col min="12282" max="12282" width="12.5" style="1" customWidth="1"/>
    <col min="12283" max="12283" width="13.125" style="1" customWidth="1"/>
    <col min="12284" max="12288" width="9" style="1"/>
    <col min="12289" max="12289" width="11.25" style="1" bestFit="1" customWidth="1"/>
    <col min="12290" max="12290" width="11.625" style="1" bestFit="1" customWidth="1"/>
    <col min="12291" max="12521" width="9" style="1"/>
    <col min="12522" max="12522" width="4.625" style="1" customWidth="1"/>
    <col min="12523" max="12523" width="34.625" style="1" customWidth="1"/>
    <col min="12524" max="12524" width="11.625" style="1" customWidth="1"/>
    <col min="12525" max="12526" width="6.625" style="1" customWidth="1"/>
    <col min="12527" max="12527" width="10.625" style="1" customWidth="1"/>
    <col min="12528" max="12528" width="14.625" style="1" customWidth="1"/>
    <col min="12529" max="12529" width="10.625" style="1" customWidth="1"/>
    <col min="12530" max="12530" width="14.625" style="1" customWidth="1"/>
    <col min="12531" max="12531" width="10.625" style="1" customWidth="1"/>
    <col min="12532" max="12532" width="14.625" style="1" customWidth="1"/>
    <col min="12533" max="12533" width="10.625" style="1" customWidth="1"/>
    <col min="12534" max="12534" width="18.625" style="1" customWidth="1"/>
    <col min="12535" max="12535" width="9.625" style="1" customWidth="1"/>
    <col min="12536" max="12536" width="10.5" style="1" customWidth="1"/>
    <col min="12537" max="12537" width="20.375" style="1" bestFit="1" customWidth="1"/>
    <col min="12538" max="12538" width="12.5" style="1" customWidth="1"/>
    <col min="12539" max="12539" width="13.125" style="1" customWidth="1"/>
    <col min="12540" max="12544" width="9" style="1"/>
    <col min="12545" max="12545" width="11.25" style="1" bestFit="1" customWidth="1"/>
    <col min="12546" max="12546" width="11.625" style="1" bestFit="1" customWidth="1"/>
    <col min="12547" max="12777" width="9" style="1"/>
    <col min="12778" max="12778" width="4.625" style="1" customWidth="1"/>
    <col min="12779" max="12779" width="34.625" style="1" customWidth="1"/>
    <col min="12780" max="12780" width="11.625" style="1" customWidth="1"/>
    <col min="12781" max="12782" width="6.625" style="1" customWidth="1"/>
    <col min="12783" max="12783" width="10.625" style="1" customWidth="1"/>
    <col min="12784" max="12784" width="14.625" style="1" customWidth="1"/>
    <col min="12785" max="12785" width="10.625" style="1" customWidth="1"/>
    <col min="12786" max="12786" width="14.625" style="1" customWidth="1"/>
    <col min="12787" max="12787" width="10.625" style="1" customWidth="1"/>
    <col min="12788" max="12788" width="14.625" style="1" customWidth="1"/>
    <col min="12789" max="12789" width="10.625" style="1" customWidth="1"/>
    <col min="12790" max="12790" width="18.625" style="1" customWidth="1"/>
    <col min="12791" max="12791" width="9.625" style="1" customWidth="1"/>
    <col min="12792" max="12792" width="10.5" style="1" customWidth="1"/>
    <col min="12793" max="12793" width="20.375" style="1" bestFit="1" customWidth="1"/>
    <col min="12794" max="12794" width="12.5" style="1" customWidth="1"/>
    <col min="12795" max="12795" width="13.125" style="1" customWidth="1"/>
    <col min="12796" max="12800" width="9" style="1"/>
    <col min="12801" max="12801" width="11.25" style="1" bestFit="1" customWidth="1"/>
    <col min="12802" max="12802" width="11.625" style="1" bestFit="1" customWidth="1"/>
    <col min="12803" max="13033" width="9" style="1"/>
    <col min="13034" max="13034" width="4.625" style="1" customWidth="1"/>
    <col min="13035" max="13035" width="34.625" style="1" customWidth="1"/>
    <col min="13036" max="13036" width="11.625" style="1" customWidth="1"/>
    <col min="13037" max="13038" width="6.625" style="1" customWidth="1"/>
    <col min="13039" max="13039" width="10.625" style="1" customWidth="1"/>
    <col min="13040" max="13040" width="14.625" style="1" customWidth="1"/>
    <col min="13041" max="13041" width="10.625" style="1" customWidth="1"/>
    <col min="13042" max="13042" width="14.625" style="1" customWidth="1"/>
    <col min="13043" max="13043" width="10.625" style="1" customWidth="1"/>
    <col min="13044" max="13044" width="14.625" style="1" customWidth="1"/>
    <col min="13045" max="13045" width="10.625" style="1" customWidth="1"/>
    <col min="13046" max="13046" width="18.625" style="1" customWidth="1"/>
    <col min="13047" max="13047" width="9.625" style="1" customWidth="1"/>
    <col min="13048" max="13048" width="10.5" style="1" customWidth="1"/>
    <col min="13049" max="13049" width="20.375" style="1" bestFit="1" customWidth="1"/>
    <col min="13050" max="13050" width="12.5" style="1" customWidth="1"/>
    <col min="13051" max="13051" width="13.125" style="1" customWidth="1"/>
    <col min="13052" max="13056" width="9" style="1"/>
    <col min="13057" max="13057" width="11.25" style="1" bestFit="1" customWidth="1"/>
    <col min="13058" max="13058" width="11.625" style="1" bestFit="1" customWidth="1"/>
    <col min="13059" max="13289" width="9" style="1"/>
    <col min="13290" max="13290" width="4.625" style="1" customWidth="1"/>
    <col min="13291" max="13291" width="34.625" style="1" customWidth="1"/>
    <col min="13292" max="13292" width="11.625" style="1" customWidth="1"/>
    <col min="13293" max="13294" width="6.625" style="1" customWidth="1"/>
    <col min="13295" max="13295" width="10.625" style="1" customWidth="1"/>
    <col min="13296" max="13296" width="14.625" style="1" customWidth="1"/>
    <col min="13297" max="13297" width="10.625" style="1" customWidth="1"/>
    <col min="13298" max="13298" width="14.625" style="1" customWidth="1"/>
    <col min="13299" max="13299" width="10.625" style="1" customWidth="1"/>
    <col min="13300" max="13300" width="14.625" style="1" customWidth="1"/>
    <col min="13301" max="13301" width="10.625" style="1" customWidth="1"/>
    <col min="13302" max="13302" width="18.625" style="1" customWidth="1"/>
    <col min="13303" max="13303" width="9.625" style="1" customWidth="1"/>
    <col min="13304" max="13304" width="10.5" style="1" customWidth="1"/>
    <col min="13305" max="13305" width="20.375" style="1" bestFit="1" customWidth="1"/>
    <col min="13306" max="13306" width="12.5" style="1" customWidth="1"/>
    <col min="13307" max="13307" width="13.125" style="1" customWidth="1"/>
    <col min="13308" max="13312" width="9" style="1"/>
    <col min="13313" max="13313" width="11.25" style="1" bestFit="1" customWidth="1"/>
    <col min="13314" max="13314" width="11.625" style="1" bestFit="1" customWidth="1"/>
    <col min="13315" max="13545" width="9" style="1"/>
    <col min="13546" max="13546" width="4.625" style="1" customWidth="1"/>
    <col min="13547" max="13547" width="34.625" style="1" customWidth="1"/>
    <col min="13548" max="13548" width="11.625" style="1" customWidth="1"/>
    <col min="13549" max="13550" width="6.625" style="1" customWidth="1"/>
    <col min="13551" max="13551" width="10.625" style="1" customWidth="1"/>
    <col min="13552" max="13552" width="14.625" style="1" customWidth="1"/>
    <col min="13553" max="13553" width="10.625" style="1" customWidth="1"/>
    <col min="13554" max="13554" width="14.625" style="1" customWidth="1"/>
    <col min="13555" max="13555" width="10.625" style="1" customWidth="1"/>
    <col min="13556" max="13556" width="14.625" style="1" customWidth="1"/>
    <col min="13557" max="13557" width="10.625" style="1" customWidth="1"/>
    <col min="13558" max="13558" width="18.625" style="1" customWidth="1"/>
    <col min="13559" max="13559" width="9.625" style="1" customWidth="1"/>
    <col min="13560" max="13560" width="10.5" style="1" customWidth="1"/>
    <col min="13561" max="13561" width="20.375" style="1" bestFit="1" customWidth="1"/>
    <col min="13562" max="13562" width="12.5" style="1" customWidth="1"/>
    <col min="13563" max="13563" width="13.125" style="1" customWidth="1"/>
    <col min="13564" max="13568" width="9" style="1"/>
    <col min="13569" max="13569" width="11.25" style="1" bestFit="1" customWidth="1"/>
    <col min="13570" max="13570" width="11.625" style="1" bestFit="1" customWidth="1"/>
    <col min="13571" max="13801" width="9" style="1"/>
    <col min="13802" max="13802" width="4.625" style="1" customWidth="1"/>
    <col min="13803" max="13803" width="34.625" style="1" customWidth="1"/>
    <col min="13804" max="13804" width="11.625" style="1" customWidth="1"/>
    <col min="13805" max="13806" width="6.625" style="1" customWidth="1"/>
    <col min="13807" max="13807" width="10.625" style="1" customWidth="1"/>
    <col min="13808" max="13808" width="14.625" style="1" customWidth="1"/>
    <col min="13809" max="13809" width="10.625" style="1" customWidth="1"/>
    <col min="13810" max="13810" width="14.625" style="1" customWidth="1"/>
    <col min="13811" max="13811" width="10.625" style="1" customWidth="1"/>
    <col min="13812" max="13812" width="14.625" style="1" customWidth="1"/>
    <col min="13813" max="13813" width="10.625" style="1" customWidth="1"/>
    <col min="13814" max="13814" width="18.625" style="1" customWidth="1"/>
    <col min="13815" max="13815" width="9.625" style="1" customWidth="1"/>
    <col min="13816" max="13816" width="10.5" style="1" customWidth="1"/>
    <col min="13817" max="13817" width="20.375" style="1" bestFit="1" customWidth="1"/>
    <col min="13818" max="13818" width="12.5" style="1" customWidth="1"/>
    <col min="13819" max="13819" width="13.125" style="1" customWidth="1"/>
    <col min="13820" max="13824" width="9" style="1"/>
    <col min="13825" max="13825" width="11.25" style="1" bestFit="1" customWidth="1"/>
    <col min="13826" max="13826" width="11.625" style="1" bestFit="1" customWidth="1"/>
    <col min="13827" max="14057" width="9" style="1"/>
    <col min="14058" max="14058" width="4.625" style="1" customWidth="1"/>
    <col min="14059" max="14059" width="34.625" style="1" customWidth="1"/>
    <col min="14060" max="14060" width="11.625" style="1" customWidth="1"/>
    <col min="14061" max="14062" width="6.625" style="1" customWidth="1"/>
    <col min="14063" max="14063" width="10.625" style="1" customWidth="1"/>
    <col min="14064" max="14064" width="14.625" style="1" customWidth="1"/>
    <col min="14065" max="14065" width="10.625" style="1" customWidth="1"/>
    <col min="14066" max="14066" width="14.625" style="1" customWidth="1"/>
    <col min="14067" max="14067" width="10.625" style="1" customWidth="1"/>
    <col min="14068" max="14068" width="14.625" style="1" customWidth="1"/>
    <col min="14069" max="14069" width="10.625" style="1" customWidth="1"/>
    <col min="14070" max="14070" width="18.625" style="1" customWidth="1"/>
    <col min="14071" max="14071" width="9.625" style="1" customWidth="1"/>
    <col min="14072" max="14072" width="10.5" style="1" customWidth="1"/>
    <col min="14073" max="14073" width="20.375" style="1" bestFit="1" customWidth="1"/>
    <col min="14074" max="14074" width="12.5" style="1" customWidth="1"/>
    <col min="14075" max="14075" width="13.125" style="1" customWidth="1"/>
    <col min="14076" max="14080" width="9" style="1"/>
    <col min="14081" max="14081" width="11.25" style="1" bestFit="1" customWidth="1"/>
    <col min="14082" max="14082" width="11.625" style="1" bestFit="1" customWidth="1"/>
    <col min="14083" max="14313" width="9" style="1"/>
    <col min="14314" max="14314" width="4.625" style="1" customWidth="1"/>
    <col min="14315" max="14315" width="34.625" style="1" customWidth="1"/>
    <col min="14316" max="14316" width="11.625" style="1" customWidth="1"/>
    <col min="14317" max="14318" width="6.625" style="1" customWidth="1"/>
    <col min="14319" max="14319" width="10.625" style="1" customWidth="1"/>
    <col min="14320" max="14320" width="14.625" style="1" customWidth="1"/>
    <col min="14321" max="14321" width="10.625" style="1" customWidth="1"/>
    <col min="14322" max="14322" width="14.625" style="1" customWidth="1"/>
    <col min="14323" max="14323" width="10.625" style="1" customWidth="1"/>
    <col min="14324" max="14324" width="14.625" style="1" customWidth="1"/>
    <col min="14325" max="14325" width="10.625" style="1" customWidth="1"/>
    <col min="14326" max="14326" width="18.625" style="1" customWidth="1"/>
    <col min="14327" max="14327" width="9.625" style="1" customWidth="1"/>
    <col min="14328" max="14328" width="10.5" style="1" customWidth="1"/>
    <col min="14329" max="14329" width="20.375" style="1" bestFit="1" customWidth="1"/>
    <col min="14330" max="14330" width="12.5" style="1" customWidth="1"/>
    <col min="14331" max="14331" width="13.125" style="1" customWidth="1"/>
    <col min="14332" max="14336" width="9" style="1"/>
    <col min="14337" max="14337" width="11.25" style="1" bestFit="1" customWidth="1"/>
    <col min="14338" max="14338" width="11.625" style="1" bestFit="1" customWidth="1"/>
    <col min="14339" max="14569" width="9" style="1"/>
    <col min="14570" max="14570" width="4.625" style="1" customWidth="1"/>
    <col min="14571" max="14571" width="34.625" style="1" customWidth="1"/>
    <col min="14572" max="14572" width="11.625" style="1" customWidth="1"/>
    <col min="14573" max="14574" width="6.625" style="1" customWidth="1"/>
    <col min="14575" max="14575" width="10.625" style="1" customWidth="1"/>
    <col min="14576" max="14576" width="14.625" style="1" customWidth="1"/>
    <col min="14577" max="14577" width="10.625" style="1" customWidth="1"/>
    <col min="14578" max="14578" width="14.625" style="1" customWidth="1"/>
    <col min="14579" max="14579" width="10.625" style="1" customWidth="1"/>
    <col min="14580" max="14580" width="14.625" style="1" customWidth="1"/>
    <col min="14581" max="14581" width="10.625" style="1" customWidth="1"/>
    <col min="14582" max="14582" width="18.625" style="1" customWidth="1"/>
    <col min="14583" max="14583" width="9.625" style="1" customWidth="1"/>
    <col min="14584" max="14584" width="10.5" style="1" customWidth="1"/>
    <col min="14585" max="14585" width="20.375" style="1" bestFit="1" customWidth="1"/>
    <col min="14586" max="14586" width="12.5" style="1" customWidth="1"/>
    <col min="14587" max="14587" width="13.125" style="1" customWidth="1"/>
    <col min="14588" max="14592" width="9" style="1"/>
    <col min="14593" max="14593" width="11.25" style="1" bestFit="1" customWidth="1"/>
    <col min="14594" max="14594" width="11.625" style="1" bestFit="1" customWidth="1"/>
    <col min="14595" max="14825" width="9" style="1"/>
    <col min="14826" max="14826" width="4.625" style="1" customWidth="1"/>
    <col min="14827" max="14827" width="34.625" style="1" customWidth="1"/>
    <col min="14828" max="14828" width="11.625" style="1" customWidth="1"/>
    <col min="14829" max="14830" width="6.625" style="1" customWidth="1"/>
    <col min="14831" max="14831" width="10.625" style="1" customWidth="1"/>
    <col min="14832" max="14832" width="14.625" style="1" customWidth="1"/>
    <col min="14833" max="14833" width="10.625" style="1" customWidth="1"/>
    <col min="14834" max="14834" width="14.625" style="1" customWidth="1"/>
    <col min="14835" max="14835" width="10.625" style="1" customWidth="1"/>
    <col min="14836" max="14836" width="14.625" style="1" customWidth="1"/>
    <col min="14837" max="14837" width="10.625" style="1" customWidth="1"/>
    <col min="14838" max="14838" width="18.625" style="1" customWidth="1"/>
    <col min="14839" max="14839" width="9.625" style="1" customWidth="1"/>
    <col min="14840" max="14840" width="10.5" style="1" customWidth="1"/>
    <col min="14841" max="14841" width="20.375" style="1" bestFit="1" customWidth="1"/>
    <col min="14842" max="14842" width="12.5" style="1" customWidth="1"/>
    <col min="14843" max="14843" width="13.125" style="1" customWidth="1"/>
    <col min="14844" max="14848" width="9" style="1"/>
    <col min="14849" max="14849" width="11.25" style="1" bestFit="1" customWidth="1"/>
    <col min="14850" max="14850" width="11.625" style="1" bestFit="1" customWidth="1"/>
    <col min="14851" max="15081" width="9" style="1"/>
    <col min="15082" max="15082" width="4.625" style="1" customWidth="1"/>
    <col min="15083" max="15083" width="34.625" style="1" customWidth="1"/>
    <col min="15084" max="15084" width="11.625" style="1" customWidth="1"/>
    <col min="15085" max="15086" width="6.625" style="1" customWidth="1"/>
    <col min="15087" max="15087" width="10.625" style="1" customWidth="1"/>
    <col min="15088" max="15088" width="14.625" style="1" customWidth="1"/>
    <col min="15089" max="15089" width="10.625" style="1" customWidth="1"/>
    <col min="15090" max="15090" width="14.625" style="1" customWidth="1"/>
    <col min="15091" max="15091" width="10.625" style="1" customWidth="1"/>
    <col min="15092" max="15092" width="14.625" style="1" customWidth="1"/>
    <col min="15093" max="15093" width="10.625" style="1" customWidth="1"/>
    <col min="15094" max="15094" width="18.625" style="1" customWidth="1"/>
    <col min="15095" max="15095" width="9.625" style="1" customWidth="1"/>
    <col min="15096" max="15096" width="10.5" style="1" customWidth="1"/>
    <col min="15097" max="15097" width="20.375" style="1" bestFit="1" customWidth="1"/>
    <col min="15098" max="15098" width="12.5" style="1" customWidth="1"/>
    <col min="15099" max="15099" width="13.125" style="1" customWidth="1"/>
    <col min="15100" max="15104" width="9" style="1"/>
    <col min="15105" max="15105" width="11.25" style="1" bestFit="1" customWidth="1"/>
    <col min="15106" max="15106" width="11.625" style="1" bestFit="1" customWidth="1"/>
    <col min="15107" max="15337" width="9" style="1"/>
    <col min="15338" max="15338" width="4.625" style="1" customWidth="1"/>
    <col min="15339" max="15339" width="34.625" style="1" customWidth="1"/>
    <col min="15340" max="15340" width="11.625" style="1" customWidth="1"/>
    <col min="15341" max="15342" width="6.625" style="1" customWidth="1"/>
    <col min="15343" max="15343" width="10.625" style="1" customWidth="1"/>
    <col min="15344" max="15344" width="14.625" style="1" customWidth="1"/>
    <col min="15345" max="15345" width="10.625" style="1" customWidth="1"/>
    <col min="15346" max="15346" width="14.625" style="1" customWidth="1"/>
    <col min="15347" max="15347" width="10.625" style="1" customWidth="1"/>
    <col min="15348" max="15348" width="14.625" style="1" customWidth="1"/>
    <col min="15349" max="15349" width="10.625" style="1" customWidth="1"/>
    <col min="15350" max="15350" width="18.625" style="1" customWidth="1"/>
    <col min="15351" max="15351" width="9.625" style="1" customWidth="1"/>
    <col min="15352" max="15352" width="10.5" style="1" customWidth="1"/>
    <col min="15353" max="15353" width="20.375" style="1" bestFit="1" customWidth="1"/>
    <col min="15354" max="15354" width="12.5" style="1" customWidth="1"/>
    <col min="15355" max="15355" width="13.125" style="1" customWidth="1"/>
    <col min="15356" max="15360" width="9" style="1"/>
    <col min="15361" max="15361" width="11.25" style="1" bestFit="1" customWidth="1"/>
    <col min="15362" max="15362" width="11.625" style="1" bestFit="1" customWidth="1"/>
    <col min="15363" max="15593" width="9" style="1"/>
    <col min="15594" max="15594" width="4.625" style="1" customWidth="1"/>
    <col min="15595" max="15595" width="34.625" style="1" customWidth="1"/>
    <col min="15596" max="15596" width="11.625" style="1" customWidth="1"/>
    <col min="15597" max="15598" width="6.625" style="1" customWidth="1"/>
    <col min="15599" max="15599" width="10.625" style="1" customWidth="1"/>
    <col min="15600" max="15600" width="14.625" style="1" customWidth="1"/>
    <col min="15601" max="15601" width="10.625" style="1" customWidth="1"/>
    <col min="15602" max="15602" width="14.625" style="1" customWidth="1"/>
    <col min="15603" max="15603" width="10.625" style="1" customWidth="1"/>
    <col min="15604" max="15604" width="14.625" style="1" customWidth="1"/>
    <col min="15605" max="15605" width="10.625" style="1" customWidth="1"/>
    <col min="15606" max="15606" width="18.625" style="1" customWidth="1"/>
    <col min="15607" max="15607" width="9.625" style="1" customWidth="1"/>
    <col min="15608" max="15608" width="10.5" style="1" customWidth="1"/>
    <col min="15609" max="15609" width="20.375" style="1" bestFit="1" customWidth="1"/>
    <col min="15610" max="15610" width="12.5" style="1" customWidth="1"/>
    <col min="15611" max="15611" width="13.125" style="1" customWidth="1"/>
    <col min="15612" max="15616" width="9" style="1"/>
    <col min="15617" max="15617" width="11.25" style="1" bestFit="1" customWidth="1"/>
    <col min="15618" max="15618" width="11.625" style="1" bestFit="1" customWidth="1"/>
    <col min="15619" max="15849" width="9" style="1"/>
    <col min="15850" max="15850" width="4.625" style="1" customWidth="1"/>
    <col min="15851" max="15851" width="34.625" style="1" customWidth="1"/>
    <col min="15852" max="15852" width="11.625" style="1" customWidth="1"/>
    <col min="15853" max="15854" width="6.625" style="1" customWidth="1"/>
    <col min="15855" max="15855" width="10.625" style="1" customWidth="1"/>
    <col min="15856" max="15856" width="14.625" style="1" customWidth="1"/>
    <col min="15857" max="15857" width="10.625" style="1" customWidth="1"/>
    <col min="15858" max="15858" width="14.625" style="1" customWidth="1"/>
    <col min="15859" max="15859" width="10.625" style="1" customWidth="1"/>
    <col min="15860" max="15860" width="14.625" style="1" customWidth="1"/>
    <col min="15861" max="15861" width="10.625" style="1" customWidth="1"/>
    <col min="15862" max="15862" width="18.625" style="1" customWidth="1"/>
    <col min="15863" max="15863" width="9.625" style="1" customWidth="1"/>
    <col min="15864" max="15864" width="10.5" style="1" customWidth="1"/>
    <col min="15865" max="15865" width="20.375" style="1" bestFit="1" customWidth="1"/>
    <col min="15866" max="15866" width="12.5" style="1" customWidth="1"/>
    <col min="15867" max="15867" width="13.125" style="1" customWidth="1"/>
    <col min="15868" max="15872" width="9" style="1"/>
    <col min="15873" max="15873" width="11.25" style="1" bestFit="1" customWidth="1"/>
    <col min="15874" max="15874" width="11.625" style="1" bestFit="1" customWidth="1"/>
    <col min="15875" max="16105" width="9" style="1"/>
    <col min="16106" max="16106" width="4.625" style="1" customWidth="1"/>
    <col min="16107" max="16107" width="34.625" style="1" customWidth="1"/>
    <col min="16108" max="16108" width="11.625" style="1" customWidth="1"/>
    <col min="16109" max="16110" width="6.625" style="1" customWidth="1"/>
    <col min="16111" max="16111" width="10.625" style="1" customWidth="1"/>
    <col min="16112" max="16112" width="14.625" style="1" customWidth="1"/>
    <col min="16113" max="16113" width="10.625" style="1" customWidth="1"/>
    <col min="16114" max="16114" width="14.625" style="1" customWidth="1"/>
    <col min="16115" max="16115" width="10.625" style="1" customWidth="1"/>
    <col min="16116" max="16116" width="14.625" style="1" customWidth="1"/>
    <col min="16117" max="16117" width="10.625" style="1" customWidth="1"/>
    <col min="16118" max="16118" width="18.625" style="1" customWidth="1"/>
    <col min="16119" max="16119" width="9.625" style="1" customWidth="1"/>
    <col min="16120" max="16120" width="10.5" style="1" customWidth="1"/>
    <col min="16121" max="16121" width="20.375" style="1" bestFit="1" customWidth="1"/>
    <col min="16122" max="16122" width="12.5" style="1" customWidth="1"/>
    <col min="16123" max="16123" width="13.125" style="1" customWidth="1"/>
    <col min="16124" max="16128" width="9" style="1"/>
    <col min="16129" max="16129" width="11.25" style="1" bestFit="1" customWidth="1"/>
    <col min="16130" max="16130" width="11.625" style="1" bestFit="1" customWidth="1"/>
    <col min="16131" max="16384" width="9" style="1"/>
  </cols>
  <sheetData>
    <row r="1" spans="1:118" s="207" customFormat="1" ht="35.1" customHeight="1">
      <c r="A1" s="330" t="s">
        <v>401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</row>
    <row r="2" spans="1:118" ht="19.5" customHeight="1" thickBot="1">
      <c r="A2" s="331" t="s">
        <v>289</v>
      </c>
      <c r="B2" s="331"/>
      <c r="C2" s="331"/>
      <c r="D2" s="331"/>
      <c r="E2" s="331"/>
      <c r="F2" s="355"/>
      <c r="G2" s="355"/>
      <c r="H2" s="355"/>
      <c r="I2" s="355"/>
      <c r="J2" s="179"/>
      <c r="K2" s="179"/>
      <c r="L2" s="368" t="s">
        <v>433</v>
      </c>
      <c r="M2" s="368"/>
    </row>
    <row r="3" spans="1:118" ht="30" customHeight="1" thickBot="1">
      <c r="A3" s="121"/>
      <c r="B3" s="180" t="s">
        <v>56</v>
      </c>
      <c r="C3" s="181" t="s">
        <v>39</v>
      </c>
      <c r="D3" s="181" t="s">
        <v>38</v>
      </c>
      <c r="E3" s="181" t="s">
        <v>37</v>
      </c>
      <c r="F3" s="333" t="s">
        <v>177</v>
      </c>
      <c r="G3" s="334"/>
      <c r="H3" s="334"/>
      <c r="I3" s="334"/>
      <c r="J3" s="210" t="s">
        <v>179</v>
      </c>
      <c r="K3" s="210" t="s">
        <v>180</v>
      </c>
      <c r="L3" s="210" t="s">
        <v>181</v>
      </c>
      <c r="M3" s="211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</row>
    <row r="4" spans="1:118" ht="30" customHeight="1">
      <c r="A4" s="165" t="s">
        <v>54</v>
      </c>
      <c r="B4" s="44"/>
      <c r="C4" s="44"/>
      <c r="D4" s="44"/>
      <c r="E4" s="47"/>
      <c r="F4" s="335"/>
      <c r="G4" s="336"/>
      <c r="H4" s="336"/>
      <c r="I4" s="337"/>
      <c r="J4" s="48">
        <v>0</v>
      </c>
      <c r="K4" s="46">
        <f>'기성총괄표(2024용인_지성_예수금)'!M10</f>
        <v>209466104</v>
      </c>
      <c r="L4" s="212">
        <f>J4+K4</f>
        <v>209466104</v>
      </c>
      <c r="M4" s="166"/>
    </row>
    <row r="5" spans="1:118" s="3" customFormat="1" ht="30" customHeight="1">
      <c r="A5" s="127"/>
      <c r="B5" s="132"/>
      <c r="C5" s="129"/>
      <c r="D5" s="130"/>
      <c r="E5" s="128"/>
      <c r="F5" s="321"/>
      <c r="G5" s="322"/>
      <c r="H5" s="322"/>
      <c r="I5" s="323"/>
      <c r="J5" s="80"/>
      <c r="K5" s="80"/>
      <c r="L5" s="80"/>
      <c r="M5" s="8"/>
    </row>
    <row r="6" spans="1:118" s="3" customFormat="1" ht="30" customHeight="1">
      <c r="A6" s="127"/>
      <c r="B6" s="132"/>
      <c r="C6" s="129"/>
      <c r="D6" s="130"/>
      <c r="E6" s="128"/>
      <c r="F6" s="321"/>
      <c r="G6" s="322"/>
      <c r="H6" s="322"/>
      <c r="I6" s="323"/>
      <c r="J6" s="80"/>
      <c r="K6" s="80"/>
      <c r="L6" s="80"/>
      <c r="M6" s="8"/>
    </row>
    <row r="7" spans="1:118" s="3" customFormat="1" ht="30" customHeight="1" thickBot="1">
      <c r="A7" s="133"/>
      <c r="B7" s="134"/>
      <c r="C7" s="135"/>
      <c r="D7" s="62"/>
      <c r="E7" s="62"/>
      <c r="F7" s="324"/>
      <c r="G7" s="325"/>
      <c r="H7" s="325"/>
      <c r="I7" s="326"/>
      <c r="J7" s="23"/>
      <c r="K7" s="23"/>
      <c r="L7" s="23"/>
      <c r="M7" s="63"/>
    </row>
    <row r="8" spans="1:118" s="52" customFormat="1" ht="30" customHeight="1" thickBot="1">
      <c r="A8" s="136"/>
      <c r="B8" s="137" t="s">
        <v>46</v>
      </c>
      <c r="C8" s="138"/>
      <c r="D8" s="139"/>
      <c r="E8" s="138"/>
      <c r="F8" s="327"/>
      <c r="G8" s="328"/>
      <c r="H8" s="328"/>
      <c r="I8" s="329"/>
      <c r="J8" s="140">
        <f t="shared" ref="J8" si="0">SUM(J4:J7)</f>
        <v>0</v>
      </c>
      <c r="K8" s="140">
        <f>SUM(K4:K7)</f>
        <v>209466104</v>
      </c>
      <c r="L8" s="140">
        <f>SUM(L4:L7)</f>
        <v>209466104</v>
      </c>
      <c r="M8" s="141"/>
    </row>
    <row r="9" spans="1:118" s="92" customFormat="1" ht="30" customHeight="1">
      <c r="A9" s="142"/>
      <c r="B9" s="143" t="s">
        <v>1</v>
      </c>
      <c r="C9" s="82"/>
      <c r="D9" s="83"/>
      <c r="E9" s="84"/>
      <c r="F9" s="85"/>
      <c r="G9" s="213"/>
      <c r="H9" s="213"/>
      <c r="I9" s="213"/>
      <c r="J9" s="215"/>
      <c r="K9" s="216"/>
      <c r="L9" s="216"/>
      <c r="M9" s="90"/>
    </row>
    <row r="10" spans="1:118" s="3" customFormat="1" ht="30" customHeight="1">
      <c r="A10" s="144" t="s">
        <v>36</v>
      </c>
      <c r="B10" s="145" t="s">
        <v>61</v>
      </c>
      <c r="C10" s="6"/>
      <c r="D10" s="7">
        <v>1</v>
      </c>
      <c r="E10" s="6" t="s">
        <v>5</v>
      </c>
      <c r="F10" s="217"/>
      <c r="G10" s="27"/>
      <c r="H10" s="27"/>
      <c r="I10" s="27"/>
      <c r="J10" s="218">
        <v>0</v>
      </c>
      <c r="K10" s="30">
        <f>'기성총괄표(2024용인_지성_예수금)'!M12</f>
        <v>183124310</v>
      </c>
      <c r="L10" s="30">
        <f>J10+K10</f>
        <v>183124310</v>
      </c>
      <c r="M10" s="8"/>
    </row>
    <row r="11" spans="1:118" s="3" customFormat="1" ht="30" customHeight="1">
      <c r="A11" s="144" t="s">
        <v>34</v>
      </c>
      <c r="B11" s="146" t="s">
        <v>47</v>
      </c>
      <c r="C11" s="6"/>
      <c r="D11" s="31"/>
      <c r="E11" s="32"/>
      <c r="F11" s="217"/>
      <c r="G11" s="27"/>
      <c r="H11" s="27"/>
      <c r="I11" s="27"/>
      <c r="J11" s="218">
        <v>0</v>
      </c>
      <c r="K11" s="30">
        <f>'기성총괄표(2024용인_지성_예수금)'!M13</f>
        <v>15306451</v>
      </c>
      <c r="L11" s="30">
        <f t="shared" ref="L11:L35" si="1">J11+K11</f>
        <v>15306451</v>
      </c>
      <c r="M11" s="8"/>
    </row>
    <row r="12" spans="1:118" ht="30" customHeight="1">
      <c r="A12" s="126"/>
      <c r="B12" s="145" t="s">
        <v>42</v>
      </c>
      <c r="C12" s="33"/>
      <c r="D12" s="7">
        <v>1</v>
      </c>
      <c r="E12" s="6" t="s">
        <v>5</v>
      </c>
      <c r="F12" s="219"/>
      <c r="G12" s="220"/>
      <c r="H12" s="220"/>
      <c r="I12" s="220"/>
      <c r="J12" s="218">
        <v>0</v>
      </c>
      <c r="K12" s="30">
        <f>'기성총괄표(2024용인_지성_예수금)'!M14</f>
        <v>13509666</v>
      </c>
      <c r="L12" s="30">
        <f t="shared" si="1"/>
        <v>13509666</v>
      </c>
      <c r="M12" s="8"/>
    </row>
    <row r="13" spans="1:118" ht="30" customHeight="1">
      <c r="A13" s="126"/>
      <c r="B13" s="145" t="s">
        <v>43</v>
      </c>
      <c r="C13" s="35">
        <v>0.11600000000000001</v>
      </c>
      <c r="D13" s="7">
        <v>1</v>
      </c>
      <c r="E13" s="6" t="s">
        <v>5</v>
      </c>
      <c r="F13" s="219" t="s">
        <v>2</v>
      </c>
      <c r="G13" s="220"/>
      <c r="H13" s="220"/>
      <c r="I13" s="220"/>
      <c r="J13" s="218">
        <v>0</v>
      </c>
      <c r="K13" s="30">
        <f>'기성총괄표(2024용인_지성_예수금)'!M15</f>
        <v>1796785</v>
      </c>
      <c r="L13" s="30">
        <f t="shared" si="1"/>
        <v>1796785</v>
      </c>
      <c r="M13" s="8"/>
    </row>
    <row r="14" spans="1:118" ht="30" customHeight="1">
      <c r="A14" s="144" t="s">
        <v>35</v>
      </c>
      <c r="B14" s="146" t="s">
        <v>62</v>
      </c>
      <c r="C14" s="33"/>
      <c r="D14" s="7"/>
      <c r="E14" s="6"/>
      <c r="F14" s="219"/>
      <c r="G14" s="220"/>
      <c r="H14" s="220"/>
      <c r="I14" s="220"/>
      <c r="J14" s="218">
        <v>0</v>
      </c>
      <c r="K14" s="30">
        <f>'기성총괄표(2024용인_지성_예수금)'!M16</f>
        <v>21865723</v>
      </c>
      <c r="L14" s="30">
        <f t="shared" si="1"/>
        <v>21865723</v>
      </c>
      <c r="M14" s="8"/>
    </row>
    <row r="15" spans="1:118" ht="30" customHeight="1">
      <c r="A15" s="126"/>
      <c r="B15" s="145" t="s">
        <v>63</v>
      </c>
      <c r="C15" s="33"/>
      <c r="D15" s="7">
        <v>1</v>
      </c>
      <c r="E15" s="6" t="s">
        <v>5</v>
      </c>
      <c r="F15" s="219"/>
      <c r="G15" s="220"/>
      <c r="H15" s="220"/>
      <c r="I15" s="220"/>
      <c r="J15" s="218">
        <v>0</v>
      </c>
      <c r="K15" s="30">
        <f>'기성총괄표(2024용인_지성_예수금)'!M17</f>
        <v>12832128</v>
      </c>
      <c r="L15" s="30">
        <f t="shared" si="1"/>
        <v>12832128</v>
      </c>
      <c r="M15" s="8"/>
    </row>
    <row r="16" spans="1:118" ht="30" customHeight="1">
      <c r="A16" s="126"/>
      <c r="B16" s="145" t="s">
        <v>87</v>
      </c>
      <c r="C16" s="36"/>
      <c r="D16" s="7"/>
      <c r="E16" s="6"/>
      <c r="F16" s="219"/>
      <c r="G16" s="220"/>
      <c r="H16" s="220"/>
      <c r="I16" s="220"/>
      <c r="J16" s="218">
        <v>0</v>
      </c>
      <c r="K16" s="30">
        <f>'기성총괄표(2024용인_지성_예수금)'!M18</f>
        <v>0</v>
      </c>
      <c r="L16" s="30">
        <f t="shared" si="1"/>
        <v>0</v>
      </c>
      <c r="M16" s="49"/>
    </row>
    <row r="17" spans="1:13" ht="30" customHeight="1">
      <c r="A17" s="126"/>
      <c r="B17" s="146" t="s">
        <v>65</v>
      </c>
      <c r="C17" s="33">
        <v>3.56E-2</v>
      </c>
      <c r="D17" s="7">
        <v>1</v>
      </c>
      <c r="E17" s="6" t="s">
        <v>5</v>
      </c>
      <c r="F17" s="219" t="s">
        <v>66</v>
      </c>
      <c r="G17" s="220"/>
      <c r="H17" s="220"/>
      <c r="I17" s="220"/>
      <c r="J17" s="218">
        <v>0</v>
      </c>
      <c r="K17" s="30">
        <f>'기성총괄표(2024용인_지성_예수금)'!M19</f>
        <v>544909</v>
      </c>
      <c r="L17" s="30">
        <f t="shared" si="1"/>
        <v>544909</v>
      </c>
      <c r="M17" s="8"/>
    </row>
    <row r="18" spans="1:13" ht="30" customHeight="1">
      <c r="A18" s="126"/>
      <c r="B18" s="146" t="s">
        <v>67</v>
      </c>
      <c r="C18" s="33">
        <v>1.01E-2</v>
      </c>
      <c r="D18" s="7">
        <v>1</v>
      </c>
      <c r="E18" s="6" t="s">
        <v>5</v>
      </c>
      <c r="F18" s="219" t="s">
        <v>66</v>
      </c>
      <c r="G18" s="220"/>
      <c r="H18" s="220"/>
      <c r="I18" s="220"/>
      <c r="J18" s="218">
        <v>0</v>
      </c>
      <c r="K18" s="30">
        <f>'기성총괄표(2024용인_지성_예수금)'!M20</f>
        <v>154595</v>
      </c>
      <c r="L18" s="30">
        <f t="shared" si="1"/>
        <v>154595</v>
      </c>
      <c r="M18" s="8"/>
    </row>
    <row r="19" spans="1:13" ht="30" customHeight="1">
      <c r="A19" s="126"/>
      <c r="B19" s="146" t="s">
        <v>68</v>
      </c>
      <c r="C19" s="33">
        <v>4.4999999999999998E-2</v>
      </c>
      <c r="D19" s="7">
        <v>1</v>
      </c>
      <c r="E19" s="6" t="s">
        <v>5</v>
      </c>
      <c r="F19" s="219" t="s">
        <v>2</v>
      </c>
      <c r="G19" s="220"/>
      <c r="H19" s="220"/>
      <c r="I19" s="220"/>
      <c r="J19" s="218">
        <v>0</v>
      </c>
      <c r="K19" s="30">
        <f>'기성총괄표(2024용인_지성_예수금)'!M21</f>
        <v>0</v>
      </c>
      <c r="L19" s="30">
        <f t="shared" si="1"/>
        <v>0</v>
      </c>
      <c r="M19" s="54" t="s">
        <v>64</v>
      </c>
    </row>
    <row r="20" spans="1:13" ht="30" customHeight="1">
      <c r="A20" s="126"/>
      <c r="B20" s="146" t="s">
        <v>70</v>
      </c>
      <c r="C20" s="172">
        <v>3.5450000000000002E-2</v>
      </c>
      <c r="D20" s="7">
        <v>1</v>
      </c>
      <c r="E20" s="6" t="s">
        <v>5</v>
      </c>
      <c r="F20" s="219" t="s">
        <v>2</v>
      </c>
      <c r="G20" s="220"/>
      <c r="H20" s="220"/>
      <c r="I20" s="220"/>
      <c r="J20" s="218">
        <v>0</v>
      </c>
      <c r="K20" s="30">
        <f>'기성총괄표(2024용인_지성_예수금)'!M22</f>
        <v>0</v>
      </c>
      <c r="L20" s="30">
        <f t="shared" si="1"/>
        <v>0</v>
      </c>
      <c r="M20" s="54" t="s">
        <v>64</v>
      </c>
    </row>
    <row r="21" spans="1:13" ht="30" customHeight="1">
      <c r="A21" s="126"/>
      <c r="B21" s="146" t="s">
        <v>71</v>
      </c>
      <c r="C21" s="33">
        <v>0.1295</v>
      </c>
      <c r="D21" s="7">
        <v>1</v>
      </c>
      <c r="E21" s="6" t="s">
        <v>5</v>
      </c>
      <c r="F21" s="219" t="s">
        <v>72</v>
      </c>
      <c r="G21" s="220"/>
      <c r="H21" s="220"/>
      <c r="I21" s="220"/>
      <c r="J21" s="218">
        <v>0</v>
      </c>
      <c r="K21" s="30">
        <f>'기성총괄표(2024용인_지성_예수금)'!M23</f>
        <v>0</v>
      </c>
      <c r="L21" s="30">
        <f t="shared" si="1"/>
        <v>0</v>
      </c>
      <c r="M21" s="54" t="s">
        <v>64</v>
      </c>
    </row>
    <row r="22" spans="1:13" ht="30" customHeight="1">
      <c r="A22" s="126"/>
      <c r="B22" s="145" t="s">
        <v>88</v>
      </c>
      <c r="C22" s="35">
        <v>2.3E-2</v>
      </c>
      <c r="D22" s="7">
        <v>1</v>
      </c>
      <c r="E22" s="6" t="s">
        <v>5</v>
      </c>
      <c r="F22" s="219" t="s">
        <v>204</v>
      </c>
      <c r="G22" s="220"/>
      <c r="H22" s="220"/>
      <c r="I22" s="220"/>
      <c r="J22" s="218">
        <v>0</v>
      </c>
      <c r="K22" s="30">
        <f>'기성총괄표(2024용인_지성_예수금)'!M24</f>
        <v>0</v>
      </c>
      <c r="L22" s="30">
        <f t="shared" si="1"/>
        <v>0</v>
      </c>
      <c r="M22" s="54" t="s">
        <v>64</v>
      </c>
    </row>
    <row r="23" spans="1:13" s="52" customFormat="1" ht="30" customHeight="1">
      <c r="A23" s="126"/>
      <c r="B23" s="145" t="s">
        <v>89</v>
      </c>
      <c r="C23" s="33">
        <v>1.9900000000000001E-2</v>
      </c>
      <c r="D23" s="7">
        <v>1</v>
      </c>
      <c r="E23" s="6" t="s">
        <v>5</v>
      </c>
      <c r="F23" s="153" t="s">
        <v>206</v>
      </c>
      <c r="G23" s="222"/>
      <c r="H23" s="222"/>
      <c r="I23" s="222"/>
      <c r="J23" s="218">
        <v>0</v>
      </c>
      <c r="K23" s="30">
        <f>'기성총괄표(2024용인_지성_예수금)'!M25</f>
        <v>0</v>
      </c>
      <c r="L23" s="30">
        <f t="shared" si="1"/>
        <v>0</v>
      </c>
      <c r="M23" s="54" t="s">
        <v>64</v>
      </c>
    </row>
    <row r="24" spans="1:13" ht="30" customHeight="1">
      <c r="A24" s="126"/>
      <c r="B24" s="145" t="s">
        <v>90</v>
      </c>
      <c r="C24" s="35">
        <v>4.8000000000000001E-2</v>
      </c>
      <c r="D24" s="7">
        <v>1</v>
      </c>
      <c r="E24" s="6" t="s">
        <v>5</v>
      </c>
      <c r="F24" s="219" t="s">
        <v>73</v>
      </c>
      <c r="G24" s="220"/>
      <c r="H24" s="220"/>
      <c r="I24" s="220"/>
      <c r="J24" s="218">
        <v>0</v>
      </c>
      <c r="K24" s="30">
        <f>'기성총괄표(2024용인_지성_예수금)'!M26</f>
        <v>8334091</v>
      </c>
      <c r="L24" s="30">
        <f t="shared" si="1"/>
        <v>8334091</v>
      </c>
      <c r="M24" s="8"/>
    </row>
    <row r="25" spans="1:13" ht="30" customHeight="1">
      <c r="A25" s="126"/>
      <c r="B25" s="145" t="s">
        <v>91</v>
      </c>
      <c r="C25" s="35">
        <v>5.0000000000000001E-3</v>
      </c>
      <c r="D25" s="7">
        <v>1</v>
      </c>
      <c r="E25" s="6" t="s">
        <v>5</v>
      </c>
      <c r="F25" s="219" t="s">
        <v>74</v>
      </c>
      <c r="G25" s="220"/>
      <c r="H25" s="220"/>
      <c r="I25" s="220"/>
      <c r="J25" s="218">
        <v>0</v>
      </c>
      <c r="K25" s="30">
        <f>'기성총괄표(2024용인_지성_예수금)'!M27</f>
        <v>0</v>
      </c>
      <c r="L25" s="30">
        <f t="shared" si="1"/>
        <v>0</v>
      </c>
      <c r="M25" s="49" t="s">
        <v>64</v>
      </c>
    </row>
    <row r="26" spans="1:13" ht="30" customHeight="1">
      <c r="A26" s="148"/>
      <c r="B26" s="149" t="s">
        <v>92</v>
      </c>
      <c r="C26" s="150"/>
      <c r="D26" s="64"/>
      <c r="E26" s="61"/>
      <c r="F26" s="219"/>
      <c r="G26" s="220"/>
      <c r="H26" s="220"/>
      <c r="I26" s="220"/>
      <c r="J26" s="218">
        <v>0</v>
      </c>
      <c r="K26" s="30">
        <f>'기성총괄표(2024용인_지성_예수금)'!M28</f>
        <v>0</v>
      </c>
      <c r="L26" s="30">
        <f t="shared" si="1"/>
        <v>0</v>
      </c>
      <c r="M26" s="151"/>
    </row>
    <row r="27" spans="1:13" ht="30" customHeight="1">
      <c r="A27" s="148"/>
      <c r="B27" s="146" t="s">
        <v>75</v>
      </c>
      <c r="C27" s="152">
        <v>8.0999999999999996E-4</v>
      </c>
      <c r="D27" s="64">
        <v>1</v>
      </c>
      <c r="E27" s="61" t="s">
        <v>5</v>
      </c>
      <c r="F27" s="219" t="s">
        <v>74</v>
      </c>
      <c r="G27" s="220"/>
      <c r="H27" s="220"/>
      <c r="I27" s="220"/>
      <c r="J27" s="218">
        <v>0</v>
      </c>
      <c r="K27" s="30">
        <f>'기성총괄표(2024용인_지성_예수금)'!M29</f>
        <v>0</v>
      </c>
      <c r="L27" s="30">
        <f t="shared" si="1"/>
        <v>0</v>
      </c>
      <c r="M27" s="151" t="s">
        <v>64</v>
      </c>
    </row>
    <row r="28" spans="1:13" ht="30" customHeight="1">
      <c r="A28" s="126"/>
      <c r="B28" s="146" t="s">
        <v>76</v>
      </c>
      <c r="C28" s="33">
        <v>3.2000000000000002E-3</v>
      </c>
      <c r="D28" s="7">
        <v>1</v>
      </c>
      <c r="E28" s="6" t="s">
        <v>5</v>
      </c>
      <c r="F28" s="219" t="s">
        <v>74</v>
      </c>
      <c r="G28" s="220"/>
      <c r="H28" s="220"/>
      <c r="I28" s="220"/>
      <c r="J28" s="218">
        <v>0</v>
      </c>
      <c r="K28" s="30">
        <f>'기성총괄표(2024용인_지성_예수금)'!M30</f>
        <v>0</v>
      </c>
      <c r="L28" s="30">
        <f t="shared" si="1"/>
        <v>0</v>
      </c>
      <c r="M28" s="49" t="s">
        <v>64</v>
      </c>
    </row>
    <row r="29" spans="1:13" s="57" customFormat="1" ht="30" customHeight="1">
      <c r="A29" s="154"/>
      <c r="B29" s="155" t="s">
        <v>77</v>
      </c>
      <c r="C29" s="75"/>
      <c r="D29" s="76"/>
      <c r="E29" s="75"/>
      <c r="F29" s="224"/>
      <c r="G29" s="225"/>
      <c r="H29" s="225"/>
      <c r="I29" s="225"/>
      <c r="J29" s="227">
        <v>0</v>
      </c>
      <c r="K29" s="228">
        <f>'기성총괄표(2024용인_지성_예수금)'!M31</f>
        <v>220296484</v>
      </c>
      <c r="L29" s="228">
        <f t="shared" si="1"/>
        <v>220296484</v>
      </c>
      <c r="M29" s="81"/>
    </row>
    <row r="30" spans="1:13" ht="30" customHeight="1">
      <c r="A30" s="144" t="s">
        <v>78</v>
      </c>
      <c r="B30" s="146" t="s">
        <v>79</v>
      </c>
      <c r="C30" s="35">
        <v>0.04</v>
      </c>
      <c r="D30" s="7">
        <v>1</v>
      </c>
      <c r="E30" s="6" t="s">
        <v>5</v>
      </c>
      <c r="F30" s="219" t="s">
        <v>80</v>
      </c>
      <c r="G30" s="220"/>
      <c r="H30" s="220"/>
      <c r="I30" s="220"/>
      <c r="J30" s="218">
        <v>0</v>
      </c>
      <c r="K30" s="30">
        <f>'기성총괄표(2024용인_지성_예수금)'!M32</f>
        <v>7710376</v>
      </c>
      <c r="L30" s="30">
        <f t="shared" si="1"/>
        <v>7710376</v>
      </c>
      <c r="M30" s="8"/>
    </row>
    <row r="31" spans="1:13" ht="30" customHeight="1">
      <c r="A31" s="144" t="s">
        <v>81</v>
      </c>
      <c r="B31" s="146" t="s">
        <v>82</v>
      </c>
      <c r="C31" s="35">
        <v>0.05</v>
      </c>
      <c r="D31" s="7">
        <v>1</v>
      </c>
      <c r="E31" s="6" t="s">
        <v>5</v>
      </c>
      <c r="F31" s="219" t="s">
        <v>83</v>
      </c>
      <c r="G31" s="220"/>
      <c r="H31" s="220"/>
      <c r="I31" s="220"/>
      <c r="J31" s="218">
        <v>0</v>
      </c>
      <c r="K31" s="30">
        <f>'기성총괄표(2024용인_지성_예수금)'!M33</f>
        <v>1923140</v>
      </c>
      <c r="L31" s="30">
        <f t="shared" si="1"/>
        <v>1923140</v>
      </c>
      <c r="M31" s="49"/>
    </row>
    <row r="32" spans="1:13" s="57" customFormat="1" ht="30" customHeight="1">
      <c r="A32" s="154"/>
      <c r="B32" s="155" t="s">
        <v>85</v>
      </c>
      <c r="C32" s="75"/>
      <c r="D32" s="76"/>
      <c r="E32" s="75"/>
      <c r="F32" s="224"/>
      <c r="G32" s="225"/>
      <c r="H32" s="225"/>
      <c r="I32" s="225"/>
      <c r="J32" s="227">
        <v>0</v>
      </c>
      <c r="K32" s="228">
        <f>'기성총괄표(2024용인_지성_예수금)'!M34</f>
        <v>229930000</v>
      </c>
      <c r="L32" s="228">
        <f t="shared" si="1"/>
        <v>229930000</v>
      </c>
      <c r="M32" s="81"/>
    </row>
    <row r="33" spans="1:118" s="57" customFormat="1" ht="30" customHeight="1">
      <c r="A33" s="229"/>
      <c r="B33" s="230" t="s">
        <v>86</v>
      </c>
      <c r="C33" s="231"/>
      <c r="D33" s="232"/>
      <c r="E33" s="231"/>
      <c r="F33" s="224"/>
      <c r="G33" s="225"/>
      <c r="H33" s="225"/>
      <c r="I33" s="225"/>
      <c r="J33" s="227">
        <v>0</v>
      </c>
      <c r="K33" s="228">
        <f>'기성총괄표(2024용인_지성_예수금)'!M35</f>
        <v>229930000</v>
      </c>
      <c r="L33" s="228">
        <f t="shared" si="1"/>
        <v>229930000</v>
      </c>
      <c r="M33" s="233"/>
    </row>
    <row r="34" spans="1:118" s="57" customFormat="1" ht="30" customHeight="1">
      <c r="A34" s="154"/>
      <c r="B34" s="155" t="s">
        <v>146</v>
      </c>
      <c r="C34" s="75"/>
      <c r="D34" s="76"/>
      <c r="E34" s="75"/>
      <c r="F34" s="224"/>
      <c r="G34" s="225"/>
      <c r="H34" s="225"/>
      <c r="I34" s="225"/>
      <c r="J34" s="227">
        <v>0</v>
      </c>
      <c r="K34" s="228">
        <f>'기성총괄표(2024용인_지성_예수금)'!M36</f>
        <v>22993000</v>
      </c>
      <c r="L34" s="228">
        <f t="shared" si="1"/>
        <v>22993000</v>
      </c>
      <c r="M34" s="81"/>
    </row>
    <row r="35" spans="1:118" s="57" customFormat="1" ht="30" customHeight="1" thickBot="1">
      <c r="A35" s="156"/>
      <c r="B35" s="157" t="s">
        <v>152</v>
      </c>
      <c r="C35" s="158"/>
      <c r="D35" s="159"/>
      <c r="E35" s="158"/>
      <c r="F35" s="234"/>
      <c r="G35" s="235"/>
      <c r="H35" s="235"/>
      <c r="I35" s="235"/>
      <c r="J35" s="237">
        <v>0</v>
      </c>
      <c r="K35" s="228">
        <f>'기성총괄표(2024용인_지성_예수금)'!M37</f>
        <v>252923000</v>
      </c>
      <c r="L35" s="238">
        <f t="shared" si="1"/>
        <v>252923000</v>
      </c>
      <c r="M35" s="164"/>
    </row>
    <row r="36" spans="1:118" s="2" customFormat="1" ht="33" customHeight="1">
      <c r="A36" s="1"/>
      <c r="B36" s="1"/>
      <c r="D36" s="38"/>
      <c r="E36" s="5"/>
      <c r="F36" s="39"/>
      <c r="G36" s="38"/>
      <c r="H36" s="40"/>
      <c r="I36" s="38"/>
      <c r="J36" s="38"/>
      <c r="K36" s="40"/>
      <c r="L36" s="40"/>
      <c r="M36" s="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</row>
    <row r="37" spans="1:118" s="2" customFormat="1" ht="30" customHeight="1">
      <c r="A37" s="1"/>
      <c r="B37" s="1"/>
      <c r="D37" s="38"/>
      <c r="E37" s="5"/>
      <c r="F37" s="39"/>
      <c r="G37" s="38"/>
      <c r="H37" s="40"/>
      <c r="I37" s="38"/>
      <c r="J37" s="38"/>
      <c r="K37" s="40"/>
      <c r="L37" s="40"/>
      <c r="M37" s="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</row>
    <row r="41" spans="1:118" s="2" customFormat="1" ht="34.700000000000003" customHeight="1">
      <c r="A41" s="1"/>
      <c r="B41" s="1"/>
      <c r="D41" s="38"/>
      <c r="E41" s="5"/>
      <c r="F41" s="39"/>
      <c r="G41" s="38"/>
      <c r="H41" s="40"/>
      <c r="I41" s="38"/>
      <c r="J41" s="38"/>
      <c r="K41" s="40"/>
      <c r="L41" s="40"/>
      <c r="M41" s="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</row>
  </sheetData>
  <mergeCells count="10">
    <mergeCell ref="F5:I5"/>
    <mergeCell ref="F6:I6"/>
    <mergeCell ref="F7:I7"/>
    <mergeCell ref="F8:I8"/>
    <mergeCell ref="A1:M1"/>
    <mergeCell ref="A2:E2"/>
    <mergeCell ref="F2:I2"/>
    <mergeCell ref="L2:M2"/>
    <mergeCell ref="F3:I3"/>
    <mergeCell ref="F4:I4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r:id="rId1"/>
  <headerFooter alignWithMargins="0">
    <oddFooter>&amp;C&amp;"굴림체,보통"한 국 지 역 난 방 공 사&amp;R- &amp;P -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CCFF"/>
  </sheetPr>
  <dimension ref="A1:DS45"/>
  <sheetViews>
    <sheetView view="pageBreakPreview" topLeftCell="A22" zoomScale="85" zoomScaleNormal="85" zoomScaleSheetLayoutView="85" workbookViewId="0">
      <selection activeCell="R34" sqref="R34"/>
    </sheetView>
  </sheetViews>
  <sheetFormatPr defaultRowHeight="34.700000000000003" customHeight="1"/>
  <cols>
    <col min="1" max="1" width="4.625" style="1" customWidth="1"/>
    <col min="2" max="2" width="34.625" style="1" customWidth="1"/>
    <col min="3" max="3" width="11.625" style="2" customWidth="1"/>
    <col min="4" max="4" width="6.625" style="38" customWidth="1"/>
    <col min="5" max="5" width="6.625" style="5" customWidth="1"/>
    <col min="6" max="6" width="10.625" style="39" customWidth="1"/>
    <col min="7" max="7" width="16.5" style="38" bestFit="1" customWidth="1"/>
    <col min="8" max="8" width="10.625" style="40" customWidth="1"/>
    <col min="9" max="9" width="14.625" style="38" customWidth="1"/>
    <col min="10" max="10" width="10.625" style="40" customWidth="1"/>
    <col min="11" max="11" width="14.625" style="38" customWidth="1"/>
    <col min="12" max="12" width="10.625" style="40" customWidth="1"/>
    <col min="13" max="13" width="18.625" style="40" customWidth="1"/>
    <col min="14" max="14" width="13" style="5" bestFit="1" customWidth="1"/>
    <col min="15" max="15" width="10.5" style="5" customWidth="1"/>
    <col min="16" max="16" width="20" style="1" customWidth="1"/>
    <col min="17" max="238" width="9" style="1"/>
    <col min="239" max="239" width="4.625" style="1" customWidth="1"/>
    <col min="240" max="240" width="34.625" style="1" customWidth="1"/>
    <col min="241" max="241" width="11.625" style="1" customWidth="1"/>
    <col min="242" max="243" width="6.625" style="1" customWidth="1"/>
    <col min="244" max="244" width="10.625" style="1" customWidth="1"/>
    <col min="245" max="245" width="14.625" style="1" customWidth="1"/>
    <col min="246" max="246" width="10.625" style="1" customWidth="1"/>
    <col min="247" max="247" width="14.625" style="1" customWidth="1"/>
    <col min="248" max="248" width="10.625" style="1" customWidth="1"/>
    <col min="249" max="249" width="14.625" style="1" customWidth="1"/>
    <col min="250" max="250" width="10.625" style="1" customWidth="1"/>
    <col min="251" max="251" width="18.625" style="1" customWidth="1"/>
    <col min="252" max="252" width="9.625" style="1" customWidth="1"/>
    <col min="253" max="253" width="10.5" style="1" customWidth="1"/>
    <col min="254" max="254" width="20.375" style="1" bestFit="1" customWidth="1"/>
    <col min="255" max="255" width="12.5" style="1" customWidth="1"/>
    <col min="256" max="256" width="13.125" style="1" customWidth="1"/>
    <col min="257" max="261" width="9" style="1"/>
    <col min="262" max="262" width="11.25" style="1" bestFit="1" customWidth="1"/>
    <col min="263" max="263" width="11.625" style="1" bestFit="1" customWidth="1"/>
    <col min="264" max="494" width="9" style="1"/>
    <col min="495" max="495" width="4.625" style="1" customWidth="1"/>
    <col min="496" max="496" width="34.625" style="1" customWidth="1"/>
    <col min="497" max="497" width="11.625" style="1" customWidth="1"/>
    <col min="498" max="499" width="6.625" style="1" customWidth="1"/>
    <col min="500" max="500" width="10.625" style="1" customWidth="1"/>
    <col min="501" max="501" width="14.625" style="1" customWidth="1"/>
    <col min="502" max="502" width="10.625" style="1" customWidth="1"/>
    <col min="503" max="503" width="14.625" style="1" customWidth="1"/>
    <col min="504" max="504" width="10.625" style="1" customWidth="1"/>
    <col min="505" max="505" width="14.625" style="1" customWidth="1"/>
    <col min="506" max="506" width="10.625" style="1" customWidth="1"/>
    <col min="507" max="507" width="18.625" style="1" customWidth="1"/>
    <col min="508" max="508" width="9.625" style="1" customWidth="1"/>
    <col min="509" max="509" width="10.5" style="1" customWidth="1"/>
    <col min="510" max="510" width="20.375" style="1" bestFit="1" customWidth="1"/>
    <col min="511" max="511" width="12.5" style="1" customWidth="1"/>
    <col min="512" max="512" width="13.125" style="1" customWidth="1"/>
    <col min="513" max="517" width="9" style="1"/>
    <col min="518" max="518" width="11.25" style="1" bestFit="1" customWidth="1"/>
    <col min="519" max="519" width="11.625" style="1" bestFit="1" customWidth="1"/>
    <col min="520" max="750" width="9" style="1"/>
    <col min="751" max="751" width="4.625" style="1" customWidth="1"/>
    <col min="752" max="752" width="34.625" style="1" customWidth="1"/>
    <col min="753" max="753" width="11.625" style="1" customWidth="1"/>
    <col min="754" max="755" width="6.625" style="1" customWidth="1"/>
    <col min="756" max="756" width="10.625" style="1" customWidth="1"/>
    <col min="757" max="757" width="14.625" style="1" customWidth="1"/>
    <col min="758" max="758" width="10.625" style="1" customWidth="1"/>
    <col min="759" max="759" width="14.625" style="1" customWidth="1"/>
    <col min="760" max="760" width="10.625" style="1" customWidth="1"/>
    <col min="761" max="761" width="14.625" style="1" customWidth="1"/>
    <col min="762" max="762" width="10.625" style="1" customWidth="1"/>
    <col min="763" max="763" width="18.625" style="1" customWidth="1"/>
    <col min="764" max="764" width="9.625" style="1" customWidth="1"/>
    <col min="765" max="765" width="10.5" style="1" customWidth="1"/>
    <col min="766" max="766" width="20.375" style="1" bestFit="1" customWidth="1"/>
    <col min="767" max="767" width="12.5" style="1" customWidth="1"/>
    <col min="768" max="768" width="13.125" style="1" customWidth="1"/>
    <col min="769" max="773" width="9" style="1"/>
    <col min="774" max="774" width="11.25" style="1" bestFit="1" customWidth="1"/>
    <col min="775" max="775" width="11.625" style="1" bestFit="1" customWidth="1"/>
    <col min="776" max="1006" width="9" style="1"/>
    <col min="1007" max="1007" width="4.625" style="1" customWidth="1"/>
    <col min="1008" max="1008" width="34.625" style="1" customWidth="1"/>
    <col min="1009" max="1009" width="11.625" style="1" customWidth="1"/>
    <col min="1010" max="1011" width="6.625" style="1" customWidth="1"/>
    <col min="1012" max="1012" width="10.625" style="1" customWidth="1"/>
    <col min="1013" max="1013" width="14.625" style="1" customWidth="1"/>
    <col min="1014" max="1014" width="10.625" style="1" customWidth="1"/>
    <col min="1015" max="1015" width="14.625" style="1" customWidth="1"/>
    <col min="1016" max="1016" width="10.625" style="1" customWidth="1"/>
    <col min="1017" max="1017" width="14.625" style="1" customWidth="1"/>
    <col min="1018" max="1018" width="10.625" style="1" customWidth="1"/>
    <col min="1019" max="1019" width="18.625" style="1" customWidth="1"/>
    <col min="1020" max="1020" width="9.625" style="1" customWidth="1"/>
    <col min="1021" max="1021" width="10.5" style="1" customWidth="1"/>
    <col min="1022" max="1022" width="20.375" style="1" bestFit="1" customWidth="1"/>
    <col min="1023" max="1023" width="12.5" style="1" customWidth="1"/>
    <col min="1024" max="1024" width="13.125" style="1" customWidth="1"/>
    <col min="1025" max="1029" width="9" style="1"/>
    <col min="1030" max="1030" width="11.25" style="1" bestFit="1" customWidth="1"/>
    <col min="1031" max="1031" width="11.625" style="1" bestFit="1" customWidth="1"/>
    <col min="1032" max="1262" width="9" style="1"/>
    <col min="1263" max="1263" width="4.625" style="1" customWidth="1"/>
    <col min="1264" max="1264" width="34.625" style="1" customWidth="1"/>
    <col min="1265" max="1265" width="11.625" style="1" customWidth="1"/>
    <col min="1266" max="1267" width="6.625" style="1" customWidth="1"/>
    <col min="1268" max="1268" width="10.625" style="1" customWidth="1"/>
    <col min="1269" max="1269" width="14.625" style="1" customWidth="1"/>
    <col min="1270" max="1270" width="10.625" style="1" customWidth="1"/>
    <col min="1271" max="1271" width="14.625" style="1" customWidth="1"/>
    <col min="1272" max="1272" width="10.625" style="1" customWidth="1"/>
    <col min="1273" max="1273" width="14.625" style="1" customWidth="1"/>
    <col min="1274" max="1274" width="10.625" style="1" customWidth="1"/>
    <col min="1275" max="1275" width="18.625" style="1" customWidth="1"/>
    <col min="1276" max="1276" width="9.625" style="1" customWidth="1"/>
    <col min="1277" max="1277" width="10.5" style="1" customWidth="1"/>
    <col min="1278" max="1278" width="20.375" style="1" bestFit="1" customWidth="1"/>
    <col min="1279" max="1279" width="12.5" style="1" customWidth="1"/>
    <col min="1280" max="1280" width="13.125" style="1" customWidth="1"/>
    <col min="1281" max="1285" width="9" style="1"/>
    <col min="1286" max="1286" width="11.25" style="1" bestFit="1" customWidth="1"/>
    <col min="1287" max="1287" width="11.625" style="1" bestFit="1" customWidth="1"/>
    <col min="1288" max="1518" width="9" style="1"/>
    <col min="1519" max="1519" width="4.625" style="1" customWidth="1"/>
    <col min="1520" max="1520" width="34.625" style="1" customWidth="1"/>
    <col min="1521" max="1521" width="11.625" style="1" customWidth="1"/>
    <col min="1522" max="1523" width="6.625" style="1" customWidth="1"/>
    <col min="1524" max="1524" width="10.625" style="1" customWidth="1"/>
    <col min="1525" max="1525" width="14.625" style="1" customWidth="1"/>
    <col min="1526" max="1526" width="10.625" style="1" customWidth="1"/>
    <col min="1527" max="1527" width="14.625" style="1" customWidth="1"/>
    <col min="1528" max="1528" width="10.625" style="1" customWidth="1"/>
    <col min="1529" max="1529" width="14.625" style="1" customWidth="1"/>
    <col min="1530" max="1530" width="10.625" style="1" customWidth="1"/>
    <col min="1531" max="1531" width="18.625" style="1" customWidth="1"/>
    <col min="1532" max="1532" width="9.625" style="1" customWidth="1"/>
    <col min="1533" max="1533" width="10.5" style="1" customWidth="1"/>
    <col min="1534" max="1534" width="20.375" style="1" bestFit="1" customWidth="1"/>
    <col min="1535" max="1535" width="12.5" style="1" customWidth="1"/>
    <col min="1536" max="1536" width="13.125" style="1" customWidth="1"/>
    <col min="1537" max="1541" width="9" style="1"/>
    <col min="1542" max="1542" width="11.25" style="1" bestFit="1" customWidth="1"/>
    <col min="1543" max="1543" width="11.625" style="1" bestFit="1" customWidth="1"/>
    <col min="1544" max="1774" width="9" style="1"/>
    <col min="1775" max="1775" width="4.625" style="1" customWidth="1"/>
    <col min="1776" max="1776" width="34.625" style="1" customWidth="1"/>
    <col min="1777" max="1777" width="11.625" style="1" customWidth="1"/>
    <col min="1778" max="1779" width="6.625" style="1" customWidth="1"/>
    <col min="1780" max="1780" width="10.625" style="1" customWidth="1"/>
    <col min="1781" max="1781" width="14.625" style="1" customWidth="1"/>
    <col min="1782" max="1782" width="10.625" style="1" customWidth="1"/>
    <col min="1783" max="1783" width="14.625" style="1" customWidth="1"/>
    <col min="1784" max="1784" width="10.625" style="1" customWidth="1"/>
    <col min="1785" max="1785" width="14.625" style="1" customWidth="1"/>
    <col min="1786" max="1786" width="10.625" style="1" customWidth="1"/>
    <col min="1787" max="1787" width="18.625" style="1" customWidth="1"/>
    <col min="1788" max="1788" width="9.625" style="1" customWidth="1"/>
    <col min="1789" max="1789" width="10.5" style="1" customWidth="1"/>
    <col min="1790" max="1790" width="20.375" style="1" bestFit="1" customWidth="1"/>
    <col min="1791" max="1791" width="12.5" style="1" customWidth="1"/>
    <col min="1792" max="1792" width="13.125" style="1" customWidth="1"/>
    <col min="1793" max="1797" width="9" style="1"/>
    <col min="1798" max="1798" width="11.25" style="1" bestFit="1" customWidth="1"/>
    <col min="1799" max="1799" width="11.625" style="1" bestFit="1" customWidth="1"/>
    <col min="1800" max="2030" width="9" style="1"/>
    <col min="2031" max="2031" width="4.625" style="1" customWidth="1"/>
    <col min="2032" max="2032" width="34.625" style="1" customWidth="1"/>
    <col min="2033" max="2033" width="11.625" style="1" customWidth="1"/>
    <col min="2034" max="2035" width="6.625" style="1" customWidth="1"/>
    <col min="2036" max="2036" width="10.625" style="1" customWidth="1"/>
    <col min="2037" max="2037" width="14.625" style="1" customWidth="1"/>
    <col min="2038" max="2038" width="10.625" style="1" customWidth="1"/>
    <col min="2039" max="2039" width="14.625" style="1" customWidth="1"/>
    <col min="2040" max="2040" width="10.625" style="1" customWidth="1"/>
    <col min="2041" max="2041" width="14.625" style="1" customWidth="1"/>
    <col min="2042" max="2042" width="10.625" style="1" customWidth="1"/>
    <col min="2043" max="2043" width="18.625" style="1" customWidth="1"/>
    <col min="2044" max="2044" width="9.625" style="1" customWidth="1"/>
    <col min="2045" max="2045" width="10.5" style="1" customWidth="1"/>
    <col min="2046" max="2046" width="20.375" style="1" bestFit="1" customWidth="1"/>
    <col min="2047" max="2047" width="12.5" style="1" customWidth="1"/>
    <col min="2048" max="2048" width="13.125" style="1" customWidth="1"/>
    <col min="2049" max="2053" width="9" style="1"/>
    <col min="2054" max="2054" width="11.25" style="1" bestFit="1" customWidth="1"/>
    <col min="2055" max="2055" width="11.625" style="1" bestFit="1" customWidth="1"/>
    <col min="2056" max="2286" width="9" style="1"/>
    <col min="2287" max="2287" width="4.625" style="1" customWidth="1"/>
    <col min="2288" max="2288" width="34.625" style="1" customWidth="1"/>
    <col min="2289" max="2289" width="11.625" style="1" customWidth="1"/>
    <col min="2290" max="2291" width="6.625" style="1" customWidth="1"/>
    <col min="2292" max="2292" width="10.625" style="1" customWidth="1"/>
    <col min="2293" max="2293" width="14.625" style="1" customWidth="1"/>
    <col min="2294" max="2294" width="10.625" style="1" customWidth="1"/>
    <col min="2295" max="2295" width="14.625" style="1" customWidth="1"/>
    <col min="2296" max="2296" width="10.625" style="1" customWidth="1"/>
    <col min="2297" max="2297" width="14.625" style="1" customWidth="1"/>
    <col min="2298" max="2298" width="10.625" style="1" customWidth="1"/>
    <col min="2299" max="2299" width="18.625" style="1" customWidth="1"/>
    <col min="2300" max="2300" width="9.625" style="1" customWidth="1"/>
    <col min="2301" max="2301" width="10.5" style="1" customWidth="1"/>
    <col min="2302" max="2302" width="20.375" style="1" bestFit="1" customWidth="1"/>
    <col min="2303" max="2303" width="12.5" style="1" customWidth="1"/>
    <col min="2304" max="2304" width="13.125" style="1" customWidth="1"/>
    <col min="2305" max="2309" width="9" style="1"/>
    <col min="2310" max="2310" width="11.25" style="1" bestFit="1" customWidth="1"/>
    <col min="2311" max="2311" width="11.625" style="1" bestFit="1" customWidth="1"/>
    <col min="2312" max="2542" width="9" style="1"/>
    <col min="2543" max="2543" width="4.625" style="1" customWidth="1"/>
    <col min="2544" max="2544" width="34.625" style="1" customWidth="1"/>
    <col min="2545" max="2545" width="11.625" style="1" customWidth="1"/>
    <col min="2546" max="2547" width="6.625" style="1" customWidth="1"/>
    <col min="2548" max="2548" width="10.625" style="1" customWidth="1"/>
    <col min="2549" max="2549" width="14.625" style="1" customWidth="1"/>
    <col min="2550" max="2550" width="10.625" style="1" customWidth="1"/>
    <col min="2551" max="2551" width="14.625" style="1" customWidth="1"/>
    <col min="2552" max="2552" width="10.625" style="1" customWidth="1"/>
    <col min="2553" max="2553" width="14.625" style="1" customWidth="1"/>
    <col min="2554" max="2554" width="10.625" style="1" customWidth="1"/>
    <col min="2555" max="2555" width="18.625" style="1" customWidth="1"/>
    <col min="2556" max="2556" width="9.625" style="1" customWidth="1"/>
    <col min="2557" max="2557" width="10.5" style="1" customWidth="1"/>
    <col min="2558" max="2558" width="20.375" style="1" bestFit="1" customWidth="1"/>
    <col min="2559" max="2559" width="12.5" style="1" customWidth="1"/>
    <col min="2560" max="2560" width="13.125" style="1" customWidth="1"/>
    <col min="2561" max="2565" width="9" style="1"/>
    <col min="2566" max="2566" width="11.25" style="1" bestFit="1" customWidth="1"/>
    <col min="2567" max="2567" width="11.625" style="1" bestFit="1" customWidth="1"/>
    <col min="2568" max="2798" width="9" style="1"/>
    <col min="2799" max="2799" width="4.625" style="1" customWidth="1"/>
    <col min="2800" max="2800" width="34.625" style="1" customWidth="1"/>
    <col min="2801" max="2801" width="11.625" style="1" customWidth="1"/>
    <col min="2802" max="2803" width="6.625" style="1" customWidth="1"/>
    <col min="2804" max="2804" width="10.625" style="1" customWidth="1"/>
    <col min="2805" max="2805" width="14.625" style="1" customWidth="1"/>
    <col min="2806" max="2806" width="10.625" style="1" customWidth="1"/>
    <col min="2807" max="2807" width="14.625" style="1" customWidth="1"/>
    <col min="2808" max="2808" width="10.625" style="1" customWidth="1"/>
    <col min="2809" max="2809" width="14.625" style="1" customWidth="1"/>
    <col min="2810" max="2810" width="10.625" style="1" customWidth="1"/>
    <col min="2811" max="2811" width="18.625" style="1" customWidth="1"/>
    <col min="2812" max="2812" width="9.625" style="1" customWidth="1"/>
    <col min="2813" max="2813" width="10.5" style="1" customWidth="1"/>
    <col min="2814" max="2814" width="20.375" style="1" bestFit="1" customWidth="1"/>
    <col min="2815" max="2815" width="12.5" style="1" customWidth="1"/>
    <col min="2816" max="2816" width="13.125" style="1" customWidth="1"/>
    <col min="2817" max="2821" width="9" style="1"/>
    <col min="2822" max="2822" width="11.25" style="1" bestFit="1" customWidth="1"/>
    <col min="2823" max="2823" width="11.625" style="1" bestFit="1" customWidth="1"/>
    <col min="2824" max="3054" width="9" style="1"/>
    <col min="3055" max="3055" width="4.625" style="1" customWidth="1"/>
    <col min="3056" max="3056" width="34.625" style="1" customWidth="1"/>
    <col min="3057" max="3057" width="11.625" style="1" customWidth="1"/>
    <col min="3058" max="3059" width="6.625" style="1" customWidth="1"/>
    <col min="3060" max="3060" width="10.625" style="1" customWidth="1"/>
    <col min="3061" max="3061" width="14.625" style="1" customWidth="1"/>
    <col min="3062" max="3062" width="10.625" style="1" customWidth="1"/>
    <col min="3063" max="3063" width="14.625" style="1" customWidth="1"/>
    <col min="3064" max="3064" width="10.625" style="1" customWidth="1"/>
    <col min="3065" max="3065" width="14.625" style="1" customWidth="1"/>
    <col min="3066" max="3066" width="10.625" style="1" customWidth="1"/>
    <col min="3067" max="3067" width="18.625" style="1" customWidth="1"/>
    <col min="3068" max="3068" width="9.625" style="1" customWidth="1"/>
    <col min="3069" max="3069" width="10.5" style="1" customWidth="1"/>
    <col min="3070" max="3070" width="20.375" style="1" bestFit="1" customWidth="1"/>
    <col min="3071" max="3071" width="12.5" style="1" customWidth="1"/>
    <col min="3072" max="3072" width="13.125" style="1" customWidth="1"/>
    <col min="3073" max="3077" width="9" style="1"/>
    <col min="3078" max="3078" width="11.25" style="1" bestFit="1" customWidth="1"/>
    <col min="3079" max="3079" width="11.625" style="1" bestFit="1" customWidth="1"/>
    <col min="3080" max="3310" width="9" style="1"/>
    <col min="3311" max="3311" width="4.625" style="1" customWidth="1"/>
    <col min="3312" max="3312" width="34.625" style="1" customWidth="1"/>
    <col min="3313" max="3313" width="11.625" style="1" customWidth="1"/>
    <col min="3314" max="3315" width="6.625" style="1" customWidth="1"/>
    <col min="3316" max="3316" width="10.625" style="1" customWidth="1"/>
    <col min="3317" max="3317" width="14.625" style="1" customWidth="1"/>
    <col min="3318" max="3318" width="10.625" style="1" customWidth="1"/>
    <col min="3319" max="3319" width="14.625" style="1" customWidth="1"/>
    <col min="3320" max="3320" width="10.625" style="1" customWidth="1"/>
    <col min="3321" max="3321" width="14.625" style="1" customWidth="1"/>
    <col min="3322" max="3322" width="10.625" style="1" customWidth="1"/>
    <col min="3323" max="3323" width="18.625" style="1" customWidth="1"/>
    <col min="3324" max="3324" width="9.625" style="1" customWidth="1"/>
    <col min="3325" max="3325" width="10.5" style="1" customWidth="1"/>
    <col min="3326" max="3326" width="20.375" style="1" bestFit="1" customWidth="1"/>
    <col min="3327" max="3327" width="12.5" style="1" customWidth="1"/>
    <col min="3328" max="3328" width="13.125" style="1" customWidth="1"/>
    <col min="3329" max="3333" width="9" style="1"/>
    <col min="3334" max="3334" width="11.25" style="1" bestFit="1" customWidth="1"/>
    <col min="3335" max="3335" width="11.625" style="1" bestFit="1" customWidth="1"/>
    <col min="3336" max="3566" width="9" style="1"/>
    <col min="3567" max="3567" width="4.625" style="1" customWidth="1"/>
    <col min="3568" max="3568" width="34.625" style="1" customWidth="1"/>
    <col min="3569" max="3569" width="11.625" style="1" customWidth="1"/>
    <col min="3570" max="3571" width="6.625" style="1" customWidth="1"/>
    <col min="3572" max="3572" width="10.625" style="1" customWidth="1"/>
    <col min="3573" max="3573" width="14.625" style="1" customWidth="1"/>
    <col min="3574" max="3574" width="10.625" style="1" customWidth="1"/>
    <col min="3575" max="3575" width="14.625" style="1" customWidth="1"/>
    <col min="3576" max="3576" width="10.625" style="1" customWidth="1"/>
    <col min="3577" max="3577" width="14.625" style="1" customWidth="1"/>
    <col min="3578" max="3578" width="10.625" style="1" customWidth="1"/>
    <col min="3579" max="3579" width="18.625" style="1" customWidth="1"/>
    <col min="3580" max="3580" width="9.625" style="1" customWidth="1"/>
    <col min="3581" max="3581" width="10.5" style="1" customWidth="1"/>
    <col min="3582" max="3582" width="20.375" style="1" bestFit="1" customWidth="1"/>
    <col min="3583" max="3583" width="12.5" style="1" customWidth="1"/>
    <col min="3584" max="3584" width="13.125" style="1" customWidth="1"/>
    <col min="3585" max="3589" width="9" style="1"/>
    <col min="3590" max="3590" width="11.25" style="1" bestFit="1" customWidth="1"/>
    <col min="3591" max="3591" width="11.625" style="1" bestFit="1" customWidth="1"/>
    <col min="3592" max="3822" width="9" style="1"/>
    <col min="3823" max="3823" width="4.625" style="1" customWidth="1"/>
    <col min="3824" max="3824" width="34.625" style="1" customWidth="1"/>
    <col min="3825" max="3825" width="11.625" style="1" customWidth="1"/>
    <col min="3826" max="3827" width="6.625" style="1" customWidth="1"/>
    <col min="3828" max="3828" width="10.625" style="1" customWidth="1"/>
    <col min="3829" max="3829" width="14.625" style="1" customWidth="1"/>
    <col min="3830" max="3830" width="10.625" style="1" customWidth="1"/>
    <col min="3831" max="3831" width="14.625" style="1" customWidth="1"/>
    <col min="3832" max="3832" width="10.625" style="1" customWidth="1"/>
    <col min="3833" max="3833" width="14.625" style="1" customWidth="1"/>
    <col min="3834" max="3834" width="10.625" style="1" customWidth="1"/>
    <col min="3835" max="3835" width="18.625" style="1" customWidth="1"/>
    <col min="3836" max="3836" width="9.625" style="1" customWidth="1"/>
    <col min="3837" max="3837" width="10.5" style="1" customWidth="1"/>
    <col min="3838" max="3838" width="20.375" style="1" bestFit="1" customWidth="1"/>
    <col min="3839" max="3839" width="12.5" style="1" customWidth="1"/>
    <col min="3840" max="3840" width="13.125" style="1" customWidth="1"/>
    <col min="3841" max="3845" width="9" style="1"/>
    <col min="3846" max="3846" width="11.25" style="1" bestFit="1" customWidth="1"/>
    <col min="3847" max="3847" width="11.625" style="1" bestFit="1" customWidth="1"/>
    <col min="3848" max="4078" width="9" style="1"/>
    <col min="4079" max="4079" width="4.625" style="1" customWidth="1"/>
    <col min="4080" max="4080" width="34.625" style="1" customWidth="1"/>
    <col min="4081" max="4081" width="11.625" style="1" customWidth="1"/>
    <col min="4082" max="4083" width="6.625" style="1" customWidth="1"/>
    <col min="4084" max="4084" width="10.625" style="1" customWidth="1"/>
    <col min="4085" max="4085" width="14.625" style="1" customWidth="1"/>
    <col min="4086" max="4086" width="10.625" style="1" customWidth="1"/>
    <col min="4087" max="4087" width="14.625" style="1" customWidth="1"/>
    <col min="4088" max="4088" width="10.625" style="1" customWidth="1"/>
    <col min="4089" max="4089" width="14.625" style="1" customWidth="1"/>
    <col min="4090" max="4090" width="10.625" style="1" customWidth="1"/>
    <col min="4091" max="4091" width="18.625" style="1" customWidth="1"/>
    <col min="4092" max="4092" width="9.625" style="1" customWidth="1"/>
    <col min="4093" max="4093" width="10.5" style="1" customWidth="1"/>
    <col min="4094" max="4094" width="20.375" style="1" bestFit="1" customWidth="1"/>
    <col min="4095" max="4095" width="12.5" style="1" customWidth="1"/>
    <col min="4096" max="4096" width="13.125" style="1" customWidth="1"/>
    <col min="4097" max="4101" width="9" style="1"/>
    <col min="4102" max="4102" width="11.25" style="1" bestFit="1" customWidth="1"/>
    <col min="4103" max="4103" width="11.625" style="1" bestFit="1" customWidth="1"/>
    <col min="4104" max="4334" width="9" style="1"/>
    <col min="4335" max="4335" width="4.625" style="1" customWidth="1"/>
    <col min="4336" max="4336" width="34.625" style="1" customWidth="1"/>
    <col min="4337" max="4337" width="11.625" style="1" customWidth="1"/>
    <col min="4338" max="4339" width="6.625" style="1" customWidth="1"/>
    <col min="4340" max="4340" width="10.625" style="1" customWidth="1"/>
    <col min="4341" max="4341" width="14.625" style="1" customWidth="1"/>
    <col min="4342" max="4342" width="10.625" style="1" customWidth="1"/>
    <col min="4343" max="4343" width="14.625" style="1" customWidth="1"/>
    <col min="4344" max="4344" width="10.625" style="1" customWidth="1"/>
    <col min="4345" max="4345" width="14.625" style="1" customWidth="1"/>
    <col min="4346" max="4346" width="10.625" style="1" customWidth="1"/>
    <col min="4347" max="4347" width="18.625" style="1" customWidth="1"/>
    <col min="4348" max="4348" width="9.625" style="1" customWidth="1"/>
    <col min="4349" max="4349" width="10.5" style="1" customWidth="1"/>
    <col min="4350" max="4350" width="20.375" style="1" bestFit="1" customWidth="1"/>
    <col min="4351" max="4351" width="12.5" style="1" customWidth="1"/>
    <col min="4352" max="4352" width="13.125" style="1" customWidth="1"/>
    <col min="4353" max="4357" width="9" style="1"/>
    <col min="4358" max="4358" width="11.25" style="1" bestFit="1" customWidth="1"/>
    <col min="4359" max="4359" width="11.625" style="1" bestFit="1" customWidth="1"/>
    <col min="4360" max="4590" width="9" style="1"/>
    <col min="4591" max="4591" width="4.625" style="1" customWidth="1"/>
    <col min="4592" max="4592" width="34.625" style="1" customWidth="1"/>
    <col min="4593" max="4593" width="11.625" style="1" customWidth="1"/>
    <col min="4594" max="4595" width="6.625" style="1" customWidth="1"/>
    <col min="4596" max="4596" width="10.625" style="1" customWidth="1"/>
    <col min="4597" max="4597" width="14.625" style="1" customWidth="1"/>
    <col min="4598" max="4598" width="10.625" style="1" customWidth="1"/>
    <col min="4599" max="4599" width="14.625" style="1" customWidth="1"/>
    <col min="4600" max="4600" width="10.625" style="1" customWidth="1"/>
    <col min="4601" max="4601" width="14.625" style="1" customWidth="1"/>
    <col min="4602" max="4602" width="10.625" style="1" customWidth="1"/>
    <col min="4603" max="4603" width="18.625" style="1" customWidth="1"/>
    <col min="4604" max="4604" width="9.625" style="1" customWidth="1"/>
    <col min="4605" max="4605" width="10.5" style="1" customWidth="1"/>
    <col min="4606" max="4606" width="20.375" style="1" bestFit="1" customWidth="1"/>
    <col min="4607" max="4607" width="12.5" style="1" customWidth="1"/>
    <col min="4608" max="4608" width="13.125" style="1" customWidth="1"/>
    <col min="4609" max="4613" width="9" style="1"/>
    <col min="4614" max="4614" width="11.25" style="1" bestFit="1" customWidth="1"/>
    <col min="4615" max="4615" width="11.625" style="1" bestFit="1" customWidth="1"/>
    <col min="4616" max="4846" width="9" style="1"/>
    <col min="4847" max="4847" width="4.625" style="1" customWidth="1"/>
    <col min="4848" max="4848" width="34.625" style="1" customWidth="1"/>
    <col min="4849" max="4849" width="11.625" style="1" customWidth="1"/>
    <col min="4850" max="4851" width="6.625" style="1" customWidth="1"/>
    <col min="4852" max="4852" width="10.625" style="1" customWidth="1"/>
    <col min="4853" max="4853" width="14.625" style="1" customWidth="1"/>
    <col min="4854" max="4854" width="10.625" style="1" customWidth="1"/>
    <col min="4855" max="4855" width="14.625" style="1" customWidth="1"/>
    <col min="4856" max="4856" width="10.625" style="1" customWidth="1"/>
    <col min="4857" max="4857" width="14.625" style="1" customWidth="1"/>
    <col min="4858" max="4858" width="10.625" style="1" customWidth="1"/>
    <col min="4859" max="4859" width="18.625" style="1" customWidth="1"/>
    <col min="4860" max="4860" width="9.625" style="1" customWidth="1"/>
    <col min="4861" max="4861" width="10.5" style="1" customWidth="1"/>
    <col min="4862" max="4862" width="20.375" style="1" bestFit="1" customWidth="1"/>
    <col min="4863" max="4863" width="12.5" style="1" customWidth="1"/>
    <col min="4864" max="4864" width="13.125" style="1" customWidth="1"/>
    <col min="4865" max="4869" width="9" style="1"/>
    <col min="4870" max="4870" width="11.25" style="1" bestFit="1" customWidth="1"/>
    <col min="4871" max="4871" width="11.625" style="1" bestFit="1" customWidth="1"/>
    <col min="4872" max="5102" width="9" style="1"/>
    <col min="5103" max="5103" width="4.625" style="1" customWidth="1"/>
    <col min="5104" max="5104" width="34.625" style="1" customWidth="1"/>
    <col min="5105" max="5105" width="11.625" style="1" customWidth="1"/>
    <col min="5106" max="5107" width="6.625" style="1" customWidth="1"/>
    <col min="5108" max="5108" width="10.625" style="1" customWidth="1"/>
    <col min="5109" max="5109" width="14.625" style="1" customWidth="1"/>
    <col min="5110" max="5110" width="10.625" style="1" customWidth="1"/>
    <col min="5111" max="5111" width="14.625" style="1" customWidth="1"/>
    <col min="5112" max="5112" width="10.625" style="1" customWidth="1"/>
    <col min="5113" max="5113" width="14.625" style="1" customWidth="1"/>
    <col min="5114" max="5114" width="10.625" style="1" customWidth="1"/>
    <col min="5115" max="5115" width="18.625" style="1" customWidth="1"/>
    <col min="5116" max="5116" width="9.625" style="1" customWidth="1"/>
    <col min="5117" max="5117" width="10.5" style="1" customWidth="1"/>
    <col min="5118" max="5118" width="20.375" style="1" bestFit="1" customWidth="1"/>
    <col min="5119" max="5119" width="12.5" style="1" customWidth="1"/>
    <col min="5120" max="5120" width="13.125" style="1" customWidth="1"/>
    <col min="5121" max="5125" width="9" style="1"/>
    <col min="5126" max="5126" width="11.25" style="1" bestFit="1" customWidth="1"/>
    <col min="5127" max="5127" width="11.625" style="1" bestFit="1" customWidth="1"/>
    <col min="5128" max="5358" width="9" style="1"/>
    <col min="5359" max="5359" width="4.625" style="1" customWidth="1"/>
    <col min="5360" max="5360" width="34.625" style="1" customWidth="1"/>
    <col min="5361" max="5361" width="11.625" style="1" customWidth="1"/>
    <col min="5362" max="5363" width="6.625" style="1" customWidth="1"/>
    <col min="5364" max="5364" width="10.625" style="1" customWidth="1"/>
    <col min="5365" max="5365" width="14.625" style="1" customWidth="1"/>
    <col min="5366" max="5366" width="10.625" style="1" customWidth="1"/>
    <col min="5367" max="5367" width="14.625" style="1" customWidth="1"/>
    <col min="5368" max="5368" width="10.625" style="1" customWidth="1"/>
    <col min="5369" max="5369" width="14.625" style="1" customWidth="1"/>
    <col min="5370" max="5370" width="10.625" style="1" customWidth="1"/>
    <col min="5371" max="5371" width="18.625" style="1" customWidth="1"/>
    <col min="5372" max="5372" width="9.625" style="1" customWidth="1"/>
    <col min="5373" max="5373" width="10.5" style="1" customWidth="1"/>
    <col min="5374" max="5374" width="20.375" style="1" bestFit="1" customWidth="1"/>
    <col min="5375" max="5375" width="12.5" style="1" customWidth="1"/>
    <col min="5376" max="5376" width="13.125" style="1" customWidth="1"/>
    <col min="5377" max="5381" width="9" style="1"/>
    <col min="5382" max="5382" width="11.25" style="1" bestFit="1" customWidth="1"/>
    <col min="5383" max="5383" width="11.625" style="1" bestFit="1" customWidth="1"/>
    <col min="5384" max="5614" width="9" style="1"/>
    <col min="5615" max="5615" width="4.625" style="1" customWidth="1"/>
    <col min="5616" max="5616" width="34.625" style="1" customWidth="1"/>
    <col min="5617" max="5617" width="11.625" style="1" customWidth="1"/>
    <col min="5618" max="5619" width="6.625" style="1" customWidth="1"/>
    <col min="5620" max="5620" width="10.625" style="1" customWidth="1"/>
    <col min="5621" max="5621" width="14.625" style="1" customWidth="1"/>
    <col min="5622" max="5622" width="10.625" style="1" customWidth="1"/>
    <col min="5623" max="5623" width="14.625" style="1" customWidth="1"/>
    <col min="5624" max="5624" width="10.625" style="1" customWidth="1"/>
    <col min="5625" max="5625" width="14.625" style="1" customWidth="1"/>
    <col min="5626" max="5626" width="10.625" style="1" customWidth="1"/>
    <col min="5627" max="5627" width="18.625" style="1" customWidth="1"/>
    <col min="5628" max="5628" width="9.625" style="1" customWidth="1"/>
    <col min="5629" max="5629" width="10.5" style="1" customWidth="1"/>
    <col min="5630" max="5630" width="20.375" style="1" bestFit="1" customWidth="1"/>
    <col min="5631" max="5631" width="12.5" style="1" customWidth="1"/>
    <col min="5632" max="5632" width="13.125" style="1" customWidth="1"/>
    <col min="5633" max="5637" width="9" style="1"/>
    <col min="5638" max="5638" width="11.25" style="1" bestFit="1" customWidth="1"/>
    <col min="5639" max="5639" width="11.625" style="1" bestFit="1" customWidth="1"/>
    <col min="5640" max="5870" width="9" style="1"/>
    <col min="5871" max="5871" width="4.625" style="1" customWidth="1"/>
    <col min="5872" max="5872" width="34.625" style="1" customWidth="1"/>
    <col min="5873" max="5873" width="11.625" style="1" customWidth="1"/>
    <col min="5874" max="5875" width="6.625" style="1" customWidth="1"/>
    <col min="5876" max="5876" width="10.625" style="1" customWidth="1"/>
    <col min="5877" max="5877" width="14.625" style="1" customWidth="1"/>
    <col min="5878" max="5878" width="10.625" style="1" customWidth="1"/>
    <col min="5879" max="5879" width="14.625" style="1" customWidth="1"/>
    <col min="5880" max="5880" width="10.625" style="1" customWidth="1"/>
    <col min="5881" max="5881" width="14.625" style="1" customWidth="1"/>
    <col min="5882" max="5882" width="10.625" style="1" customWidth="1"/>
    <col min="5883" max="5883" width="18.625" style="1" customWidth="1"/>
    <col min="5884" max="5884" width="9.625" style="1" customWidth="1"/>
    <col min="5885" max="5885" width="10.5" style="1" customWidth="1"/>
    <col min="5886" max="5886" width="20.375" style="1" bestFit="1" customWidth="1"/>
    <col min="5887" max="5887" width="12.5" style="1" customWidth="1"/>
    <col min="5888" max="5888" width="13.125" style="1" customWidth="1"/>
    <col min="5889" max="5893" width="9" style="1"/>
    <col min="5894" max="5894" width="11.25" style="1" bestFit="1" customWidth="1"/>
    <col min="5895" max="5895" width="11.625" style="1" bestFit="1" customWidth="1"/>
    <col min="5896" max="6126" width="9" style="1"/>
    <col min="6127" max="6127" width="4.625" style="1" customWidth="1"/>
    <col min="6128" max="6128" width="34.625" style="1" customWidth="1"/>
    <col min="6129" max="6129" width="11.625" style="1" customWidth="1"/>
    <col min="6130" max="6131" width="6.625" style="1" customWidth="1"/>
    <col min="6132" max="6132" width="10.625" style="1" customWidth="1"/>
    <col min="6133" max="6133" width="14.625" style="1" customWidth="1"/>
    <col min="6134" max="6134" width="10.625" style="1" customWidth="1"/>
    <col min="6135" max="6135" width="14.625" style="1" customWidth="1"/>
    <col min="6136" max="6136" width="10.625" style="1" customWidth="1"/>
    <col min="6137" max="6137" width="14.625" style="1" customWidth="1"/>
    <col min="6138" max="6138" width="10.625" style="1" customWidth="1"/>
    <col min="6139" max="6139" width="18.625" style="1" customWidth="1"/>
    <col min="6140" max="6140" width="9.625" style="1" customWidth="1"/>
    <col min="6141" max="6141" width="10.5" style="1" customWidth="1"/>
    <col min="6142" max="6142" width="20.375" style="1" bestFit="1" customWidth="1"/>
    <col min="6143" max="6143" width="12.5" style="1" customWidth="1"/>
    <col min="6144" max="6144" width="13.125" style="1" customWidth="1"/>
    <col min="6145" max="6149" width="9" style="1"/>
    <col min="6150" max="6150" width="11.25" style="1" bestFit="1" customWidth="1"/>
    <col min="6151" max="6151" width="11.625" style="1" bestFit="1" customWidth="1"/>
    <col min="6152" max="6382" width="9" style="1"/>
    <col min="6383" max="6383" width="4.625" style="1" customWidth="1"/>
    <col min="6384" max="6384" width="34.625" style="1" customWidth="1"/>
    <col min="6385" max="6385" width="11.625" style="1" customWidth="1"/>
    <col min="6386" max="6387" width="6.625" style="1" customWidth="1"/>
    <col min="6388" max="6388" width="10.625" style="1" customWidth="1"/>
    <col min="6389" max="6389" width="14.625" style="1" customWidth="1"/>
    <col min="6390" max="6390" width="10.625" style="1" customWidth="1"/>
    <col min="6391" max="6391" width="14.625" style="1" customWidth="1"/>
    <col min="6392" max="6392" width="10.625" style="1" customWidth="1"/>
    <col min="6393" max="6393" width="14.625" style="1" customWidth="1"/>
    <col min="6394" max="6394" width="10.625" style="1" customWidth="1"/>
    <col min="6395" max="6395" width="18.625" style="1" customWidth="1"/>
    <col min="6396" max="6396" width="9.625" style="1" customWidth="1"/>
    <col min="6397" max="6397" width="10.5" style="1" customWidth="1"/>
    <col min="6398" max="6398" width="20.375" style="1" bestFit="1" customWidth="1"/>
    <col min="6399" max="6399" width="12.5" style="1" customWidth="1"/>
    <col min="6400" max="6400" width="13.125" style="1" customWidth="1"/>
    <col min="6401" max="6405" width="9" style="1"/>
    <col min="6406" max="6406" width="11.25" style="1" bestFit="1" customWidth="1"/>
    <col min="6407" max="6407" width="11.625" style="1" bestFit="1" customWidth="1"/>
    <col min="6408" max="6638" width="9" style="1"/>
    <col min="6639" max="6639" width="4.625" style="1" customWidth="1"/>
    <col min="6640" max="6640" width="34.625" style="1" customWidth="1"/>
    <col min="6641" max="6641" width="11.625" style="1" customWidth="1"/>
    <col min="6642" max="6643" width="6.625" style="1" customWidth="1"/>
    <col min="6644" max="6644" width="10.625" style="1" customWidth="1"/>
    <col min="6645" max="6645" width="14.625" style="1" customWidth="1"/>
    <col min="6646" max="6646" width="10.625" style="1" customWidth="1"/>
    <col min="6647" max="6647" width="14.625" style="1" customWidth="1"/>
    <col min="6648" max="6648" width="10.625" style="1" customWidth="1"/>
    <col min="6649" max="6649" width="14.625" style="1" customWidth="1"/>
    <col min="6650" max="6650" width="10.625" style="1" customWidth="1"/>
    <col min="6651" max="6651" width="18.625" style="1" customWidth="1"/>
    <col min="6652" max="6652" width="9.625" style="1" customWidth="1"/>
    <col min="6653" max="6653" width="10.5" style="1" customWidth="1"/>
    <col min="6654" max="6654" width="20.375" style="1" bestFit="1" customWidth="1"/>
    <col min="6655" max="6655" width="12.5" style="1" customWidth="1"/>
    <col min="6656" max="6656" width="13.125" style="1" customWidth="1"/>
    <col min="6657" max="6661" width="9" style="1"/>
    <col min="6662" max="6662" width="11.25" style="1" bestFit="1" customWidth="1"/>
    <col min="6663" max="6663" width="11.625" style="1" bestFit="1" customWidth="1"/>
    <col min="6664" max="6894" width="9" style="1"/>
    <col min="6895" max="6895" width="4.625" style="1" customWidth="1"/>
    <col min="6896" max="6896" width="34.625" style="1" customWidth="1"/>
    <col min="6897" max="6897" width="11.625" style="1" customWidth="1"/>
    <col min="6898" max="6899" width="6.625" style="1" customWidth="1"/>
    <col min="6900" max="6900" width="10.625" style="1" customWidth="1"/>
    <col min="6901" max="6901" width="14.625" style="1" customWidth="1"/>
    <col min="6902" max="6902" width="10.625" style="1" customWidth="1"/>
    <col min="6903" max="6903" width="14.625" style="1" customWidth="1"/>
    <col min="6904" max="6904" width="10.625" style="1" customWidth="1"/>
    <col min="6905" max="6905" width="14.625" style="1" customWidth="1"/>
    <col min="6906" max="6906" width="10.625" style="1" customWidth="1"/>
    <col min="6907" max="6907" width="18.625" style="1" customWidth="1"/>
    <col min="6908" max="6908" width="9.625" style="1" customWidth="1"/>
    <col min="6909" max="6909" width="10.5" style="1" customWidth="1"/>
    <col min="6910" max="6910" width="20.375" style="1" bestFit="1" customWidth="1"/>
    <col min="6911" max="6911" width="12.5" style="1" customWidth="1"/>
    <col min="6912" max="6912" width="13.125" style="1" customWidth="1"/>
    <col min="6913" max="6917" width="9" style="1"/>
    <col min="6918" max="6918" width="11.25" style="1" bestFit="1" customWidth="1"/>
    <col min="6919" max="6919" width="11.625" style="1" bestFit="1" customWidth="1"/>
    <col min="6920" max="7150" width="9" style="1"/>
    <col min="7151" max="7151" width="4.625" style="1" customWidth="1"/>
    <col min="7152" max="7152" width="34.625" style="1" customWidth="1"/>
    <col min="7153" max="7153" width="11.625" style="1" customWidth="1"/>
    <col min="7154" max="7155" width="6.625" style="1" customWidth="1"/>
    <col min="7156" max="7156" width="10.625" style="1" customWidth="1"/>
    <col min="7157" max="7157" width="14.625" style="1" customWidth="1"/>
    <col min="7158" max="7158" width="10.625" style="1" customWidth="1"/>
    <col min="7159" max="7159" width="14.625" style="1" customWidth="1"/>
    <col min="7160" max="7160" width="10.625" style="1" customWidth="1"/>
    <col min="7161" max="7161" width="14.625" style="1" customWidth="1"/>
    <col min="7162" max="7162" width="10.625" style="1" customWidth="1"/>
    <col min="7163" max="7163" width="18.625" style="1" customWidth="1"/>
    <col min="7164" max="7164" width="9.625" style="1" customWidth="1"/>
    <col min="7165" max="7165" width="10.5" style="1" customWidth="1"/>
    <col min="7166" max="7166" width="20.375" style="1" bestFit="1" customWidth="1"/>
    <col min="7167" max="7167" width="12.5" style="1" customWidth="1"/>
    <col min="7168" max="7168" width="13.125" style="1" customWidth="1"/>
    <col min="7169" max="7173" width="9" style="1"/>
    <col min="7174" max="7174" width="11.25" style="1" bestFit="1" customWidth="1"/>
    <col min="7175" max="7175" width="11.625" style="1" bestFit="1" customWidth="1"/>
    <col min="7176" max="7406" width="9" style="1"/>
    <col min="7407" max="7407" width="4.625" style="1" customWidth="1"/>
    <col min="7408" max="7408" width="34.625" style="1" customWidth="1"/>
    <col min="7409" max="7409" width="11.625" style="1" customWidth="1"/>
    <col min="7410" max="7411" width="6.625" style="1" customWidth="1"/>
    <col min="7412" max="7412" width="10.625" style="1" customWidth="1"/>
    <col min="7413" max="7413" width="14.625" style="1" customWidth="1"/>
    <col min="7414" max="7414" width="10.625" style="1" customWidth="1"/>
    <col min="7415" max="7415" width="14.625" style="1" customWidth="1"/>
    <col min="7416" max="7416" width="10.625" style="1" customWidth="1"/>
    <col min="7417" max="7417" width="14.625" style="1" customWidth="1"/>
    <col min="7418" max="7418" width="10.625" style="1" customWidth="1"/>
    <col min="7419" max="7419" width="18.625" style="1" customWidth="1"/>
    <col min="7420" max="7420" width="9.625" style="1" customWidth="1"/>
    <col min="7421" max="7421" width="10.5" style="1" customWidth="1"/>
    <col min="7422" max="7422" width="20.375" style="1" bestFit="1" customWidth="1"/>
    <col min="7423" max="7423" width="12.5" style="1" customWidth="1"/>
    <col min="7424" max="7424" width="13.125" style="1" customWidth="1"/>
    <col min="7425" max="7429" width="9" style="1"/>
    <col min="7430" max="7430" width="11.25" style="1" bestFit="1" customWidth="1"/>
    <col min="7431" max="7431" width="11.625" style="1" bestFit="1" customWidth="1"/>
    <col min="7432" max="7662" width="9" style="1"/>
    <col min="7663" max="7663" width="4.625" style="1" customWidth="1"/>
    <col min="7664" max="7664" width="34.625" style="1" customWidth="1"/>
    <col min="7665" max="7665" width="11.625" style="1" customWidth="1"/>
    <col min="7666" max="7667" width="6.625" style="1" customWidth="1"/>
    <col min="7668" max="7668" width="10.625" style="1" customWidth="1"/>
    <col min="7669" max="7669" width="14.625" style="1" customWidth="1"/>
    <col min="7670" max="7670" width="10.625" style="1" customWidth="1"/>
    <col min="7671" max="7671" width="14.625" style="1" customWidth="1"/>
    <col min="7672" max="7672" width="10.625" style="1" customWidth="1"/>
    <col min="7673" max="7673" width="14.625" style="1" customWidth="1"/>
    <col min="7674" max="7674" width="10.625" style="1" customWidth="1"/>
    <col min="7675" max="7675" width="18.625" style="1" customWidth="1"/>
    <col min="7676" max="7676" width="9.625" style="1" customWidth="1"/>
    <col min="7677" max="7677" width="10.5" style="1" customWidth="1"/>
    <col min="7678" max="7678" width="20.375" style="1" bestFit="1" customWidth="1"/>
    <col min="7679" max="7679" width="12.5" style="1" customWidth="1"/>
    <col min="7680" max="7680" width="13.125" style="1" customWidth="1"/>
    <col min="7681" max="7685" width="9" style="1"/>
    <col min="7686" max="7686" width="11.25" style="1" bestFit="1" customWidth="1"/>
    <col min="7687" max="7687" width="11.625" style="1" bestFit="1" customWidth="1"/>
    <col min="7688" max="7918" width="9" style="1"/>
    <col min="7919" max="7919" width="4.625" style="1" customWidth="1"/>
    <col min="7920" max="7920" width="34.625" style="1" customWidth="1"/>
    <col min="7921" max="7921" width="11.625" style="1" customWidth="1"/>
    <col min="7922" max="7923" width="6.625" style="1" customWidth="1"/>
    <col min="7924" max="7924" width="10.625" style="1" customWidth="1"/>
    <col min="7925" max="7925" width="14.625" style="1" customWidth="1"/>
    <col min="7926" max="7926" width="10.625" style="1" customWidth="1"/>
    <col min="7927" max="7927" width="14.625" style="1" customWidth="1"/>
    <col min="7928" max="7928" width="10.625" style="1" customWidth="1"/>
    <col min="7929" max="7929" width="14.625" style="1" customWidth="1"/>
    <col min="7930" max="7930" width="10.625" style="1" customWidth="1"/>
    <col min="7931" max="7931" width="18.625" style="1" customWidth="1"/>
    <col min="7932" max="7932" width="9.625" style="1" customWidth="1"/>
    <col min="7933" max="7933" width="10.5" style="1" customWidth="1"/>
    <col min="7934" max="7934" width="20.375" style="1" bestFit="1" customWidth="1"/>
    <col min="7935" max="7935" width="12.5" style="1" customWidth="1"/>
    <col min="7936" max="7936" width="13.125" style="1" customWidth="1"/>
    <col min="7937" max="7941" width="9" style="1"/>
    <col min="7942" max="7942" width="11.25" style="1" bestFit="1" customWidth="1"/>
    <col min="7943" max="7943" width="11.625" style="1" bestFit="1" customWidth="1"/>
    <col min="7944" max="8174" width="9" style="1"/>
    <col min="8175" max="8175" width="4.625" style="1" customWidth="1"/>
    <col min="8176" max="8176" width="34.625" style="1" customWidth="1"/>
    <col min="8177" max="8177" width="11.625" style="1" customWidth="1"/>
    <col min="8178" max="8179" width="6.625" style="1" customWidth="1"/>
    <col min="8180" max="8180" width="10.625" style="1" customWidth="1"/>
    <col min="8181" max="8181" width="14.625" style="1" customWidth="1"/>
    <col min="8182" max="8182" width="10.625" style="1" customWidth="1"/>
    <col min="8183" max="8183" width="14.625" style="1" customWidth="1"/>
    <col min="8184" max="8184" width="10.625" style="1" customWidth="1"/>
    <col min="8185" max="8185" width="14.625" style="1" customWidth="1"/>
    <col min="8186" max="8186" width="10.625" style="1" customWidth="1"/>
    <col min="8187" max="8187" width="18.625" style="1" customWidth="1"/>
    <col min="8188" max="8188" width="9.625" style="1" customWidth="1"/>
    <col min="8189" max="8189" width="10.5" style="1" customWidth="1"/>
    <col min="8190" max="8190" width="20.375" style="1" bestFit="1" customWidth="1"/>
    <col min="8191" max="8191" width="12.5" style="1" customWidth="1"/>
    <col min="8192" max="8192" width="13.125" style="1" customWidth="1"/>
    <col min="8193" max="8197" width="9" style="1"/>
    <col min="8198" max="8198" width="11.25" style="1" bestFit="1" customWidth="1"/>
    <col min="8199" max="8199" width="11.625" style="1" bestFit="1" customWidth="1"/>
    <col min="8200" max="8430" width="9" style="1"/>
    <col min="8431" max="8431" width="4.625" style="1" customWidth="1"/>
    <col min="8432" max="8432" width="34.625" style="1" customWidth="1"/>
    <col min="8433" max="8433" width="11.625" style="1" customWidth="1"/>
    <col min="8434" max="8435" width="6.625" style="1" customWidth="1"/>
    <col min="8436" max="8436" width="10.625" style="1" customWidth="1"/>
    <col min="8437" max="8437" width="14.625" style="1" customWidth="1"/>
    <col min="8438" max="8438" width="10.625" style="1" customWidth="1"/>
    <col min="8439" max="8439" width="14.625" style="1" customWidth="1"/>
    <col min="8440" max="8440" width="10.625" style="1" customWidth="1"/>
    <col min="8441" max="8441" width="14.625" style="1" customWidth="1"/>
    <col min="8442" max="8442" width="10.625" style="1" customWidth="1"/>
    <col min="8443" max="8443" width="18.625" style="1" customWidth="1"/>
    <col min="8444" max="8444" width="9.625" style="1" customWidth="1"/>
    <col min="8445" max="8445" width="10.5" style="1" customWidth="1"/>
    <col min="8446" max="8446" width="20.375" style="1" bestFit="1" customWidth="1"/>
    <col min="8447" max="8447" width="12.5" style="1" customWidth="1"/>
    <col min="8448" max="8448" width="13.125" style="1" customWidth="1"/>
    <col min="8449" max="8453" width="9" style="1"/>
    <col min="8454" max="8454" width="11.25" style="1" bestFit="1" customWidth="1"/>
    <col min="8455" max="8455" width="11.625" style="1" bestFit="1" customWidth="1"/>
    <col min="8456" max="8686" width="9" style="1"/>
    <col min="8687" max="8687" width="4.625" style="1" customWidth="1"/>
    <col min="8688" max="8688" width="34.625" style="1" customWidth="1"/>
    <col min="8689" max="8689" width="11.625" style="1" customWidth="1"/>
    <col min="8690" max="8691" width="6.625" style="1" customWidth="1"/>
    <col min="8692" max="8692" width="10.625" style="1" customWidth="1"/>
    <col min="8693" max="8693" width="14.625" style="1" customWidth="1"/>
    <col min="8694" max="8694" width="10.625" style="1" customWidth="1"/>
    <col min="8695" max="8695" width="14.625" style="1" customWidth="1"/>
    <col min="8696" max="8696" width="10.625" style="1" customWidth="1"/>
    <col min="8697" max="8697" width="14.625" style="1" customWidth="1"/>
    <col min="8698" max="8698" width="10.625" style="1" customWidth="1"/>
    <col min="8699" max="8699" width="18.625" style="1" customWidth="1"/>
    <col min="8700" max="8700" width="9.625" style="1" customWidth="1"/>
    <col min="8701" max="8701" width="10.5" style="1" customWidth="1"/>
    <col min="8702" max="8702" width="20.375" style="1" bestFit="1" customWidth="1"/>
    <col min="8703" max="8703" width="12.5" style="1" customWidth="1"/>
    <col min="8704" max="8704" width="13.125" style="1" customWidth="1"/>
    <col min="8705" max="8709" width="9" style="1"/>
    <col min="8710" max="8710" width="11.25" style="1" bestFit="1" customWidth="1"/>
    <col min="8711" max="8711" width="11.625" style="1" bestFit="1" customWidth="1"/>
    <col min="8712" max="8942" width="9" style="1"/>
    <col min="8943" max="8943" width="4.625" style="1" customWidth="1"/>
    <col min="8944" max="8944" width="34.625" style="1" customWidth="1"/>
    <col min="8945" max="8945" width="11.625" style="1" customWidth="1"/>
    <col min="8946" max="8947" width="6.625" style="1" customWidth="1"/>
    <col min="8948" max="8948" width="10.625" style="1" customWidth="1"/>
    <col min="8949" max="8949" width="14.625" style="1" customWidth="1"/>
    <col min="8950" max="8950" width="10.625" style="1" customWidth="1"/>
    <col min="8951" max="8951" width="14.625" style="1" customWidth="1"/>
    <col min="8952" max="8952" width="10.625" style="1" customWidth="1"/>
    <col min="8953" max="8953" width="14.625" style="1" customWidth="1"/>
    <col min="8954" max="8954" width="10.625" style="1" customWidth="1"/>
    <col min="8955" max="8955" width="18.625" style="1" customWidth="1"/>
    <col min="8956" max="8956" width="9.625" style="1" customWidth="1"/>
    <col min="8957" max="8957" width="10.5" style="1" customWidth="1"/>
    <col min="8958" max="8958" width="20.375" style="1" bestFit="1" customWidth="1"/>
    <col min="8959" max="8959" width="12.5" style="1" customWidth="1"/>
    <col min="8960" max="8960" width="13.125" style="1" customWidth="1"/>
    <col min="8961" max="8965" width="9" style="1"/>
    <col min="8966" max="8966" width="11.25" style="1" bestFit="1" customWidth="1"/>
    <col min="8967" max="8967" width="11.625" style="1" bestFit="1" customWidth="1"/>
    <col min="8968" max="9198" width="9" style="1"/>
    <col min="9199" max="9199" width="4.625" style="1" customWidth="1"/>
    <col min="9200" max="9200" width="34.625" style="1" customWidth="1"/>
    <col min="9201" max="9201" width="11.625" style="1" customWidth="1"/>
    <col min="9202" max="9203" width="6.625" style="1" customWidth="1"/>
    <col min="9204" max="9204" width="10.625" style="1" customWidth="1"/>
    <col min="9205" max="9205" width="14.625" style="1" customWidth="1"/>
    <col min="9206" max="9206" width="10.625" style="1" customWidth="1"/>
    <col min="9207" max="9207" width="14.625" style="1" customWidth="1"/>
    <col min="9208" max="9208" width="10.625" style="1" customWidth="1"/>
    <col min="9209" max="9209" width="14.625" style="1" customWidth="1"/>
    <col min="9210" max="9210" width="10.625" style="1" customWidth="1"/>
    <col min="9211" max="9211" width="18.625" style="1" customWidth="1"/>
    <col min="9212" max="9212" width="9.625" style="1" customWidth="1"/>
    <col min="9213" max="9213" width="10.5" style="1" customWidth="1"/>
    <col min="9214" max="9214" width="20.375" style="1" bestFit="1" customWidth="1"/>
    <col min="9215" max="9215" width="12.5" style="1" customWidth="1"/>
    <col min="9216" max="9216" width="13.125" style="1" customWidth="1"/>
    <col min="9217" max="9221" width="9" style="1"/>
    <col min="9222" max="9222" width="11.25" style="1" bestFit="1" customWidth="1"/>
    <col min="9223" max="9223" width="11.625" style="1" bestFit="1" customWidth="1"/>
    <col min="9224" max="9454" width="9" style="1"/>
    <col min="9455" max="9455" width="4.625" style="1" customWidth="1"/>
    <col min="9456" max="9456" width="34.625" style="1" customWidth="1"/>
    <col min="9457" max="9457" width="11.625" style="1" customWidth="1"/>
    <col min="9458" max="9459" width="6.625" style="1" customWidth="1"/>
    <col min="9460" max="9460" width="10.625" style="1" customWidth="1"/>
    <col min="9461" max="9461" width="14.625" style="1" customWidth="1"/>
    <col min="9462" max="9462" width="10.625" style="1" customWidth="1"/>
    <col min="9463" max="9463" width="14.625" style="1" customWidth="1"/>
    <col min="9464" max="9464" width="10.625" style="1" customWidth="1"/>
    <col min="9465" max="9465" width="14.625" style="1" customWidth="1"/>
    <col min="9466" max="9466" width="10.625" style="1" customWidth="1"/>
    <col min="9467" max="9467" width="18.625" style="1" customWidth="1"/>
    <col min="9468" max="9468" width="9.625" style="1" customWidth="1"/>
    <col min="9469" max="9469" width="10.5" style="1" customWidth="1"/>
    <col min="9470" max="9470" width="20.375" style="1" bestFit="1" customWidth="1"/>
    <col min="9471" max="9471" width="12.5" style="1" customWidth="1"/>
    <col min="9472" max="9472" width="13.125" style="1" customWidth="1"/>
    <col min="9473" max="9477" width="9" style="1"/>
    <col min="9478" max="9478" width="11.25" style="1" bestFit="1" customWidth="1"/>
    <col min="9479" max="9479" width="11.625" style="1" bestFit="1" customWidth="1"/>
    <col min="9480" max="9710" width="9" style="1"/>
    <col min="9711" max="9711" width="4.625" style="1" customWidth="1"/>
    <col min="9712" max="9712" width="34.625" style="1" customWidth="1"/>
    <col min="9713" max="9713" width="11.625" style="1" customWidth="1"/>
    <col min="9714" max="9715" width="6.625" style="1" customWidth="1"/>
    <col min="9716" max="9716" width="10.625" style="1" customWidth="1"/>
    <col min="9717" max="9717" width="14.625" style="1" customWidth="1"/>
    <col min="9718" max="9718" width="10.625" style="1" customWidth="1"/>
    <col min="9719" max="9719" width="14.625" style="1" customWidth="1"/>
    <col min="9720" max="9720" width="10.625" style="1" customWidth="1"/>
    <col min="9721" max="9721" width="14.625" style="1" customWidth="1"/>
    <col min="9722" max="9722" width="10.625" style="1" customWidth="1"/>
    <col min="9723" max="9723" width="18.625" style="1" customWidth="1"/>
    <col min="9724" max="9724" width="9.625" style="1" customWidth="1"/>
    <col min="9725" max="9725" width="10.5" style="1" customWidth="1"/>
    <col min="9726" max="9726" width="20.375" style="1" bestFit="1" customWidth="1"/>
    <col min="9727" max="9727" width="12.5" style="1" customWidth="1"/>
    <col min="9728" max="9728" width="13.125" style="1" customWidth="1"/>
    <col min="9729" max="9733" width="9" style="1"/>
    <col min="9734" max="9734" width="11.25" style="1" bestFit="1" customWidth="1"/>
    <col min="9735" max="9735" width="11.625" style="1" bestFit="1" customWidth="1"/>
    <col min="9736" max="9966" width="9" style="1"/>
    <col min="9967" max="9967" width="4.625" style="1" customWidth="1"/>
    <col min="9968" max="9968" width="34.625" style="1" customWidth="1"/>
    <col min="9969" max="9969" width="11.625" style="1" customWidth="1"/>
    <col min="9970" max="9971" width="6.625" style="1" customWidth="1"/>
    <col min="9972" max="9972" width="10.625" style="1" customWidth="1"/>
    <col min="9973" max="9973" width="14.625" style="1" customWidth="1"/>
    <col min="9974" max="9974" width="10.625" style="1" customWidth="1"/>
    <col min="9975" max="9975" width="14.625" style="1" customWidth="1"/>
    <col min="9976" max="9976" width="10.625" style="1" customWidth="1"/>
    <col min="9977" max="9977" width="14.625" style="1" customWidth="1"/>
    <col min="9978" max="9978" width="10.625" style="1" customWidth="1"/>
    <col min="9979" max="9979" width="18.625" style="1" customWidth="1"/>
    <col min="9980" max="9980" width="9.625" style="1" customWidth="1"/>
    <col min="9981" max="9981" width="10.5" style="1" customWidth="1"/>
    <col min="9982" max="9982" width="20.375" style="1" bestFit="1" customWidth="1"/>
    <col min="9983" max="9983" width="12.5" style="1" customWidth="1"/>
    <col min="9984" max="9984" width="13.125" style="1" customWidth="1"/>
    <col min="9985" max="9989" width="9" style="1"/>
    <col min="9990" max="9990" width="11.25" style="1" bestFit="1" customWidth="1"/>
    <col min="9991" max="9991" width="11.625" style="1" bestFit="1" customWidth="1"/>
    <col min="9992" max="10222" width="9" style="1"/>
    <col min="10223" max="10223" width="4.625" style="1" customWidth="1"/>
    <col min="10224" max="10224" width="34.625" style="1" customWidth="1"/>
    <col min="10225" max="10225" width="11.625" style="1" customWidth="1"/>
    <col min="10226" max="10227" width="6.625" style="1" customWidth="1"/>
    <col min="10228" max="10228" width="10.625" style="1" customWidth="1"/>
    <col min="10229" max="10229" width="14.625" style="1" customWidth="1"/>
    <col min="10230" max="10230" width="10.625" style="1" customWidth="1"/>
    <col min="10231" max="10231" width="14.625" style="1" customWidth="1"/>
    <col min="10232" max="10232" width="10.625" style="1" customWidth="1"/>
    <col min="10233" max="10233" width="14.625" style="1" customWidth="1"/>
    <col min="10234" max="10234" width="10.625" style="1" customWidth="1"/>
    <col min="10235" max="10235" width="18.625" style="1" customWidth="1"/>
    <col min="10236" max="10236" width="9.625" style="1" customWidth="1"/>
    <col min="10237" max="10237" width="10.5" style="1" customWidth="1"/>
    <col min="10238" max="10238" width="20.375" style="1" bestFit="1" customWidth="1"/>
    <col min="10239" max="10239" width="12.5" style="1" customWidth="1"/>
    <col min="10240" max="10240" width="13.125" style="1" customWidth="1"/>
    <col min="10241" max="10245" width="9" style="1"/>
    <col min="10246" max="10246" width="11.25" style="1" bestFit="1" customWidth="1"/>
    <col min="10247" max="10247" width="11.625" style="1" bestFit="1" customWidth="1"/>
    <col min="10248" max="10478" width="9" style="1"/>
    <col min="10479" max="10479" width="4.625" style="1" customWidth="1"/>
    <col min="10480" max="10480" width="34.625" style="1" customWidth="1"/>
    <col min="10481" max="10481" width="11.625" style="1" customWidth="1"/>
    <col min="10482" max="10483" width="6.625" style="1" customWidth="1"/>
    <col min="10484" max="10484" width="10.625" style="1" customWidth="1"/>
    <col min="10485" max="10485" width="14.625" style="1" customWidth="1"/>
    <col min="10486" max="10486" width="10.625" style="1" customWidth="1"/>
    <col min="10487" max="10487" width="14.625" style="1" customWidth="1"/>
    <col min="10488" max="10488" width="10.625" style="1" customWidth="1"/>
    <col min="10489" max="10489" width="14.625" style="1" customWidth="1"/>
    <col min="10490" max="10490" width="10.625" style="1" customWidth="1"/>
    <col min="10491" max="10491" width="18.625" style="1" customWidth="1"/>
    <col min="10492" max="10492" width="9.625" style="1" customWidth="1"/>
    <col min="10493" max="10493" width="10.5" style="1" customWidth="1"/>
    <col min="10494" max="10494" width="20.375" style="1" bestFit="1" customWidth="1"/>
    <col min="10495" max="10495" width="12.5" style="1" customWidth="1"/>
    <col min="10496" max="10496" width="13.125" style="1" customWidth="1"/>
    <col min="10497" max="10501" width="9" style="1"/>
    <col min="10502" max="10502" width="11.25" style="1" bestFit="1" customWidth="1"/>
    <col min="10503" max="10503" width="11.625" style="1" bestFit="1" customWidth="1"/>
    <col min="10504" max="10734" width="9" style="1"/>
    <col min="10735" max="10735" width="4.625" style="1" customWidth="1"/>
    <col min="10736" max="10736" width="34.625" style="1" customWidth="1"/>
    <col min="10737" max="10737" width="11.625" style="1" customWidth="1"/>
    <col min="10738" max="10739" width="6.625" style="1" customWidth="1"/>
    <col min="10740" max="10740" width="10.625" style="1" customWidth="1"/>
    <col min="10741" max="10741" width="14.625" style="1" customWidth="1"/>
    <col min="10742" max="10742" width="10.625" style="1" customWidth="1"/>
    <col min="10743" max="10743" width="14.625" style="1" customWidth="1"/>
    <col min="10744" max="10744" width="10.625" style="1" customWidth="1"/>
    <col min="10745" max="10745" width="14.625" style="1" customWidth="1"/>
    <col min="10746" max="10746" width="10.625" style="1" customWidth="1"/>
    <col min="10747" max="10747" width="18.625" style="1" customWidth="1"/>
    <col min="10748" max="10748" width="9.625" style="1" customWidth="1"/>
    <col min="10749" max="10749" width="10.5" style="1" customWidth="1"/>
    <col min="10750" max="10750" width="20.375" style="1" bestFit="1" customWidth="1"/>
    <col min="10751" max="10751" width="12.5" style="1" customWidth="1"/>
    <col min="10752" max="10752" width="13.125" style="1" customWidth="1"/>
    <col min="10753" max="10757" width="9" style="1"/>
    <col min="10758" max="10758" width="11.25" style="1" bestFit="1" customWidth="1"/>
    <col min="10759" max="10759" width="11.625" style="1" bestFit="1" customWidth="1"/>
    <col min="10760" max="10990" width="9" style="1"/>
    <col min="10991" max="10991" width="4.625" style="1" customWidth="1"/>
    <col min="10992" max="10992" width="34.625" style="1" customWidth="1"/>
    <col min="10993" max="10993" width="11.625" style="1" customWidth="1"/>
    <col min="10994" max="10995" width="6.625" style="1" customWidth="1"/>
    <col min="10996" max="10996" width="10.625" style="1" customWidth="1"/>
    <col min="10997" max="10997" width="14.625" style="1" customWidth="1"/>
    <col min="10998" max="10998" width="10.625" style="1" customWidth="1"/>
    <col min="10999" max="10999" width="14.625" style="1" customWidth="1"/>
    <col min="11000" max="11000" width="10.625" style="1" customWidth="1"/>
    <col min="11001" max="11001" width="14.625" style="1" customWidth="1"/>
    <col min="11002" max="11002" width="10.625" style="1" customWidth="1"/>
    <col min="11003" max="11003" width="18.625" style="1" customWidth="1"/>
    <col min="11004" max="11004" width="9.625" style="1" customWidth="1"/>
    <col min="11005" max="11005" width="10.5" style="1" customWidth="1"/>
    <col min="11006" max="11006" width="20.375" style="1" bestFit="1" customWidth="1"/>
    <col min="11007" max="11007" width="12.5" style="1" customWidth="1"/>
    <col min="11008" max="11008" width="13.125" style="1" customWidth="1"/>
    <col min="11009" max="11013" width="9" style="1"/>
    <col min="11014" max="11014" width="11.25" style="1" bestFit="1" customWidth="1"/>
    <col min="11015" max="11015" width="11.625" style="1" bestFit="1" customWidth="1"/>
    <col min="11016" max="11246" width="9" style="1"/>
    <col min="11247" max="11247" width="4.625" style="1" customWidth="1"/>
    <col min="11248" max="11248" width="34.625" style="1" customWidth="1"/>
    <col min="11249" max="11249" width="11.625" style="1" customWidth="1"/>
    <col min="11250" max="11251" width="6.625" style="1" customWidth="1"/>
    <col min="11252" max="11252" width="10.625" style="1" customWidth="1"/>
    <col min="11253" max="11253" width="14.625" style="1" customWidth="1"/>
    <col min="11254" max="11254" width="10.625" style="1" customWidth="1"/>
    <col min="11255" max="11255" width="14.625" style="1" customWidth="1"/>
    <col min="11256" max="11256" width="10.625" style="1" customWidth="1"/>
    <col min="11257" max="11257" width="14.625" style="1" customWidth="1"/>
    <col min="11258" max="11258" width="10.625" style="1" customWidth="1"/>
    <col min="11259" max="11259" width="18.625" style="1" customWidth="1"/>
    <col min="11260" max="11260" width="9.625" style="1" customWidth="1"/>
    <col min="11261" max="11261" width="10.5" style="1" customWidth="1"/>
    <col min="11262" max="11262" width="20.375" style="1" bestFit="1" customWidth="1"/>
    <col min="11263" max="11263" width="12.5" style="1" customWidth="1"/>
    <col min="11264" max="11264" width="13.125" style="1" customWidth="1"/>
    <col min="11265" max="11269" width="9" style="1"/>
    <col min="11270" max="11270" width="11.25" style="1" bestFit="1" customWidth="1"/>
    <col min="11271" max="11271" width="11.625" style="1" bestFit="1" customWidth="1"/>
    <col min="11272" max="11502" width="9" style="1"/>
    <col min="11503" max="11503" width="4.625" style="1" customWidth="1"/>
    <col min="11504" max="11504" width="34.625" style="1" customWidth="1"/>
    <col min="11505" max="11505" width="11.625" style="1" customWidth="1"/>
    <col min="11506" max="11507" width="6.625" style="1" customWidth="1"/>
    <col min="11508" max="11508" width="10.625" style="1" customWidth="1"/>
    <col min="11509" max="11509" width="14.625" style="1" customWidth="1"/>
    <col min="11510" max="11510" width="10.625" style="1" customWidth="1"/>
    <col min="11511" max="11511" width="14.625" style="1" customWidth="1"/>
    <col min="11512" max="11512" width="10.625" style="1" customWidth="1"/>
    <col min="11513" max="11513" width="14.625" style="1" customWidth="1"/>
    <col min="11514" max="11514" width="10.625" style="1" customWidth="1"/>
    <col min="11515" max="11515" width="18.625" style="1" customWidth="1"/>
    <col min="11516" max="11516" width="9.625" style="1" customWidth="1"/>
    <col min="11517" max="11517" width="10.5" style="1" customWidth="1"/>
    <col min="11518" max="11518" width="20.375" style="1" bestFit="1" customWidth="1"/>
    <col min="11519" max="11519" width="12.5" style="1" customWidth="1"/>
    <col min="11520" max="11520" width="13.125" style="1" customWidth="1"/>
    <col min="11521" max="11525" width="9" style="1"/>
    <col min="11526" max="11526" width="11.25" style="1" bestFit="1" customWidth="1"/>
    <col min="11527" max="11527" width="11.625" style="1" bestFit="1" customWidth="1"/>
    <col min="11528" max="11758" width="9" style="1"/>
    <col min="11759" max="11759" width="4.625" style="1" customWidth="1"/>
    <col min="11760" max="11760" width="34.625" style="1" customWidth="1"/>
    <col min="11761" max="11761" width="11.625" style="1" customWidth="1"/>
    <col min="11762" max="11763" width="6.625" style="1" customWidth="1"/>
    <col min="11764" max="11764" width="10.625" style="1" customWidth="1"/>
    <col min="11765" max="11765" width="14.625" style="1" customWidth="1"/>
    <col min="11766" max="11766" width="10.625" style="1" customWidth="1"/>
    <col min="11767" max="11767" width="14.625" style="1" customWidth="1"/>
    <col min="11768" max="11768" width="10.625" style="1" customWidth="1"/>
    <col min="11769" max="11769" width="14.625" style="1" customWidth="1"/>
    <col min="11770" max="11770" width="10.625" style="1" customWidth="1"/>
    <col min="11771" max="11771" width="18.625" style="1" customWidth="1"/>
    <col min="11772" max="11772" width="9.625" style="1" customWidth="1"/>
    <col min="11773" max="11773" width="10.5" style="1" customWidth="1"/>
    <col min="11774" max="11774" width="20.375" style="1" bestFit="1" customWidth="1"/>
    <col min="11775" max="11775" width="12.5" style="1" customWidth="1"/>
    <col min="11776" max="11776" width="13.125" style="1" customWidth="1"/>
    <col min="11777" max="11781" width="9" style="1"/>
    <col min="11782" max="11782" width="11.25" style="1" bestFit="1" customWidth="1"/>
    <col min="11783" max="11783" width="11.625" style="1" bestFit="1" customWidth="1"/>
    <col min="11784" max="12014" width="9" style="1"/>
    <col min="12015" max="12015" width="4.625" style="1" customWidth="1"/>
    <col min="12016" max="12016" width="34.625" style="1" customWidth="1"/>
    <col min="12017" max="12017" width="11.625" style="1" customWidth="1"/>
    <col min="12018" max="12019" width="6.625" style="1" customWidth="1"/>
    <col min="12020" max="12020" width="10.625" style="1" customWidth="1"/>
    <col min="12021" max="12021" width="14.625" style="1" customWidth="1"/>
    <col min="12022" max="12022" width="10.625" style="1" customWidth="1"/>
    <col min="12023" max="12023" width="14.625" style="1" customWidth="1"/>
    <col min="12024" max="12024" width="10.625" style="1" customWidth="1"/>
    <col min="12025" max="12025" width="14.625" style="1" customWidth="1"/>
    <col min="12026" max="12026" width="10.625" style="1" customWidth="1"/>
    <col min="12027" max="12027" width="18.625" style="1" customWidth="1"/>
    <col min="12028" max="12028" width="9.625" style="1" customWidth="1"/>
    <col min="12029" max="12029" width="10.5" style="1" customWidth="1"/>
    <col min="12030" max="12030" width="20.375" style="1" bestFit="1" customWidth="1"/>
    <col min="12031" max="12031" width="12.5" style="1" customWidth="1"/>
    <col min="12032" max="12032" width="13.125" style="1" customWidth="1"/>
    <col min="12033" max="12037" width="9" style="1"/>
    <col min="12038" max="12038" width="11.25" style="1" bestFit="1" customWidth="1"/>
    <col min="12039" max="12039" width="11.625" style="1" bestFit="1" customWidth="1"/>
    <col min="12040" max="12270" width="9" style="1"/>
    <col min="12271" max="12271" width="4.625" style="1" customWidth="1"/>
    <col min="12272" max="12272" width="34.625" style="1" customWidth="1"/>
    <col min="12273" max="12273" width="11.625" style="1" customWidth="1"/>
    <col min="12274" max="12275" width="6.625" style="1" customWidth="1"/>
    <col min="12276" max="12276" width="10.625" style="1" customWidth="1"/>
    <col min="12277" max="12277" width="14.625" style="1" customWidth="1"/>
    <col min="12278" max="12278" width="10.625" style="1" customWidth="1"/>
    <col min="12279" max="12279" width="14.625" style="1" customWidth="1"/>
    <col min="12280" max="12280" width="10.625" style="1" customWidth="1"/>
    <col min="12281" max="12281" width="14.625" style="1" customWidth="1"/>
    <col min="12282" max="12282" width="10.625" style="1" customWidth="1"/>
    <col min="12283" max="12283" width="18.625" style="1" customWidth="1"/>
    <col min="12284" max="12284" width="9.625" style="1" customWidth="1"/>
    <col min="12285" max="12285" width="10.5" style="1" customWidth="1"/>
    <col min="12286" max="12286" width="20.375" style="1" bestFit="1" customWidth="1"/>
    <col min="12287" max="12287" width="12.5" style="1" customWidth="1"/>
    <col min="12288" max="12288" width="13.125" style="1" customWidth="1"/>
    <col min="12289" max="12293" width="9" style="1"/>
    <col min="12294" max="12294" width="11.25" style="1" bestFit="1" customWidth="1"/>
    <col min="12295" max="12295" width="11.625" style="1" bestFit="1" customWidth="1"/>
    <col min="12296" max="12526" width="9" style="1"/>
    <col min="12527" max="12527" width="4.625" style="1" customWidth="1"/>
    <col min="12528" max="12528" width="34.625" style="1" customWidth="1"/>
    <col min="12529" max="12529" width="11.625" style="1" customWidth="1"/>
    <col min="12530" max="12531" width="6.625" style="1" customWidth="1"/>
    <col min="12532" max="12532" width="10.625" style="1" customWidth="1"/>
    <col min="12533" max="12533" width="14.625" style="1" customWidth="1"/>
    <col min="12534" max="12534" width="10.625" style="1" customWidth="1"/>
    <col min="12535" max="12535" width="14.625" style="1" customWidth="1"/>
    <col min="12536" max="12536" width="10.625" style="1" customWidth="1"/>
    <col min="12537" max="12537" width="14.625" style="1" customWidth="1"/>
    <col min="12538" max="12538" width="10.625" style="1" customWidth="1"/>
    <col min="12539" max="12539" width="18.625" style="1" customWidth="1"/>
    <col min="12540" max="12540" width="9.625" style="1" customWidth="1"/>
    <col min="12541" max="12541" width="10.5" style="1" customWidth="1"/>
    <col min="12542" max="12542" width="20.375" style="1" bestFit="1" customWidth="1"/>
    <col min="12543" max="12543" width="12.5" style="1" customWidth="1"/>
    <col min="12544" max="12544" width="13.125" style="1" customWidth="1"/>
    <col min="12545" max="12549" width="9" style="1"/>
    <col min="12550" max="12550" width="11.25" style="1" bestFit="1" customWidth="1"/>
    <col min="12551" max="12551" width="11.625" style="1" bestFit="1" customWidth="1"/>
    <col min="12552" max="12782" width="9" style="1"/>
    <col min="12783" max="12783" width="4.625" style="1" customWidth="1"/>
    <col min="12784" max="12784" width="34.625" style="1" customWidth="1"/>
    <col min="12785" max="12785" width="11.625" style="1" customWidth="1"/>
    <col min="12786" max="12787" width="6.625" style="1" customWidth="1"/>
    <col min="12788" max="12788" width="10.625" style="1" customWidth="1"/>
    <col min="12789" max="12789" width="14.625" style="1" customWidth="1"/>
    <col min="12790" max="12790" width="10.625" style="1" customWidth="1"/>
    <col min="12791" max="12791" width="14.625" style="1" customWidth="1"/>
    <col min="12792" max="12792" width="10.625" style="1" customWidth="1"/>
    <col min="12793" max="12793" width="14.625" style="1" customWidth="1"/>
    <col min="12794" max="12794" width="10.625" style="1" customWidth="1"/>
    <col min="12795" max="12795" width="18.625" style="1" customWidth="1"/>
    <col min="12796" max="12796" width="9.625" style="1" customWidth="1"/>
    <col min="12797" max="12797" width="10.5" style="1" customWidth="1"/>
    <col min="12798" max="12798" width="20.375" style="1" bestFit="1" customWidth="1"/>
    <col min="12799" max="12799" width="12.5" style="1" customWidth="1"/>
    <col min="12800" max="12800" width="13.125" style="1" customWidth="1"/>
    <col min="12801" max="12805" width="9" style="1"/>
    <col min="12806" max="12806" width="11.25" style="1" bestFit="1" customWidth="1"/>
    <col min="12807" max="12807" width="11.625" style="1" bestFit="1" customWidth="1"/>
    <col min="12808" max="13038" width="9" style="1"/>
    <col min="13039" max="13039" width="4.625" style="1" customWidth="1"/>
    <col min="13040" max="13040" width="34.625" style="1" customWidth="1"/>
    <col min="13041" max="13041" width="11.625" style="1" customWidth="1"/>
    <col min="13042" max="13043" width="6.625" style="1" customWidth="1"/>
    <col min="13044" max="13044" width="10.625" style="1" customWidth="1"/>
    <col min="13045" max="13045" width="14.625" style="1" customWidth="1"/>
    <col min="13046" max="13046" width="10.625" style="1" customWidth="1"/>
    <col min="13047" max="13047" width="14.625" style="1" customWidth="1"/>
    <col min="13048" max="13048" width="10.625" style="1" customWidth="1"/>
    <col min="13049" max="13049" width="14.625" style="1" customWidth="1"/>
    <col min="13050" max="13050" width="10.625" style="1" customWidth="1"/>
    <col min="13051" max="13051" width="18.625" style="1" customWidth="1"/>
    <col min="13052" max="13052" width="9.625" style="1" customWidth="1"/>
    <col min="13053" max="13053" width="10.5" style="1" customWidth="1"/>
    <col min="13054" max="13054" width="20.375" style="1" bestFit="1" customWidth="1"/>
    <col min="13055" max="13055" width="12.5" style="1" customWidth="1"/>
    <col min="13056" max="13056" width="13.125" style="1" customWidth="1"/>
    <col min="13057" max="13061" width="9" style="1"/>
    <col min="13062" max="13062" width="11.25" style="1" bestFit="1" customWidth="1"/>
    <col min="13063" max="13063" width="11.625" style="1" bestFit="1" customWidth="1"/>
    <col min="13064" max="13294" width="9" style="1"/>
    <col min="13295" max="13295" width="4.625" style="1" customWidth="1"/>
    <col min="13296" max="13296" width="34.625" style="1" customWidth="1"/>
    <col min="13297" max="13297" width="11.625" style="1" customWidth="1"/>
    <col min="13298" max="13299" width="6.625" style="1" customWidth="1"/>
    <col min="13300" max="13300" width="10.625" style="1" customWidth="1"/>
    <col min="13301" max="13301" width="14.625" style="1" customWidth="1"/>
    <col min="13302" max="13302" width="10.625" style="1" customWidth="1"/>
    <col min="13303" max="13303" width="14.625" style="1" customWidth="1"/>
    <col min="13304" max="13304" width="10.625" style="1" customWidth="1"/>
    <col min="13305" max="13305" width="14.625" style="1" customWidth="1"/>
    <col min="13306" max="13306" width="10.625" style="1" customWidth="1"/>
    <col min="13307" max="13307" width="18.625" style="1" customWidth="1"/>
    <col min="13308" max="13308" width="9.625" style="1" customWidth="1"/>
    <col min="13309" max="13309" width="10.5" style="1" customWidth="1"/>
    <col min="13310" max="13310" width="20.375" style="1" bestFit="1" customWidth="1"/>
    <col min="13311" max="13311" width="12.5" style="1" customWidth="1"/>
    <col min="13312" max="13312" width="13.125" style="1" customWidth="1"/>
    <col min="13313" max="13317" width="9" style="1"/>
    <col min="13318" max="13318" width="11.25" style="1" bestFit="1" customWidth="1"/>
    <col min="13319" max="13319" width="11.625" style="1" bestFit="1" customWidth="1"/>
    <col min="13320" max="13550" width="9" style="1"/>
    <col min="13551" max="13551" width="4.625" style="1" customWidth="1"/>
    <col min="13552" max="13552" width="34.625" style="1" customWidth="1"/>
    <col min="13553" max="13553" width="11.625" style="1" customWidth="1"/>
    <col min="13554" max="13555" width="6.625" style="1" customWidth="1"/>
    <col min="13556" max="13556" width="10.625" style="1" customWidth="1"/>
    <col min="13557" max="13557" width="14.625" style="1" customWidth="1"/>
    <col min="13558" max="13558" width="10.625" style="1" customWidth="1"/>
    <col min="13559" max="13559" width="14.625" style="1" customWidth="1"/>
    <col min="13560" max="13560" width="10.625" style="1" customWidth="1"/>
    <col min="13561" max="13561" width="14.625" style="1" customWidth="1"/>
    <col min="13562" max="13562" width="10.625" style="1" customWidth="1"/>
    <col min="13563" max="13563" width="18.625" style="1" customWidth="1"/>
    <col min="13564" max="13564" width="9.625" style="1" customWidth="1"/>
    <col min="13565" max="13565" width="10.5" style="1" customWidth="1"/>
    <col min="13566" max="13566" width="20.375" style="1" bestFit="1" customWidth="1"/>
    <col min="13567" max="13567" width="12.5" style="1" customWidth="1"/>
    <col min="13568" max="13568" width="13.125" style="1" customWidth="1"/>
    <col min="13569" max="13573" width="9" style="1"/>
    <col min="13574" max="13574" width="11.25" style="1" bestFit="1" customWidth="1"/>
    <col min="13575" max="13575" width="11.625" style="1" bestFit="1" customWidth="1"/>
    <col min="13576" max="13806" width="9" style="1"/>
    <col min="13807" max="13807" width="4.625" style="1" customWidth="1"/>
    <col min="13808" max="13808" width="34.625" style="1" customWidth="1"/>
    <col min="13809" max="13809" width="11.625" style="1" customWidth="1"/>
    <col min="13810" max="13811" width="6.625" style="1" customWidth="1"/>
    <col min="13812" max="13812" width="10.625" style="1" customWidth="1"/>
    <col min="13813" max="13813" width="14.625" style="1" customWidth="1"/>
    <col min="13814" max="13814" width="10.625" style="1" customWidth="1"/>
    <col min="13815" max="13815" width="14.625" style="1" customWidth="1"/>
    <col min="13816" max="13816" width="10.625" style="1" customWidth="1"/>
    <col min="13817" max="13817" width="14.625" style="1" customWidth="1"/>
    <col min="13818" max="13818" width="10.625" style="1" customWidth="1"/>
    <col min="13819" max="13819" width="18.625" style="1" customWidth="1"/>
    <col min="13820" max="13820" width="9.625" style="1" customWidth="1"/>
    <col min="13821" max="13821" width="10.5" style="1" customWidth="1"/>
    <col min="13822" max="13822" width="20.375" style="1" bestFit="1" customWidth="1"/>
    <col min="13823" max="13823" width="12.5" style="1" customWidth="1"/>
    <col min="13824" max="13824" width="13.125" style="1" customWidth="1"/>
    <col min="13825" max="13829" width="9" style="1"/>
    <col min="13830" max="13830" width="11.25" style="1" bestFit="1" customWidth="1"/>
    <col min="13831" max="13831" width="11.625" style="1" bestFit="1" customWidth="1"/>
    <col min="13832" max="14062" width="9" style="1"/>
    <col min="14063" max="14063" width="4.625" style="1" customWidth="1"/>
    <col min="14064" max="14064" width="34.625" style="1" customWidth="1"/>
    <col min="14065" max="14065" width="11.625" style="1" customWidth="1"/>
    <col min="14066" max="14067" width="6.625" style="1" customWidth="1"/>
    <col min="14068" max="14068" width="10.625" style="1" customWidth="1"/>
    <col min="14069" max="14069" width="14.625" style="1" customWidth="1"/>
    <col min="14070" max="14070" width="10.625" style="1" customWidth="1"/>
    <col min="14071" max="14071" width="14.625" style="1" customWidth="1"/>
    <col min="14072" max="14072" width="10.625" style="1" customWidth="1"/>
    <col min="14073" max="14073" width="14.625" style="1" customWidth="1"/>
    <col min="14074" max="14074" width="10.625" style="1" customWidth="1"/>
    <col min="14075" max="14075" width="18.625" style="1" customWidth="1"/>
    <col min="14076" max="14076" width="9.625" style="1" customWidth="1"/>
    <col min="14077" max="14077" width="10.5" style="1" customWidth="1"/>
    <col min="14078" max="14078" width="20.375" style="1" bestFit="1" customWidth="1"/>
    <col min="14079" max="14079" width="12.5" style="1" customWidth="1"/>
    <col min="14080" max="14080" width="13.125" style="1" customWidth="1"/>
    <col min="14081" max="14085" width="9" style="1"/>
    <col min="14086" max="14086" width="11.25" style="1" bestFit="1" customWidth="1"/>
    <col min="14087" max="14087" width="11.625" style="1" bestFit="1" customWidth="1"/>
    <col min="14088" max="14318" width="9" style="1"/>
    <col min="14319" max="14319" width="4.625" style="1" customWidth="1"/>
    <col min="14320" max="14320" width="34.625" style="1" customWidth="1"/>
    <col min="14321" max="14321" width="11.625" style="1" customWidth="1"/>
    <col min="14322" max="14323" width="6.625" style="1" customWidth="1"/>
    <col min="14324" max="14324" width="10.625" style="1" customWidth="1"/>
    <col min="14325" max="14325" width="14.625" style="1" customWidth="1"/>
    <col min="14326" max="14326" width="10.625" style="1" customWidth="1"/>
    <col min="14327" max="14327" width="14.625" style="1" customWidth="1"/>
    <col min="14328" max="14328" width="10.625" style="1" customWidth="1"/>
    <col min="14329" max="14329" width="14.625" style="1" customWidth="1"/>
    <col min="14330" max="14330" width="10.625" style="1" customWidth="1"/>
    <col min="14331" max="14331" width="18.625" style="1" customWidth="1"/>
    <col min="14332" max="14332" width="9.625" style="1" customWidth="1"/>
    <col min="14333" max="14333" width="10.5" style="1" customWidth="1"/>
    <col min="14334" max="14334" width="20.375" style="1" bestFit="1" customWidth="1"/>
    <col min="14335" max="14335" width="12.5" style="1" customWidth="1"/>
    <col min="14336" max="14336" width="13.125" style="1" customWidth="1"/>
    <col min="14337" max="14341" width="9" style="1"/>
    <col min="14342" max="14342" width="11.25" style="1" bestFit="1" customWidth="1"/>
    <col min="14343" max="14343" width="11.625" style="1" bestFit="1" customWidth="1"/>
    <col min="14344" max="14574" width="9" style="1"/>
    <col min="14575" max="14575" width="4.625" style="1" customWidth="1"/>
    <col min="14576" max="14576" width="34.625" style="1" customWidth="1"/>
    <col min="14577" max="14577" width="11.625" style="1" customWidth="1"/>
    <col min="14578" max="14579" width="6.625" style="1" customWidth="1"/>
    <col min="14580" max="14580" width="10.625" style="1" customWidth="1"/>
    <col min="14581" max="14581" width="14.625" style="1" customWidth="1"/>
    <col min="14582" max="14582" width="10.625" style="1" customWidth="1"/>
    <col min="14583" max="14583" width="14.625" style="1" customWidth="1"/>
    <col min="14584" max="14584" width="10.625" style="1" customWidth="1"/>
    <col min="14585" max="14585" width="14.625" style="1" customWidth="1"/>
    <col min="14586" max="14586" width="10.625" style="1" customWidth="1"/>
    <col min="14587" max="14587" width="18.625" style="1" customWidth="1"/>
    <col min="14588" max="14588" width="9.625" style="1" customWidth="1"/>
    <col min="14589" max="14589" width="10.5" style="1" customWidth="1"/>
    <col min="14590" max="14590" width="20.375" style="1" bestFit="1" customWidth="1"/>
    <col min="14591" max="14591" width="12.5" style="1" customWidth="1"/>
    <col min="14592" max="14592" width="13.125" style="1" customWidth="1"/>
    <col min="14593" max="14597" width="9" style="1"/>
    <col min="14598" max="14598" width="11.25" style="1" bestFit="1" customWidth="1"/>
    <col min="14599" max="14599" width="11.625" style="1" bestFit="1" customWidth="1"/>
    <col min="14600" max="14830" width="9" style="1"/>
    <col min="14831" max="14831" width="4.625" style="1" customWidth="1"/>
    <col min="14832" max="14832" width="34.625" style="1" customWidth="1"/>
    <col min="14833" max="14833" width="11.625" style="1" customWidth="1"/>
    <col min="14834" max="14835" width="6.625" style="1" customWidth="1"/>
    <col min="14836" max="14836" width="10.625" style="1" customWidth="1"/>
    <col min="14837" max="14837" width="14.625" style="1" customWidth="1"/>
    <col min="14838" max="14838" width="10.625" style="1" customWidth="1"/>
    <col min="14839" max="14839" width="14.625" style="1" customWidth="1"/>
    <col min="14840" max="14840" width="10.625" style="1" customWidth="1"/>
    <col min="14841" max="14841" width="14.625" style="1" customWidth="1"/>
    <col min="14842" max="14842" width="10.625" style="1" customWidth="1"/>
    <col min="14843" max="14843" width="18.625" style="1" customWidth="1"/>
    <col min="14844" max="14844" width="9.625" style="1" customWidth="1"/>
    <col min="14845" max="14845" width="10.5" style="1" customWidth="1"/>
    <col min="14846" max="14846" width="20.375" style="1" bestFit="1" customWidth="1"/>
    <col min="14847" max="14847" width="12.5" style="1" customWidth="1"/>
    <col min="14848" max="14848" width="13.125" style="1" customWidth="1"/>
    <col min="14849" max="14853" width="9" style="1"/>
    <col min="14854" max="14854" width="11.25" style="1" bestFit="1" customWidth="1"/>
    <col min="14855" max="14855" width="11.625" style="1" bestFit="1" customWidth="1"/>
    <col min="14856" max="15086" width="9" style="1"/>
    <col min="15087" max="15087" width="4.625" style="1" customWidth="1"/>
    <col min="15088" max="15088" width="34.625" style="1" customWidth="1"/>
    <col min="15089" max="15089" width="11.625" style="1" customWidth="1"/>
    <col min="15090" max="15091" width="6.625" style="1" customWidth="1"/>
    <col min="15092" max="15092" width="10.625" style="1" customWidth="1"/>
    <col min="15093" max="15093" width="14.625" style="1" customWidth="1"/>
    <col min="15094" max="15094" width="10.625" style="1" customWidth="1"/>
    <col min="15095" max="15095" width="14.625" style="1" customWidth="1"/>
    <col min="15096" max="15096" width="10.625" style="1" customWidth="1"/>
    <col min="15097" max="15097" width="14.625" style="1" customWidth="1"/>
    <col min="15098" max="15098" width="10.625" style="1" customWidth="1"/>
    <col min="15099" max="15099" width="18.625" style="1" customWidth="1"/>
    <col min="15100" max="15100" width="9.625" style="1" customWidth="1"/>
    <col min="15101" max="15101" width="10.5" style="1" customWidth="1"/>
    <col min="15102" max="15102" width="20.375" style="1" bestFit="1" customWidth="1"/>
    <col min="15103" max="15103" width="12.5" style="1" customWidth="1"/>
    <col min="15104" max="15104" width="13.125" style="1" customWidth="1"/>
    <col min="15105" max="15109" width="9" style="1"/>
    <col min="15110" max="15110" width="11.25" style="1" bestFit="1" customWidth="1"/>
    <col min="15111" max="15111" width="11.625" style="1" bestFit="1" customWidth="1"/>
    <col min="15112" max="15342" width="9" style="1"/>
    <col min="15343" max="15343" width="4.625" style="1" customWidth="1"/>
    <col min="15344" max="15344" width="34.625" style="1" customWidth="1"/>
    <col min="15345" max="15345" width="11.625" style="1" customWidth="1"/>
    <col min="15346" max="15347" width="6.625" style="1" customWidth="1"/>
    <col min="15348" max="15348" width="10.625" style="1" customWidth="1"/>
    <col min="15349" max="15349" width="14.625" style="1" customWidth="1"/>
    <col min="15350" max="15350" width="10.625" style="1" customWidth="1"/>
    <col min="15351" max="15351" width="14.625" style="1" customWidth="1"/>
    <col min="15352" max="15352" width="10.625" style="1" customWidth="1"/>
    <col min="15353" max="15353" width="14.625" style="1" customWidth="1"/>
    <col min="15354" max="15354" width="10.625" style="1" customWidth="1"/>
    <col min="15355" max="15355" width="18.625" style="1" customWidth="1"/>
    <col min="15356" max="15356" width="9.625" style="1" customWidth="1"/>
    <col min="15357" max="15357" width="10.5" style="1" customWidth="1"/>
    <col min="15358" max="15358" width="20.375" style="1" bestFit="1" customWidth="1"/>
    <col min="15359" max="15359" width="12.5" style="1" customWidth="1"/>
    <col min="15360" max="15360" width="13.125" style="1" customWidth="1"/>
    <col min="15361" max="15365" width="9" style="1"/>
    <col min="15366" max="15366" width="11.25" style="1" bestFit="1" customWidth="1"/>
    <col min="15367" max="15367" width="11.625" style="1" bestFit="1" customWidth="1"/>
    <col min="15368" max="15598" width="9" style="1"/>
    <col min="15599" max="15599" width="4.625" style="1" customWidth="1"/>
    <col min="15600" max="15600" width="34.625" style="1" customWidth="1"/>
    <col min="15601" max="15601" width="11.625" style="1" customWidth="1"/>
    <col min="15602" max="15603" width="6.625" style="1" customWidth="1"/>
    <col min="15604" max="15604" width="10.625" style="1" customWidth="1"/>
    <col min="15605" max="15605" width="14.625" style="1" customWidth="1"/>
    <col min="15606" max="15606" width="10.625" style="1" customWidth="1"/>
    <col min="15607" max="15607" width="14.625" style="1" customWidth="1"/>
    <col min="15608" max="15608" width="10.625" style="1" customWidth="1"/>
    <col min="15609" max="15609" width="14.625" style="1" customWidth="1"/>
    <col min="15610" max="15610" width="10.625" style="1" customWidth="1"/>
    <col min="15611" max="15611" width="18.625" style="1" customWidth="1"/>
    <col min="15612" max="15612" width="9.625" style="1" customWidth="1"/>
    <col min="15613" max="15613" width="10.5" style="1" customWidth="1"/>
    <col min="15614" max="15614" width="20.375" style="1" bestFit="1" customWidth="1"/>
    <col min="15615" max="15615" width="12.5" style="1" customWidth="1"/>
    <col min="15616" max="15616" width="13.125" style="1" customWidth="1"/>
    <col min="15617" max="15621" width="9" style="1"/>
    <col min="15622" max="15622" width="11.25" style="1" bestFit="1" customWidth="1"/>
    <col min="15623" max="15623" width="11.625" style="1" bestFit="1" customWidth="1"/>
    <col min="15624" max="15854" width="9" style="1"/>
    <col min="15855" max="15855" width="4.625" style="1" customWidth="1"/>
    <col min="15856" max="15856" width="34.625" style="1" customWidth="1"/>
    <col min="15857" max="15857" width="11.625" style="1" customWidth="1"/>
    <col min="15858" max="15859" width="6.625" style="1" customWidth="1"/>
    <col min="15860" max="15860" width="10.625" style="1" customWidth="1"/>
    <col min="15861" max="15861" width="14.625" style="1" customWidth="1"/>
    <col min="15862" max="15862" width="10.625" style="1" customWidth="1"/>
    <col min="15863" max="15863" width="14.625" style="1" customWidth="1"/>
    <col min="15864" max="15864" width="10.625" style="1" customWidth="1"/>
    <col min="15865" max="15865" width="14.625" style="1" customWidth="1"/>
    <col min="15866" max="15866" width="10.625" style="1" customWidth="1"/>
    <col min="15867" max="15867" width="18.625" style="1" customWidth="1"/>
    <col min="15868" max="15868" width="9.625" style="1" customWidth="1"/>
    <col min="15869" max="15869" width="10.5" style="1" customWidth="1"/>
    <col min="15870" max="15870" width="20.375" style="1" bestFit="1" customWidth="1"/>
    <col min="15871" max="15871" width="12.5" style="1" customWidth="1"/>
    <col min="15872" max="15872" width="13.125" style="1" customWidth="1"/>
    <col min="15873" max="15877" width="9" style="1"/>
    <col min="15878" max="15878" width="11.25" style="1" bestFit="1" customWidth="1"/>
    <col min="15879" max="15879" width="11.625" style="1" bestFit="1" customWidth="1"/>
    <col min="15880" max="16110" width="9" style="1"/>
    <col min="16111" max="16111" width="4.625" style="1" customWidth="1"/>
    <col min="16112" max="16112" width="34.625" style="1" customWidth="1"/>
    <col min="16113" max="16113" width="11.625" style="1" customWidth="1"/>
    <col min="16114" max="16115" width="6.625" style="1" customWidth="1"/>
    <col min="16116" max="16116" width="10.625" style="1" customWidth="1"/>
    <col min="16117" max="16117" width="14.625" style="1" customWidth="1"/>
    <col min="16118" max="16118" width="10.625" style="1" customWidth="1"/>
    <col min="16119" max="16119" width="14.625" style="1" customWidth="1"/>
    <col min="16120" max="16120" width="10.625" style="1" customWidth="1"/>
    <col min="16121" max="16121" width="14.625" style="1" customWidth="1"/>
    <col min="16122" max="16122" width="10.625" style="1" customWidth="1"/>
    <col min="16123" max="16123" width="18.625" style="1" customWidth="1"/>
    <col min="16124" max="16124" width="9.625" style="1" customWidth="1"/>
    <col min="16125" max="16125" width="10.5" style="1" customWidth="1"/>
    <col min="16126" max="16126" width="20.375" style="1" bestFit="1" customWidth="1"/>
    <col min="16127" max="16127" width="12.5" style="1" customWidth="1"/>
    <col min="16128" max="16128" width="13.125" style="1" customWidth="1"/>
    <col min="16129" max="16133" width="9" style="1"/>
    <col min="16134" max="16134" width="11.25" style="1" bestFit="1" customWidth="1"/>
    <col min="16135" max="16135" width="11.625" style="1" bestFit="1" customWidth="1"/>
    <col min="16136" max="16384" width="9" style="1"/>
  </cols>
  <sheetData>
    <row r="1" spans="1:123" ht="35.1" customHeight="1">
      <c r="A1" s="330" t="s">
        <v>402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2"/>
    </row>
    <row r="2" spans="1:123" customFormat="1" ht="19.5" customHeight="1" thickBot="1">
      <c r="A2" s="356" t="s">
        <v>289</v>
      </c>
      <c r="B2" s="356"/>
      <c r="C2" s="356"/>
      <c r="D2" s="356"/>
      <c r="E2" s="356"/>
      <c r="F2" s="60"/>
      <c r="G2" s="60"/>
      <c r="H2" s="60"/>
      <c r="I2" s="60"/>
      <c r="J2" s="60"/>
      <c r="K2" s="60"/>
      <c r="L2" s="60"/>
      <c r="M2" s="368" t="s">
        <v>433</v>
      </c>
      <c r="N2" s="368"/>
    </row>
    <row r="3" spans="1:123" ht="30" customHeight="1">
      <c r="A3" s="121"/>
      <c r="B3" s="346" t="s">
        <v>56</v>
      </c>
      <c r="C3" s="348" t="s">
        <v>39</v>
      </c>
      <c r="D3" s="348" t="s">
        <v>38</v>
      </c>
      <c r="E3" s="348" t="s">
        <v>37</v>
      </c>
      <c r="F3" s="350" t="s">
        <v>40</v>
      </c>
      <c r="G3" s="351"/>
      <c r="H3" s="350" t="s">
        <v>57</v>
      </c>
      <c r="I3" s="351"/>
      <c r="J3" s="350" t="s">
        <v>41</v>
      </c>
      <c r="K3" s="351"/>
      <c r="L3" s="350" t="s">
        <v>4</v>
      </c>
      <c r="M3" s="351"/>
      <c r="N3" s="352" t="s">
        <v>0</v>
      </c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</row>
    <row r="4" spans="1:123" s="5" customFormat="1" ht="30" customHeight="1" thickBot="1">
      <c r="A4" s="122"/>
      <c r="B4" s="347"/>
      <c r="C4" s="349"/>
      <c r="D4" s="349"/>
      <c r="E4" s="349"/>
      <c r="F4" s="74" t="s">
        <v>58</v>
      </c>
      <c r="G4" s="74" t="s">
        <v>59</v>
      </c>
      <c r="H4" s="74" t="s">
        <v>58</v>
      </c>
      <c r="I4" s="74" t="s">
        <v>59</v>
      </c>
      <c r="J4" s="74" t="s">
        <v>58</v>
      </c>
      <c r="K4" s="74" t="s">
        <v>59</v>
      </c>
      <c r="L4" s="74" t="s">
        <v>58</v>
      </c>
      <c r="M4" s="74" t="s">
        <v>59</v>
      </c>
      <c r="N4" s="353"/>
      <c r="O4" s="2"/>
    </row>
    <row r="5" spans="1:123" s="2" customFormat="1" ht="30" hidden="1" customHeight="1">
      <c r="A5" s="123"/>
      <c r="B5" s="342" t="s">
        <v>60</v>
      </c>
      <c r="C5" s="342"/>
      <c r="D5" s="342"/>
      <c r="E5" s="343"/>
      <c r="F5" s="124"/>
      <c r="G5" s="124"/>
      <c r="H5" s="124"/>
      <c r="I5" s="124"/>
      <c r="J5" s="124"/>
      <c r="K5" s="124"/>
      <c r="L5" s="124"/>
      <c r="M5" s="124"/>
      <c r="N5" s="125"/>
    </row>
    <row r="6" spans="1:123" ht="30" customHeight="1">
      <c r="A6" s="165" t="s">
        <v>54</v>
      </c>
      <c r="B6" s="44"/>
      <c r="C6" s="44"/>
      <c r="D6" s="44"/>
      <c r="E6" s="47"/>
      <c r="F6" s="48"/>
      <c r="G6" s="48">
        <f>'기성내역서(2024용인_지성_예수금)'!G61</f>
        <v>183124310</v>
      </c>
      <c r="H6" s="48"/>
      <c r="I6" s="48">
        <f>'기성내역서(2024용인_지성_예수금)'!I61</f>
        <v>13509666</v>
      </c>
      <c r="J6" s="48"/>
      <c r="K6" s="48">
        <f>'기성내역서(2024용인_지성_예수금)'!K61</f>
        <v>12832128</v>
      </c>
      <c r="L6" s="46"/>
      <c r="M6" s="45">
        <f>G6+I6+K6</f>
        <v>209466104</v>
      </c>
      <c r="N6" s="166"/>
      <c r="O6" s="2"/>
    </row>
    <row r="7" spans="1:123" s="3" customFormat="1" ht="30" customHeight="1">
      <c r="A7" s="127"/>
      <c r="B7" s="132"/>
      <c r="C7" s="129"/>
      <c r="D7" s="130"/>
      <c r="E7" s="128"/>
      <c r="F7" s="131"/>
      <c r="G7" s="80"/>
      <c r="H7" s="80"/>
      <c r="I7" s="80"/>
      <c r="J7" s="80"/>
      <c r="K7" s="80"/>
      <c r="L7" s="80"/>
      <c r="M7" s="80"/>
      <c r="N7" s="8"/>
      <c r="O7" s="2"/>
    </row>
    <row r="8" spans="1:123" s="3" customFormat="1" ht="30" customHeight="1">
      <c r="A8" s="127"/>
      <c r="B8" s="132"/>
      <c r="C8" s="129"/>
      <c r="D8" s="130"/>
      <c r="E8" s="128"/>
      <c r="F8" s="131"/>
      <c r="G8" s="80"/>
      <c r="H8" s="80"/>
      <c r="I8" s="80"/>
      <c r="J8" s="80"/>
      <c r="K8" s="80"/>
      <c r="L8" s="80"/>
      <c r="M8" s="80"/>
      <c r="N8" s="8"/>
      <c r="O8" s="2"/>
    </row>
    <row r="9" spans="1:123" s="3" customFormat="1" ht="30" customHeight="1" thickBot="1">
      <c r="A9" s="133"/>
      <c r="B9" s="134"/>
      <c r="C9" s="135"/>
      <c r="D9" s="62"/>
      <c r="E9" s="62"/>
      <c r="F9" s="22"/>
      <c r="G9" s="23"/>
      <c r="H9" s="23"/>
      <c r="I9" s="23"/>
      <c r="J9" s="23"/>
      <c r="K9" s="23"/>
      <c r="L9" s="23"/>
      <c r="M9" s="23"/>
      <c r="N9" s="63"/>
      <c r="O9" s="2"/>
    </row>
    <row r="10" spans="1:123" s="52" customFormat="1" ht="30" customHeight="1" thickBot="1">
      <c r="A10" s="136"/>
      <c r="B10" s="137" t="s">
        <v>46</v>
      </c>
      <c r="C10" s="138"/>
      <c r="D10" s="139"/>
      <c r="E10" s="138"/>
      <c r="F10" s="140"/>
      <c r="G10" s="140">
        <f>SUM(G6:G9)</f>
        <v>183124310</v>
      </c>
      <c r="H10" s="140"/>
      <c r="I10" s="140">
        <f>SUM(I6:I9)</f>
        <v>13509666</v>
      </c>
      <c r="J10" s="140"/>
      <c r="K10" s="140">
        <f>SUM(K6:K9)</f>
        <v>12832128</v>
      </c>
      <c r="L10" s="140"/>
      <c r="M10" s="140">
        <f>SUM(M6:M9)</f>
        <v>209466104</v>
      </c>
      <c r="N10" s="141"/>
      <c r="O10" s="51"/>
    </row>
    <row r="11" spans="1:123" s="92" customFormat="1" ht="30" customHeight="1">
      <c r="A11" s="142"/>
      <c r="B11" s="143" t="s">
        <v>1</v>
      </c>
      <c r="C11" s="82"/>
      <c r="D11" s="83"/>
      <c r="E11" s="84"/>
      <c r="F11" s="85"/>
      <c r="G11" s="86"/>
      <c r="H11" s="87"/>
      <c r="I11" s="86"/>
      <c r="J11" s="87"/>
      <c r="K11" s="86"/>
      <c r="L11" s="88"/>
      <c r="M11" s="89"/>
      <c r="N11" s="90"/>
      <c r="O11" s="91"/>
    </row>
    <row r="12" spans="1:123" s="3" customFormat="1" ht="30" customHeight="1">
      <c r="A12" s="144" t="s">
        <v>36</v>
      </c>
      <c r="B12" s="145" t="s">
        <v>61</v>
      </c>
      <c r="C12" s="6"/>
      <c r="D12" s="7">
        <v>1</v>
      </c>
      <c r="E12" s="6" t="s">
        <v>5</v>
      </c>
      <c r="F12" s="27"/>
      <c r="G12" s="28"/>
      <c r="H12" s="29"/>
      <c r="I12" s="28"/>
      <c r="J12" s="29"/>
      <c r="K12" s="28"/>
      <c r="L12" s="29"/>
      <c r="M12" s="30">
        <f>G10</f>
        <v>183124310</v>
      </c>
      <c r="N12" s="8"/>
      <c r="O12" s="2"/>
    </row>
    <row r="13" spans="1:123" s="3" customFormat="1" ht="30" customHeight="1">
      <c r="A13" s="144" t="s">
        <v>34</v>
      </c>
      <c r="B13" s="146" t="s">
        <v>47</v>
      </c>
      <c r="C13" s="6"/>
      <c r="D13" s="31"/>
      <c r="E13" s="32"/>
      <c r="F13" s="27"/>
      <c r="G13" s="28"/>
      <c r="H13" s="29"/>
      <c r="I13" s="28"/>
      <c r="J13" s="29"/>
      <c r="K13" s="28"/>
      <c r="L13" s="29"/>
      <c r="M13" s="30">
        <f>SUM(M14:M15)</f>
        <v>15306451</v>
      </c>
      <c r="N13" s="8"/>
      <c r="O13" s="2"/>
    </row>
    <row r="14" spans="1:123" ht="30" customHeight="1">
      <c r="A14" s="126"/>
      <c r="B14" s="145" t="s">
        <v>42</v>
      </c>
      <c r="C14" s="33"/>
      <c r="D14" s="7">
        <v>1</v>
      </c>
      <c r="E14" s="6" t="s">
        <v>5</v>
      </c>
      <c r="F14" s="34"/>
      <c r="G14" s="25"/>
      <c r="H14" s="25"/>
      <c r="I14" s="25"/>
      <c r="J14" s="25"/>
      <c r="K14" s="25"/>
      <c r="L14" s="26"/>
      <c r="M14" s="24">
        <f>I10</f>
        <v>13509666</v>
      </c>
      <c r="N14" s="8"/>
    </row>
    <row r="15" spans="1:123" ht="30" customHeight="1">
      <c r="A15" s="126"/>
      <c r="B15" s="145" t="s">
        <v>43</v>
      </c>
      <c r="C15" s="35">
        <v>0.13300000000000001</v>
      </c>
      <c r="D15" s="7">
        <v>1</v>
      </c>
      <c r="E15" s="6" t="s">
        <v>5</v>
      </c>
      <c r="F15" s="34" t="s">
        <v>2</v>
      </c>
      <c r="G15" s="25"/>
      <c r="H15" s="25"/>
      <c r="I15" s="25"/>
      <c r="J15" s="25"/>
      <c r="K15" s="25"/>
      <c r="L15" s="26"/>
      <c r="M15" s="24">
        <f>INT(I10*C15)</f>
        <v>1796785</v>
      </c>
      <c r="N15" s="8"/>
      <c r="O15" s="41"/>
    </row>
    <row r="16" spans="1:123" ht="30" customHeight="1">
      <c r="A16" s="144" t="s">
        <v>35</v>
      </c>
      <c r="B16" s="146" t="s">
        <v>62</v>
      </c>
      <c r="C16" s="33"/>
      <c r="D16" s="7"/>
      <c r="E16" s="6"/>
      <c r="F16" s="34"/>
      <c r="G16" s="25"/>
      <c r="H16" s="25"/>
      <c r="I16" s="25"/>
      <c r="J16" s="25"/>
      <c r="K16" s="25"/>
      <c r="L16" s="26"/>
      <c r="M16" s="24">
        <f>SUM(M17:M30)</f>
        <v>21865723</v>
      </c>
      <c r="N16" s="8"/>
    </row>
    <row r="17" spans="1:16" ht="30" customHeight="1">
      <c r="A17" s="126"/>
      <c r="B17" s="145" t="s">
        <v>63</v>
      </c>
      <c r="C17" s="33"/>
      <c r="D17" s="7">
        <v>1</v>
      </c>
      <c r="E17" s="6" t="s">
        <v>5</v>
      </c>
      <c r="F17" s="34"/>
      <c r="G17" s="25"/>
      <c r="H17" s="25"/>
      <c r="I17" s="25"/>
      <c r="J17" s="25"/>
      <c r="K17" s="25"/>
      <c r="L17" s="26"/>
      <c r="M17" s="24">
        <f>K10</f>
        <v>12832128</v>
      </c>
      <c r="N17" s="8"/>
    </row>
    <row r="18" spans="1:16" ht="30" customHeight="1">
      <c r="A18" s="126"/>
      <c r="B18" s="145" t="s">
        <v>87</v>
      </c>
      <c r="C18" s="36"/>
      <c r="D18" s="7"/>
      <c r="E18" s="6"/>
      <c r="F18" s="34"/>
      <c r="G18" s="25"/>
      <c r="H18" s="25"/>
      <c r="I18" s="25"/>
      <c r="J18" s="25"/>
      <c r="K18" s="25"/>
      <c r="L18" s="26"/>
      <c r="M18" s="24"/>
      <c r="N18" s="49"/>
      <c r="P18" s="5"/>
    </row>
    <row r="19" spans="1:16" ht="30" customHeight="1">
      <c r="A19" s="126"/>
      <c r="B19" s="146" t="s">
        <v>65</v>
      </c>
      <c r="C19" s="33">
        <v>3.56E-2</v>
      </c>
      <c r="D19" s="7">
        <v>1</v>
      </c>
      <c r="E19" s="6" t="s">
        <v>5</v>
      </c>
      <c r="F19" s="34" t="s">
        <v>66</v>
      </c>
      <c r="G19" s="25"/>
      <c r="H19" s="25"/>
      <c r="I19" s="25"/>
      <c r="J19" s="25"/>
      <c r="K19" s="25"/>
      <c r="L19" s="26"/>
      <c r="M19" s="24">
        <f>INT((I10+M15)*C19)</f>
        <v>544909</v>
      </c>
      <c r="N19" s="8"/>
      <c r="O19" s="42"/>
      <c r="P19" s="52"/>
    </row>
    <row r="20" spans="1:16" ht="30" customHeight="1">
      <c r="A20" s="126"/>
      <c r="B20" s="146" t="s">
        <v>67</v>
      </c>
      <c r="C20" s="33">
        <v>1.01E-2</v>
      </c>
      <c r="D20" s="7">
        <v>1</v>
      </c>
      <c r="E20" s="6" t="s">
        <v>5</v>
      </c>
      <c r="F20" s="34" t="s">
        <v>66</v>
      </c>
      <c r="G20" s="25"/>
      <c r="H20" s="25"/>
      <c r="I20" s="25"/>
      <c r="J20" s="25"/>
      <c r="K20" s="25"/>
      <c r="L20" s="26"/>
      <c r="M20" s="24">
        <f>INT((M15+I10)*C20)</f>
        <v>154595</v>
      </c>
      <c r="N20" s="8"/>
      <c r="O20" s="42"/>
      <c r="P20" s="52"/>
    </row>
    <row r="21" spans="1:16" ht="30" customHeight="1">
      <c r="A21" s="126"/>
      <c r="B21" s="146" t="s">
        <v>68</v>
      </c>
      <c r="C21" s="33">
        <v>4.4999999999999998E-2</v>
      </c>
      <c r="D21" s="7">
        <v>1</v>
      </c>
      <c r="E21" s="6" t="s">
        <v>5</v>
      </c>
      <c r="F21" s="34" t="s">
        <v>2</v>
      </c>
      <c r="G21" s="25"/>
      <c r="H21" s="25"/>
      <c r="I21" s="25"/>
      <c r="J21" s="25"/>
      <c r="K21" s="25"/>
      <c r="L21" s="26"/>
      <c r="M21" s="50">
        <v>0</v>
      </c>
      <c r="N21" s="54" t="s">
        <v>64</v>
      </c>
      <c r="O21" s="42"/>
    </row>
    <row r="22" spans="1:16" ht="30" customHeight="1">
      <c r="A22" s="126"/>
      <c r="B22" s="146" t="s">
        <v>70</v>
      </c>
      <c r="C22" s="172">
        <v>3.5450000000000002E-2</v>
      </c>
      <c r="D22" s="7">
        <v>1</v>
      </c>
      <c r="E22" s="6" t="s">
        <v>5</v>
      </c>
      <c r="F22" s="34" t="s">
        <v>2</v>
      </c>
      <c r="G22" s="25"/>
      <c r="H22" s="25"/>
      <c r="I22" s="25"/>
      <c r="J22" s="25"/>
      <c r="K22" s="25"/>
      <c r="L22" s="26"/>
      <c r="M22" s="50">
        <v>0</v>
      </c>
      <c r="N22" s="54" t="s">
        <v>64</v>
      </c>
      <c r="O22" s="42"/>
    </row>
    <row r="23" spans="1:16" ht="30" customHeight="1">
      <c r="A23" s="126"/>
      <c r="B23" s="146" t="s">
        <v>71</v>
      </c>
      <c r="C23" s="33">
        <v>0.1295</v>
      </c>
      <c r="D23" s="7">
        <v>1</v>
      </c>
      <c r="E23" s="6" t="s">
        <v>5</v>
      </c>
      <c r="F23" s="34" t="s">
        <v>72</v>
      </c>
      <c r="G23" s="25"/>
      <c r="H23" s="25"/>
      <c r="I23" s="25"/>
      <c r="J23" s="25"/>
      <c r="K23" s="25"/>
      <c r="L23" s="26"/>
      <c r="M23" s="50">
        <v>0</v>
      </c>
      <c r="N23" s="54" t="s">
        <v>64</v>
      </c>
      <c r="O23" s="42"/>
    </row>
    <row r="24" spans="1:16" ht="30" customHeight="1">
      <c r="A24" s="126"/>
      <c r="B24" s="145" t="s">
        <v>88</v>
      </c>
      <c r="C24" s="35">
        <v>2.3E-2</v>
      </c>
      <c r="D24" s="7">
        <v>1</v>
      </c>
      <c r="E24" s="6" t="s">
        <v>5</v>
      </c>
      <c r="F24" s="34" t="s">
        <v>2</v>
      </c>
      <c r="G24" s="25"/>
      <c r="H24" s="25"/>
      <c r="I24" s="25"/>
      <c r="J24" s="25"/>
      <c r="K24" s="25"/>
      <c r="L24" s="26"/>
      <c r="M24" s="50">
        <v>0</v>
      </c>
      <c r="N24" s="54" t="s">
        <v>64</v>
      </c>
      <c r="O24" s="41"/>
    </row>
    <row r="25" spans="1:16" s="52" customFormat="1" ht="30" customHeight="1">
      <c r="A25" s="126"/>
      <c r="B25" s="145" t="s">
        <v>89</v>
      </c>
      <c r="C25" s="33">
        <v>2.5999999999999999E-2</v>
      </c>
      <c r="D25" s="7">
        <v>1</v>
      </c>
      <c r="E25" s="6" t="s">
        <v>5</v>
      </c>
      <c r="F25" s="153" t="s">
        <v>145</v>
      </c>
      <c r="G25" s="167"/>
      <c r="H25" s="167"/>
      <c r="I25" s="167"/>
      <c r="J25" s="167"/>
      <c r="K25" s="25"/>
      <c r="L25" s="26"/>
      <c r="M25" s="50">
        <v>0</v>
      </c>
      <c r="N25" s="54" t="s">
        <v>64</v>
      </c>
      <c r="O25" s="53"/>
    </row>
    <row r="26" spans="1:16" ht="30" customHeight="1">
      <c r="A26" s="126"/>
      <c r="B26" s="145" t="s">
        <v>90</v>
      </c>
      <c r="C26" s="33">
        <v>4.2000000000000003E-2</v>
      </c>
      <c r="D26" s="7">
        <v>1</v>
      </c>
      <c r="E26" s="6" t="s">
        <v>5</v>
      </c>
      <c r="F26" s="34" t="s">
        <v>73</v>
      </c>
      <c r="G26" s="25"/>
      <c r="H26" s="25"/>
      <c r="I26" s="25"/>
      <c r="J26" s="25"/>
      <c r="K26" s="25"/>
      <c r="L26" s="147"/>
      <c r="M26" s="24">
        <f>INT(($G$10+$I$10+$M$15)*C26)</f>
        <v>8334091</v>
      </c>
      <c r="N26" s="8"/>
      <c r="O26" s="41"/>
    </row>
    <row r="27" spans="1:16" ht="30" customHeight="1">
      <c r="A27" s="126"/>
      <c r="B27" s="145" t="s">
        <v>91</v>
      </c>
      <c r="C27" s="35">
        <v>5.0000000000000001E-3</v>
      </c>
      <c r="D27" s="7">
        <v>1</v>
      </c>
      <c r="E27" s="6" t="s">
        <v>5</v>
      </c>
      <c r="F27" s="34" t="s">
        <v>74</v>
      </c>
      <c r="G27" s="25"/>
      <c r="H27" s="25"/>
      <c r="I27" s="25"/>
      <c r="J27" s="25"/>
      <c r="K27" s="25"/>
      <c r="L27" s="26"/>
      <c r="M27" s="50">
        <v>0</v>
      </c>
      <c r="N27" s="54" t="s">
        <v>64</v>
      </c>
      <c r="O27" s="41"/>
    </row>
    <row r="28" spans="1:16" ht="30" customHeight="1">
      <c r="A28" s="148"/>
      <c r="B28" s="149" t="s">
        <v>92</v>
      </c>
      <c r="C28" s="150"/>
      <c r="D28" s="64"/>
      <c r="E28" s="61"/>
      <c r="F28" s="65"/>
      <c r="G28" s="66"/>
      <c r="H28" s="66"/>
      <c r="I28" s="66"/>
      <c r="J28" s="66"/>
      <c r="K28" s="66"/>
      <c r="L28" s="67"/>
      <c r="M28" s="68"/>
      <c r="N28" s="151"/>
    </row>
    <row r="29" spans="1:16" ht="30" customHeight="1">
      <c r="A29" s="148"/>
      <c r="B29" s="146" t="s">
        <v>75</v>
      </c>
      <c r="C29" s="152">
        <v>8.0000000000000004E-4</v>
      </c>
      <c r="D29" s="64">
        <v>1</v>
      </c>
      <c r="E29" s="61" t="s">
        <v>5</v>
      </c>
      <c r="F29" s="65" t="s">
        <v>74</v>
      </c>
      <c r="G29" s="66"/>
      <c r="H29" s="66"/>
      <c r="I29" s="66"/>
      <c r="J29" s="66"/>
      <c r="K29" s="66"/>
      <c r="L29" s="67"/>
      <c r="M29" s="205">
        <v>0</v>
      </c>
      <c r="N29" s="206" t="s">
        <v>64</v>
      </c>
      <c r="O29" s="43"/>
    </row>
    <row r="30" spans="1:16" ht="30" customHeight="1">
      <c r="A30" s="126"/>
      <c r="B30" s="146" t="s">
        <v>76</v>
      </c>
      <c r="C30" s="33">
        <v>3.2000000000000002E-3</v>
      </c>
      <c r="D30" s="7">
        <v>1</v>
      </c>
      <c r="E30" s="6" t="s">
        <v>5</v>
      </c>
      <c r="F30" s="34" t="s">
        <v>74</v>
      </c>
      <c r="G30" s="25"/>
      <c r="H30" s="25"/>
      <c r="I30" s="25"/>
      <c r="J30" s="25"/>
      <c r="K30" s="25"/>
      <c r="L30" s="26"/>
      <c r="M30" s="50">
        <v>0</v>
      </c>
      <c r="N30" s="54" t="s">
        <v>64</v>
      </c>
      <c r="O30" s="42"/>
    </row>
    <row r="31" spans="1:16" s="57" customFormat="1" ht="30" customHeight="1">
      <c r="A31" s="154"/>
      <c r="B31" s="155" t="s">
        <v>77</v>
      </c>
      <c r="C31" s="75"/>
      <c r="D31" s="76"/>
      <c r="E31" s="75"/>
      <c r="F31" s="77"/>
      <c r="G31" s="78"/>
      <c r="H31" s="78"/>
      <c r="I31" s="78"/>
      <c r="J31" s="78"/>
      <c r="K31" s="78"/>
      <c r="L31" s="79"/>
      <c r="M31" s="80">
        <f>M12+M13+M16</f>
        <v>220296484</v>
      </c>
      <c r="N31" s="81"/>
      <c r="O31" s="120"/>
    </row>
    <row r="32" spans="1:16" ht="30" customHeight="1">
      <c r="A32" s="144" t="s">
        <v>78</v>
      </c>
      <c r="B32" s="146" t="s">
        <v>79</v>
      </c>
      <c r="C32" s="33">
        <v>3.5000000000000003E-2</v>
      </c>
      <c r="D32" s="7">
        <v>1</v>
      </c>
      <c r="E32" s="6" t="s">
        <v>5</v>
      </c>
      <c r="F32" s="34" t="s">
        <v>80</v>
      </c>
      <c r="G32" s="25"/>
      <c r="H32" s="25"/>
      <c r="I32" s="25"/>
      <c r="J32" s="25"/>
      <c r="K32" s="25"/>
      <c r="L32" s="26"/>
      <c r="M32" s="24">
        <f>INT((M12+M13+M16)*C32)</f>
        <v>7710376</v>
      </c>
      <c r="N32" s="8"/>
      <c r="O32" s="41"/>
    </row>
    <row r="33" spans="1:123" ht="30" customHeight="1">
      <c r="A33" s="144" t="s">
        <v>81</v>
      </c>
      <c r="B33" s="146" t="s">
        <v>82</v>
      </c>
      <c r="C33" s="33">
        <v>4.2999999999999997E-2</v>
      </c>
      <c r="D33" s="7">
        <v>1</v>
      </c>
      <c r="E33" s="6" t="s">
        <v>5</v>
      </c>
      <c r="F33" s="34" t="s">
        <v>83</v>
      </c>
      <c r="G33" s="25"/>
      <c r="H33" s="25"/>
      <c r="I33" s="25"/>
      <c r="J33" s="37" t="s">
        <v>84</v>
      </c>
      <c r="K33" s="344">
        <f>INT((M13+M16+M32)*C33)</f>
        <v>1929949</v>
      </c>
      <c r="L33" s="345"/>
      <c r="M33" s="24">
        <f>INT((M13+M16+M32)*C33)-N33</f>
        <v>1923140</v>
      </c>
      <c r="N33" s="170">
        <v>6809</v>
      </c>
      <c r="O33" s="41"/>
    </row>
    <row r="34" spans="1:123" s="57" customFormat="1" ht="30" customHeight="1">
      <c r="A34" s="154"/>
      <c r="B34" s="155" t="s">
        <v>85</v>
      </c>
      <c r="C34" s="75"/>
      <c r="D34" s="76"/>
      <c r="E34" s="75"/>
      <c r="F34" s="77"/>
      <c r="G34" s="78"/>
      <c r="H34" s="78"/>
      <c r="I34" s="78"/>
      <c r="J34" s="78"/>
      <c r="K34" s="78"/>
      <c r="L34" s="79"/>
      <c r="M34" s="80">
        <f>SUM(M31:M33)</f>
        <v>229930000</v>
      </c>
      <c r="N34" s="81"/>
      <c r="O34" s="120"/>
    </row>
    <row r="35" spans="1:123" s="55" customFormat="1" ht="30" customHeight="1">
      <c r="A35" s="154"/>
      <c r="B35" s="155" t="s">
        <v>86</v>
      </c>
      <c r="C35" s="75"/>
      <c r="D35" s="76"/>
      <c r="E35" s="75"/>
      <c r="F35" s="77"/>
      <c r="G35" s="78"/>
      <c r="H35" s="78"/>
      <c r="I35" s="78"/>
      <c r="J35" s="78"/>
      <c r="K35" s="78"/>
      <c r="L35" s="79"/>
      <c r="M35" s="80">
        <f>M34</f>
        <v>229930000</v>
      </c>
      <c r="N35" s="81"/>
      <c r="O35" s="59"/>
    </row>
    <row r="36" spans="1:123" s="55" customFormat="1" ht="30" customHeight="1">
      <c r="A36" s="154"/>
      <c r="B36" s="155" t="s">
        <v>146</v>
      </c>
      <c r="C36" s="75"/>
      <c r="D36" s="76"/>
      <c r="E36" s="75"/>
      <c r="F36" s="77"/>
      <c r="G36" s="78"/>
      <c r="H36" s="78"/>
      <c r="I36" s="78"/>
      <c r="J36" s="78"/>
      <c r="K36" s="78"/>
      <c r="L36" s="79"/>
      <c r="M36" s="80">
        <f>M35*0.1</f>
        <v>22993000</v>
      </c>
      <c r="N36" s="81"/>
      <c r="O36" s="59"/>
    </row>
    <row r="37" spans="1:123" s="57" customFormat="1" ht="30" customHeight="1" thickBot="1">
      <c r="A37" s="156"/>
      <c r="B37" s="157" t="s">
        <v>152</v>
      </c>
      <c r="C37" s="158"/>
      <c r="D37" s="159"/>
      <c r="E37" s="158"/>
      <c r="F37" s="160"/>
      <c r="G37" s="161"/>
      <c r="H37" s="161"/>
      <c r="I37" s="161"/>
      <c r="J37" s="161"/>
      <c r="K37" s="161"/>
      <c r="L37" s="162"/>
      <c r="M37" s="163">
        <f>M35+M36</f>
        <v>252923000</v>
      </c>
      <c r="N37" s="164"/>
      <c r="O37" s="120"/>
    </row>
    <row r="38" spans="1:123" s="2" customFormat="1" ht="30" customHeight="1">
      <c r="A38" s="1"/>
      <c r="B38" s="1"/>
      <c r="D38" s="38"/>
      <c r="E38" s="5"/>
      <c r="F38" s="39"/>
      <c r="G38" s="38"/>
      <c r="H38" s="40"/>
      <c r="I38" s="38"/>
      <c r="J38" s="40"/>
      <c r="K38" s="38"/>
      <c r="L38" s="40"/>
      <c r="M38" s="40"/>
      <c r="N38" s="5"/>
      <c r="O38" s="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</row>
    <row r="39" spans="1:123" s="2" customFormat="1" ht="33" customHeight="1">
      <c r="A39" s="1"/>
      <c r="B39" s="1"/>
      <c r="D39" s="38"/>
      <c r="E39" s="5"/>
      <c r="F39" s="39"/>
      <c r="G39" s="38"/>
      <c r="H39" s="40"/>
      <c r="I39" s="38"/>
      <c r="J39" s="40"/>
      <c r="K39" s="38"/>
      <c r="L39" s="40"/>
      <c r="M39" s="168">
        <f>ROUND(M37/M10,5)</f>
        <v>1.20747</v>
      </c>
      <c r="N39" s="5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</row>
    <row r="40" spans="1:123" s="2" customFormat="1" ht="33" customHeight="1">
      <c r="A40" s="1"/>
      <c r="B40" s="1"/>
      <c r="D40" s="38"/>
      <c r="E40" s="5"/>
      <c r="F40" s="39"/>
      <c r="G40" s="38"/>
      <c r="H40" s="40"/>
      <c r="I40" s="38"/>
      <c r="J40" s="40"/>
      <c r="K40" s="38"/>
      <c r="L40" s="40"/>
      <c r="M40" s="40"/>
      <c r="N40" s="5"/>
      <c r="O40" s="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</row>
    <row r="41" spans="1:123" s="2" customFormat="1" ht="30" customHeight="1">
      <c r="A41" s="1"/>
      <c r="B41" s="1"/>
      <c r="D41" s="38"/>
      <c r="E41" s="5"/>
      <c r="F41" s="39"/>
      <c r="G41" s="38"/>
      <c r="H41" s="40"/>
      <c r="I41" s="38"/>
      <c r="J41" s="40"/>
      <c r="K41" s="38"/>
      <c r="L41" s="40"/>
      <c r="M41" s="40"/>
      <c r="N41" s="5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</row>
    <row r="45" spans="1:123" s="2" customFormat="1" ht="34.700000000000003" customHeight="1">
      <c r="A45" s="1"/>
      <c r="B45" s="1"/>
      <c r="D45" s="38"/>
      <c r="E45" s="5"/>
      <c r="F45" s="39"/>
      <c r="G45" s="38"/>
      <c r="H45" s="40"/>
      <c r="I45" s="38"/>
      <c r="J45" s="40"/>
      <c r="K45" s="38"/>
      <c r="L45" s="40"/>
      <c r="M45" s="40"/>
      <c r="N45" s="5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</row>
  </sheetData>
  <mergeCells count="14">
    <mergeCell ref="L3:M3"/>
    <mergeCell ref="N3:N4"/>
    <mergeCell ref="B5:E5"/>
    <mergeCell ref="K33:L33"/>
    <mergeCell ref="A1:N1"/>
    <mergeCell ref="A2:E2"/>
    <mergeCell ref="M2:N2"/>
    <mergeCell ref="B3:B4"/>
    <mergeCell ref="C3:C4"/>
    <mergeCell ref="D3:D4"/>
    <mergeCell ref="E3:E4"/>
    <mergeCell ref="F3:G3"/>
    <mergeCell ref="H3:I3"/>
    <mergeCell ref="J3:K3"/>
  </mergeCells>
  <phoneticPr fontId="14" type="noConversion"/>
  <printOptions horizontalCentered="1" gridLinesSet="0"/>
  <pageMargins left="0.51181102362204722" right="0.51181102362204722" top="0.98425196850393704" bottom="0.62992125984251968" header="0.70866141732283472" footer="0.39370078740157483"/>
  <pageSetup paperSize="9" scale="68" orientation="landscape" horizontalDpi="1200" verticalDpi="1200" r:id="rId1"/>
  <headerFooter alignWithMargins="0">
    <oddHeader xml:space="preserve">&amp;C&amp;"돋움,보통"&amp;16&amp;U
</oddHeader>
  </headerFooter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CFF"/>
    <pageSetUpPr fitToPage="1"/>
  </sheetPr>
  <dimension ref="A1:T62"/>
  <sheetViews>
    <sheetView view="pageBreakPreview" topLeftCell="A40" zoomScaleNormal="85" zoomScaleSheetLayoutView="100" workbookViewId="0">
      <selection activeCell="D8" sqref="D8"/>
    </sheetView>
  </sheetViews>
  <sheetFormatPr defaultColWidth="8" defaultRowHeight="14.25"/>
  <cols>
    <col min="1" max="1" width="10.5" customWidth="1"/>
    <col min="2" max="2" width="29.875" customWidth="1"/>
    <col min="3" max="3" width="18.75" customWidth="1"/>
    <col min="4" max="4" width="10.5" customWidth="1"/>
    <col min="5" max="5" width="5.25" customWidth="1"/>
    <col min="6" max="6" width="12.5" customWidth="1"/>
    <col min="7" max="7" width="15" customWidth="1"/>
    <col min="8" max="8" width="12.5" customWidth="1"/>
    <col min="9" max="9" width="16.875" customWidth="1"/>
    <col min="10" max="10" width="12.5" customWidth="1"/>
    <col min="11" max="11" width="16.875" customWidth="1"/>
    <col min="12" max="12" width="12.5" customWidth="1"/>
    <col min="13" max="13" width="16.875" customWidth="1"/>
    <col min="14" max="14" width="10.5" customWidth="1"/>
    <col min="16" max="16" width="19.25" bestFit="1" customWidth="1"/>
    <col min="18" max="18" width="10.625" bestFit="1" customWidth="1"/>
  </cols>
  <sheetData>
    <row r="1" spans="1:14" ht="35.1" customHeight="1">
      <c r="A1" s="338" t="s">
        <v>408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</row>
    <row r="2" spans="1:14" ht="15.4" customHeight="1" thickBot="1">
      <c r="A2" s="60" t="s">
        <v>144</v>
      </c>
      <c r="B2" s="93"/>
      <c r="C2" s="116"/>
      <c r="D2" s="117"/>
      <c r="E2" s="93"/>
      <c r="F2" s="93"/>
      <c r="G2" s="93"/>
      <c r="H2" s="93"/>
      <c r="I2" s="93"/>
      <c r="J2" s="93"/>
      <c r="K2" s="93"/>
      <c r="L2" s="93"/>
      <c r="M2" s="368" t="s">
        <v>433</v>
      </c>
      <c r="N2" s="368"/>
    </row>
    <row r="3" spans="1:14" ht="19.5" customHeight="1">
      <c r="A3" s="94" t="s">
        <v>11</v>
      </c>
      <c r="B3" s="94" t="s">
        <v>12</v>
      </c>
      <c r="C3" s="115" t="s">
        <v>13</v>
      </c>
      <c r="D3" s="115" t="s">
        <v>14</v>
      </c>
      <c r="E3" s="94" t="s">
        <v>6</v>
      </c>
      <c r="F3" s="95" t="s">
        <v>8</v>
      </c>
      <c r="G3" s="96"/>
      <c r="H3" s="95" t="s">
        <v>9</v>
      </c>
      <c r="I3" s="96"/>
      <c r="J3" s="95" t="s">
        <v>15</v>
      </c>
      <c r="K3" s="96"/>
      <c r="L3" s="95" t="s">
        <v>16</v>
      </c>
      <c r="M3" s="96"/>
      <c r="N3" s="94" t="s">
        <v>44</v>
      </c>
    </row>
    <row r="4" spans="1:14" ht="19.5" customHeight="1">
      <c r="A4" s="97"/>
      <c r="B4" s="97"/>
      <c r="C4" s="97"/>
      <c r="D4" s="97"/>
      <c r="E4" s="97"/>
      <c r="F4" s="98" t="s">
        <v>17</v>
      </c>
      <c r="G4" s="98" t="s">
        <v>18</v>
      </c>
      <c r="H4" s="98" t="s">
        <v>17</v>
      </c>
      <c r="I4" s="98" t="s">
        <v>18</v>
      </c>
      <c r="J4" s="98" t="s">
        <v>17</v>
      </c>
      <c r="K4" s="98" t="s">
        <v>18</v>
      </c>
      <c r="L4" s="98" t="s">
        <v>17</v>
      </c>
      <c r="M4" s="98" t="s">
        <v>18</v>
      </c>
      <c r="N4" s="97"/>
    </row>
    <row r="5" spans="1:14" ht="22.5" customHeight="1">
      <c r="A5" s="99" t="s">
        <v>10</v>
      </c>
      <c r="B5" s="99" t="s">
        <v>19</v>
      </c>
      <c r="C5" s="99" t="s">
        <v>10</v>
      </c>
      <c r="D5" s="100">
        <v>0</v>
      </c>
      <c r="E5" s="98" t="s">
        <v>10</v>
      </c>
      <c r="F5" s="107" t="s">
        <v>10</v>
      </c>
      <c r="G5" s="107" t="s">
        <v>10</v>
      </c>
      <c r="H5" s="107" t="s">
        <v>10</v>
      </c>
      <c r="I5" s="107" t="s">
        <v>10</v>
      </c>
      <c r="J5" s="107" t="s">
        <v>10</v>
      </c>
      <c r="K5" s="107" t="s">
        <v>10</v>
      </c>
      <c r="L5" s="107" t="s">
        <v>10</v>
      </c>
      <c r="M5" s="107" t="s">
        <v>10</v>
      </c>
      <c r="N5" s="110" t="s">
        <v>10</v>
      </c>
    </row>
    <row r="6" spans="1:14" ht="22.5" customHeight="1">
      <c r="A6" s="103" t="s">
        <v>20</v>
      </c>
      <c r="B6" s="102" t="s">
        <v>93</v>
      </c>
      <c r="C6" s="103" t="s">
        <v>10</v>
      </c>
      <c r="D6" s="104">
        <v>0</v>
      </c>
      <c r="E6" s="105" t="s">
        <v>10</v>
      </c>
      <c r="F6" s="111" t="s">
        <v>10</v>
      </c>
      <c r="G6" s="111" t="s">
        <v>10</v>
      </c>
      <c r="H6" s="111" t="s">
        <v>10</v>
      </c>
      <c r="I6" s="111" t="s">
        <v>10</v>
      </c>
      <c r="J6" s="111" t="s">
        <v>10</v>
      </c>
      <c r="K6" s="111" t="s">
        <v>10</v>
      </c>
      <c r="L6" s="111" t="s">
        <v>10</v>
      </c>
      <c r="M6" s="111" t="s">
        <v>10</v>
      </c>
      <c r="N6" s="112" t="s">
        <v>10</v>
      </c>
    </row>
    <row r="7" spans="1:14" ht="22.5" customHeight="1">
      <c r="A7" s="101" t="s">
        <v>115</v>
      </c>
      <c r="B7" s="56" t="s">
        <v>49</v>
      </c>
      <c r="C7" s="101" t="s">
        <v>114</v>
      </c>
      <c r="D7" s="169"/>
      <c r="E7" s="101" t="s">
        <v>53</v>
      </c>
      <c r="F7" s="107">
        <v>473488</v>
      </c>
      <c r="G7" s="107">
        <f>D7*F7</f>
        <v>0</v>
      </c>
      <c r="H7" s="107">
        <v>364249</v>
      </c>
      <c r="I7" s="107">
        <f>D7*H7</f>
        <v>0</v>
      </c>
      <c r="J7" s="107">
        <v>13214</v>
      </c>
      <c r="K7" s="107">
        <f>D7*J7</f>
        <v>0</v>
      </c>
      <c r="L7" s="107">
        <f>F7+H7+J7</f>
        <v>850951</v>
      </c>
      <c r="M7" s="107">
        <f>D7*L7</f>
        <v>0</v>
      </c>
      <c r="N7" s="110"/>
    </row>
    <row r="8" spans="1:14" ht="22.5" customHeight="1">
      <c r="A8" s="101" t="s">
        <v>94</v>
      </c>
      <c r="B8" s="56" t="s">
        <v>49</v>
      </c>
      <c r="C8" s="101" t="s">
        <v>113</v>
      </c>
      <c r="D8" s="169"/>
      <c r="E8" s="101" t="s">
        <v>53</v>
      </c>
      <c r="F8" s="107">
        <v>2096059</v>
      </c>
      <c r="G8" s="107">
        <f>D8*F8</f>
        <v>0</v>
      </c>
      <c r="H8" s="107">
        <v>651150</v>
      </c>
      <c r="I8" s="107">
        <f>D8*H8</f>
        <v>0</v>
      </c>
      <c r="J8" s="107">
        <v>61358</v>
      </c>
      <c r="K8" s="107">
        <f>D8*J8</f>
        <v>0</v>
      </c>
      <c r="L8" s="107">
        <f t="shared" ref="L8:L27" si="0">F8+H8+J8</f>
        <v>2808567</v>
      </c>
      <c r="M8" s="107">
        <f t="shared" ref="M8:M27" si="1">D8*L8</f>
        <v>0</v>
      </c>
      <c r="N8" s="110"/>
    </row>
    <row r="9" spans="1:14" ht="22.5" customHeight="1">
      <c r="A9" s="101" t="s">
        <v>95</v>
      </c>
      <c r="B9" s="56" t="s">
        <v>49</v>
      </c>
      <c r="C9" s="101" t="s">
        <v>55</v>
      </c>
      <c r="D9" s="169"/>
      <c r="E9" s="101" t="s">
        <v>53</v>
      </c>
      <c r="F9" s="119">
        <v>2525128</v>
      </c>
      <c r="G9" s="107">
        <f>D9*F9</f>
        <v>0</v>
      </c>
      <c r="H9" s="107">
        <v>732040</v>
      </c>
      <c r="I9" s="107">
        <f>D9*H9</f>
        <v>0</v>
      </c>
      <c r="J9" s="107">
        <v>65243</v>
      </c>
      <c r="K9" s="107">
        <f>D9*J9</f>
        <v>0</v>
      </c>
      <c r="L9" s="107">
        <f t="shared" si="0"/>
        <v>3322411</v>
      </c>
      <c r="M9" s="107">
        <f t="shared" si="1"/>
        <v>0</v>
      </c>
      <c r="N9" s="110" t="s">
        <v>10</v>
      </c>
    </row>
    <row r="10" spans="1:14" ht="22.5" customHeight="1">
      <c r="A10" s="101" t="s">
        <v>96</v>
      </c>
      <c r="B10" s="56" t="s">
        <v>49</v>
      </c>
      <c r="C10" s="101" t="s">
        <v>48</v>
      </c>
      <c r="D10" s="169"/>
      <c r="E10" s="101" t="s">
        <v>53</v>
      </c>
      <c r="F10" s="119">
        <v>3251378</v>
      </c>
      <c r="G10" s="107">
        <f>D10*F10</f>
        <v>0</v>
      </c>
      <c r="H10" s="107">
        <v>774354</v>
      </c>
      <c r="I10" s="107">
        <f t="shared" ref="I10:I27" si="2">D10*H10</f>
        <v>0</v>
      </c>
      <c r="J10" s="107">
        <v>77677</v>
      </c>
      <c r="K10" s="107">
        <f t="shared" ref="K10:K27" si="3">D10*J10</f>
        <v>0</v>
      </c>
      <c r="L10" s="107">
        <f t="shared" si="0"/>
        <v>4103409</v>
      </c>
      <c r="M10" s="107">
        <f t="shared" si="1"/>
        <v>0</v>
      </c>
      <c r="N10" s="110" t="s">
        <v>10</v>
      </c>
    </row>
    <row r="11" spans="1:14" ht="22.5" customHeight="1">
      <c r="A11" s="101" t="s">
        <v>97</v>
      </c>
      <c r="B11" s="56" t="s">
        <v>49</v>
      </c>
      <c r="C11" s="101" t="s">
        <v>50</v>
      </c>
      <c r="D11" s="169"/>
      <c r="E11" s="101" t="s">
        <v>53</v>
      </c>
      <c r="F11" s="119">
        <v>3767327</v>
      </c>
      <c r="G11" s="107">
        <f t="shared" ref="G11:G27" si="4">D11*F11</f>
        <v>0</v>
      </c>
      <c r="H11" s="107">
        <v>835058</v>
      </c>
      <c r="I11" s="107">
        <f t="shared" si="2"/>
        <v>0</v>
      </c>
      <c r="J11" s="107">
        <v>126235</v>
      </c>
      <c r="K11" s="107">
        <f t="shared" si="3"/>
        <v>0</v>
      </c>
      <c r="L11" s="107">
        <f t="shared" si="0"/>
        <v>4728620</v>
      </c>
      <c r="M11" s="107">
        <f t="shared" si="1"/>
        <v>0</v>
      </c>
      <c r="N11" s="110"/>
    </row>
    <row r="12" spans="1:14" ht="22.5" customHeight="1">
      <c r="A12" s="101" t="s">
        <v>98</v>
      </c>
      <c r="B12" s="56" t="s">
        <v>49</v>
      </c>
      <c r="C12" s="101" t="s">
        <v>51</v>
      </c>
      <c r="D12" s="169"/>
      <c r="E12" s="101" t="s">
        <v>53</v>
      </c>
      <c r="F12" s="119">
        <v>4688285</v>
      </c>
      <c r="G12" s="107">
        <f t="shared" si="4"/>
        <v>0</v>
      </c>
      <c r="H12" s="107">
        <v>938836</v>
      </c>
      <c r="I12" s="107">
        <f t="shared" si="2"/>
        <v>0</v>
      </c>
      <c r="J12" s="107">
        <v>133031</v>
      </c>
      <c r="K12" s="107">
        <f t="shared" si="3"/>
        <v>0</v>
      </c>
      <c r="L12" s="107">
        <f t="shared" si="0"/>
        <v>5760152</v>
      </c>
      <c r="M12" s="107">
        <f t="shared" si="1"/>
        <v>0</v>
      </c>
      <c r="N12" s="110"/>
    </row>
    <row r="13" spans="1:14" ht="22.5" customHeight="1">
      <c r="A13" s="101" t="s">
        <v>99</v>
      </c>
      <c r="B13" s="56" t="s">
        <v>49</v>
      </c>
      <c r="C13" s="101" t="s">
        <v>52</v>
      </c>
      <c r="D13" s="169"/>
      <c r="E13" s="101" t="s">
        <v>53</v>
      </c>
      <c r="F13" s="119">
        <v>7175084</v>
      </c>
      <c r="G13" s="107">
        <f t="shared" si="4"/>
        <v>0</v>
      </c>
      <c r="H13" s="107">
        <v>1344035</v>
      </c>
      <c r="I13" s="107">
        <f t="shared" si="2"/>
        <v>0</v>
      </c>
      <c r="J13" s="107">
        <v>256626</v>
      </c>
      <c r="K13" s="107">
        <f t="shared" si="3"/>
        <v>0</v>
      </c>
      <c r="L13" s="107">
        <f t="shared" si="0"/>
        <v>8775745</v>
      </c>
      <c r="M13" s="107">
        <f t="shared" si="1"/>
        <v>0</v>
      </c>
      <c r="N13" s="110" t="s">
        <v>10</v>
      </c>
    </row>
    <row r="14" spans="1:14" ht="22.5" customHeight="1">
      <c r="A14" s="101" t="s">
        <v>100</v>
      </c>
      <c r="B14" s="56" t="s">
        <v>49</v>
      </c>
      <c r="C14" s="101" t="s">
        <v>23</v>
      </c>
      <c r="D14" s="169"/>
      <c r="E14" s="101" t="s">
        <v>53</v>
      </c>
      <c r="F14" s="119">
        <v>9658162</v>
      </c>
      <c r="G14" s="107">
        <f t="shared" si="4"/>
        <v>0</v>
      </c>
      <c r="H14" s="107">
        <v>1485827</v>
      </c>
      <c r="I14" s="107">
        <f t="shared" si="2"/>
        <v>0</v>
      </c>
      <c r="J14" s="107">
        <v>308857</v>
      </c>
      <c r="K14" s="107">
        <f t="shared" si="3"/>
        <v>0</v>
      </c>
      <c r="L14" s="107">
        <f t="shared" si="0"/>
        <v>11452846</v>
      </c>
      <c r="M14" s="107">
        <f t="shared" si="1"/>
        <v>0</v>
      </c>
      <c r="N14" s="110" t="s">
        <v>10</v>
      </c>
    </row>
    <row r="15" spans="1:14" ht="22.5" customHeight="1">
      <c r="A15" s="101" t="s">
        <v>101</v>
      </c>
      <c r="B15" s="56" t="s">
        <v>49</v>
      </c>
      <c r="C15" s="101" t="s">
        <v>22</v>
      </c>
      <c r="D15" s="169"/>
      <c r="E15" s="101" t="s">
        <v>53</v>
      </c>
      <c r="F15" s="119">
        <v>12169198</v>
      </c>
      <c r="G15" s="107">
        <f t="shared" si="4"/>
        <v>0</v>
      </c>
      <c r="H15" s="107">
        <v>1649432</v>
      </c>
      <c r="I15" s="107">
        <f t="shared" si="2"/>
        <v>0</v>
      </c>
      <c r="J15" s="107">
        <v>341364</v>
      </c>
      <c r="K15" s="107">
        <f t="shared" si="3"/>
        <v>0</v>
      </c>
      <c r="L15" s="107">
        <f t="shared" si="0"/>
        <v>14159994</v>
      </c>
      <c r="M15" s="107">
        <f t="shared" si="1"/>
        <v>0</v>
      </c>
      <c r="N15" s="110" t="s">
        <v>10</v>
      </c>
    </row>
    <row r="16" spans="1:14" ht="22.5" customHeight="1">
      <c r="A16" s="101" t="s">
        <v>102</v>
      </c>
      <c r="B16" s="56" t="s">
        <v>49</v>
      </c>
      <c r="C16" s="101" t="s">
        <v>26</v>
      </c>
      <c r="D16" s="169"/>
      <c r="E16" s="101" t="s">
        <v>53</v>
      </c>
      <c r="F16" s="119">
        <v>17976469</v>
      </c>
      <c r="G16" s="107">
        <f>D16*F16</f>
        <v>0</v>
      </c>
      <c r="H16" s="107">
        <v>2270083</v>
      </c>
      <c r="I16" s="107">
        <f>D16*H16</f>
        <v>0</v>
      </c>
      <c r="J16" s="107">
        <v>594821</v>
      </c>
      <c r="K16" s="107">
        <f>D16*J16</f>
        <v>0</v>
      </c>
      <c r="L16" s="107">
        <f t="shared" si="0"/>
        <v>20841373</v>
      </c>
      <c r="M16" s="107">
        <f>D16*L16</f>
        <v>0</v>
      </c>
      <c r="N16" s="110"/>
    </row>
    <row r="17" spans="1:14" ht="22.5" customHeight="1">
      <c r="A17" s="101" t="s">
        <v>103</v>
      </c>
      <c r="B17" s="56" t="s">
        <v>49</v>
      </c>
      <c r="C17" s="101" t="s">
        <v>33</v>
      </c>
      <c r="D17" s="169"/>
      <c r="E17" s="101" t="s">
        <v>53</v>
      </c>
      <c r="F17" s="119">
        <v>18408234</v>
      </c>
      <c r="G17" s="107">
        <f t="shared" si="4"/>
        <v>0</v>
      </c>
      <c r="H17" s="107">
        <v>2676868</v>
      </c>
      <c r="I17" s="107">
        <f t="shared" si="2"/>
        <v>0</v>
      </c>
      <c r="J17" s="107">
        <v>664149</v>
      </c>
      <c r="K17" s="107">
        <f t="shared" si="3"/>
        <v>0</v>
      </c>
      <c r="L17" s="107">
        <f t="shared" si="0"/>
        <v>21749251</v>
      </c>
      <c r="M17" s="107">
        <f t="shared" si="1"/>
        <v>0</v>
      </c>
      <c r="N17" s="110" t="s">
        <v>10</v>
      </c>
    </row>
    <row r="18" spans="1:14" ht="22.5" customHeight="1">
      <c r="A18" s="101" t="s">
        <v>104</v>
      </c>
      <c r="B18" s="56" t="s">
        <v>49</v>
      </c>
      <c r="C18" s="101" t="s">
        <v>32</v>
      </c>
      <c r="D18" s="169"/>
      <c r="E18" s="101" t="s">
        <v>53</v>
      </c>
      <c r="F18" s="119">
        <v>21589104</v>
      </c>
      <c r="G18" s="107">
        <f t="shared" si="4"/>
        <v>0</v>
      </c>
      <c r="H18" s="107">
        <v>3082851</v>
      </c>
      <c r="I18" s="107">
        <f t="shared" si="2"/>
        <v>0</v>
      </c>
      <c r="J18" s="107">
        <v>906276</v>
      </c>
      <c r="K18" s="107">
        <f t="shared" si="3"/>
        <v>0</v>
      </c>
      <c r="L18" s="107">
        <f t="shared" si="0"/>
        <v>25578231</v>
      </c>
      <c r="M18" s="107">
        <f t="shared" si="1"/>
        <v>0</v>
      </c>
      <c r="N18" s="110"/>
    </row>
    <row r="19" spans="1:14" ht="22.5" customHeight="1">
      <c r="A19" s="101" t="s">
        <v>105</v>
      </c>
      <c r="B19" s="56" t="s">
        <v>49</v>
      </c>
      <c r="C19" s="101" t="s">
        <v>31</v>
      </c>
      <c r="D19" s="169"/>
      <c r="E19" s="101" t="s">
        <v>53</v>
      </c>
      <c r="F19" s="119">
        <v>24638400</v>
      </c>
      <c r="G19" s="107">
        <f t="shared" si="4"/>
        <v>0</v>
      </c>
      <c r="H19" s="107">
        <v>3861028</v>
      </c>
      <c r="I19" s="107">
        <f t="shared" si="2"/>
        <v>0</v>
      </c>
      <c r="J19" s="107">
        <v>1047466</v>
      </c>
      <c r="K19" s="107">
        <f t="shared" si="3"/>
        <v>0</v>
      </c>
      <c r="L19" s="107">
        <f t="shared" si="0"/>
        <v>29546894</v>
      </c>
      <c r="M19" s="107">
        <f t="shared" si="1"/>
        <v>0</v>
      </c>
      <c r="N19" s="110"/>
    </row>
    <row r="20" spans="1:14" ht="22.5" customHeight="1">
      <c r="A20" s="101" t="s">
        <v>106</v>
      </c>
      <c r="B20" s="56" t="s">
        <v>49</v>
      </c>
      <c r="C20" s="101" t="s">
        <v>30</v>
      </c>
      <c r="D20" s="169"/>
      <c r="E20" s="101" t="s">
        <v>53</v>
      </c>
      <c r="F20" s="119">
        <v>25877998</v>
      </c>
      <c r="G20" s="107">
        <f t="shared" si="4"/>
        <v>0</v>
      </c>
      <c r="H20" s="107">
        <v>4274693</v>
      </c>
      <c r="I20" s="107">
        <f t="shared" si="2"/>
        <v>0</v>
      </c>
      <c r="J20" s="107">
        <v>1733663</v>
      </c>
      <c r="K20" s="107">
        <f t="shared" si="3"/>
        <v>0</v>
      </c>
      <c r="L20" s="107">
        <f t="shared" si="0"/>
        <v>31886354</v>
      </c>
      <c r="M20" s="107">
        <f t="shared" si="1"/>
        <v>0</v>
      </c>
      <c r="N20" s="110"/>
    </row>
    <row r="21" spans="1:14" ht="22.5" customHeight="1">
      <c r="A21" s="101" t="s">
        <v>107</v>
      </c>
      <c r="B21" s="56" t="s">
        <v>49</v>
      </c>
      <c r="C21" s="101" t="s">
        <v>24</v>
      </c>
      <c r="D21" s="169"/>
      <c r="E21" s="101" t="s">
        <v>53</v>
      </c>
      <c r="F21" s="119">
        <v>32881624</v>
      </c>
      <c r="G21" s="107">
        <f t="shared" si="4"/>
        <v>0</v>
      </c>
      <c r="H21" s="107">
        <v>5130868</v>
      </c>
      <c r="I21" s="107">
        <f t="shared" si="2"/>
        <v>0</v>
      </c>
      <c r="J21" s="107">
        <v>1981912</v>
      </c>
      <c r="K21" s="107">
        <f t="shared" si="3"/>
        <v>0</v>
      </c>
      <c r="L21" s="107">
        <f t="shared" si="0"/>
        <v>39994404</v>
      </c>
      <c r="M21" s="107">
        <f t="shared" si="1"/>
        <v>0</v>
      </c>
      <c r="N21" s="110"/>
    </row>
    <row r="22" spans="1:14" ht="22.5" customHeight="1">
      <c r="A22" s="101" t="s">
        <v>108</v>
      </c>
      <c r="B22" s="56" t="s">
        <v>49</v>
      </c>
      <c r="C22" s="101" t="s">
        <v>29</v>
      </c>
      <c r="D22" s="169"/>
      <c r="E22" s="101" t="s">
        <v>53</v>
      </c>
      <c r="F22" s="119">
        <v>34983928</v>
      </c>
      <c r="G22" s="107">
        <f t="shared" si="4"/>
        <v>0</v>
      </c>
      <c r="H22" s="107">
        <v>5548044</v>
      </c>
      <c r="I22" s="107">
        <f t="shared" si="2"/>
        <v>0</v>
      </c>
      <c r="J22" s="107">
        <v>2455665</v>
      </c>
      <c r="K22" s="107">
        <f t="shared" si="3"/>
        <v>0</v>
      </c>
      <c r="L22" s="107">
        <f t="shared" si="0"/>
        <v>42987637</v>
      </c>
      <c r="M22" s="107">
        <f t="shared" si="1"/>
        <v>0</v>
      </c>
      <c r="N22" s="110"/>
    </row>
    <row r="23" spans="1:14" ht="22.5" customHeight="1">
      <c r="A23" s="101" t="s">
        <v>109</v>
      </c>
      <c r="B23" s="56" t="s">
        <v>49</v>
      </c>
      <c r="C23" s="101" t="s">
        <v>119</v>
      </c>
      <c r="D23" s="169"/>
      <c r="E23" s="101" t="s">
        <v>53</v>
      </c>
      <c r="F23" s="119">
        <v>38815548</v>
      </c>
      <c r="G23" s="107">
        <f t="shared" si="4"/>
        <v>0</v>
      </c>
      <c r="H23" s="107">
        <v>5926788</v>
      </c>
      <c r="I23" s="107">
        <f t="shared" si="2"/>
        <v>0</v>
      </c>
      <c r="J23" s="107">
        <v>2662404</v>
      </c>
      <c r="K23" s="107">
        <f t="shared" si="3"/>
        <v>0</v>
      </c>
      <c r="L23" s="107">
        <f t="shared" si="0"/>
        <v>47404740</v>
      </c>
      <c r="M23" s="107">
        <f t="shared" si="1"/>
        <v>0</v>
      </c>
      <c r="N23" s="110"/>
    </row>
    <row r="24" spans="1:14" ht="22.5" customHeight="1">
      <c r="A24" s="101" t="s">
        <v>110</v>
      </c>
      <c r="B24" s="56" t="s">
        <v>49</v>
      </c>
      <c r="C24" s="101" t="s">
        <v>28</v>
      </c>
      <c r="D24" s="169"/>
      <c r="E24" s="101" t="s">
        <v>53</v>
      </c>
      <c r="F24" s="119">
        <v>44317123</v>
      </c>
      <c r="G24" s="107">
        <f t="shared" si="4"/>
        <v>0</v>
      </c>
      <c r="H24" s="107">
        <v>6423413</v>
      </c>
      <c r="I24" s="107">
        <f t="shared" si="2"/>
        <v>0</v>
      </c>
      <c r="J24" s="107">
        <v>4659138</v>
      </c>
      <c r="K24" s="107">
        <f t="shared" si="3"/>
        <v>0</v>
      </c>
      <c r="L24" s="107">
        <f t="shared" si="0"/>
        <v>55399674</v>
      </c>
      <c r="M24" s="107">
        <f t="shared" si="1"/>
        <v>0</v>
      </c>
      <c r="N24" s="110"/>
    </row>
    <row r="25" spans="1:14" ht="22.5" customHeight="1">
      <c r="A25" s="101" t="s">
        <v>111</v>
      </c>
      <c r="B25" s="56" t="s">
        <v>49</v>
      </c>
      <c r="C25" s="101" t="s">
        <v>27</v>
      </c>
      <c r="D25" s="169"/>
      <c r="E25" s="101" t="s">
        <v>53</v>
      </c>
      <c r="F25" s="119">
        <v>47002938</v>
      </c>
      <c r="G25" s="107">
        <f>D25*F25</f>
        <v>0</v>
      </c>
      <c r="H25" s="107">
        <v>6754833</v>
      </c>
      <c r="I25" s="107">
        <f>D25*H25</f>
        <v>0</v>
      </c>
      <c r="J25" s="107">
        <v>4931649</v>
      </c>
      <c r="K25" s="107">
        <f>D25*J25</f>
        <v>0</v>
      </c>
      <c r="L25" s="107">
        <f t="shared" si="0"/>
        <v>58689420</v>
      </c>
      <c r="M25" s="107">
        <f>D25*L25</f>
        <v>0</v>
      </c>
      <c r="N25" s="110"/>
    </row>
    <row r="26" spans="1:14" ht="22.5" customHeight="1">
      <c r="A26" s="101" t="s">
        <v>112</v>
      </c>
      <c r="B26" s="56" t="s">
        <v>49</v>
      </c>
      <c r="C26" s="101" t="s">
        <v>25</v>
      </c>
      <c r="D26" s="169"/>
      <c r="E26" s="101" t="s">
        <v>53</v>
      </c>
      <c r="F26" s="119">
        <v>56158837</v>
      </c>
      <c r="G26" s="107">
        <f t="shared" si="4"/>
        <v>0</v>
      </c>
      <c r="H26" s="107">
        <v>7151107</v>
      </c>
      <c r="I26" s="107">
        <f t="shared" si="2"/>
        <v>0</v>
      </c>
      <c r="J26" s="107">
        <v>5363774</v>
      </c>
      <c r="K26" s="107">
        <f t="shared" si="3"/>
        <v>0</v>
      </c>
      <c r="L26" s="107">
        <f t="shared" si="0"/>
        <v>68673718</v>
      </c>
      <c r="M26" s="107">
        <f t="shared" si="1"/>
        <v>0</v>
      </c>
      <c r="N26" s="110"/>
    </row>
    <row r="27" spans="1:14" ht="22.5" customHeight="1">
      <c r="A27" s="101" t="s">
        <v>128</v>
      </c>
      <c r="B27" s="56" t="s">
        <v>49</v>
      </c>
      <c r="C27" s="101" t="s">
        <v>129</v>
      </c>
      <c r="D27" s="169"/>
      <c r="E27" s="101" t="s">
        <v>53</v>
      </c>
      <c r="F27" s="119">
        <v>67252461</v>
      </c>
      <c r="G27" s="107">
        <f t="shared" si="4"/>
        <v>0</v>
      </c>
      <c r="H27" s="119">
        <v>7451208</v>
      </c>
      <c r="I27" s="107">
        <f t="shared" si="2"/>
        <v>0</v>
      </c>
      <c r="J27" s="119">
        <v>5562272</v>
      </c>
      <c r="K27" s="107">
        <f t="shared" si="3"/>
        <v>0</v>
      </c>
      <c r="L27" s="107">
        <f t="shared" si="0"/>
        <v>80265941</v>
      </c>
      <c r="M27" s="107">
        <f t="shared" si="1"/>
        <v>0</v>
      </c>
      <c r="N27" s="110"/>
    </row>
    <row r="28" spans="1:14" ht="22.5" customHeight="1">
      <c r="A28" s="101"/>
      <c r="B28" s="56" t="s">
        <v>116</v>
      </c>
      <c r="C28" s="101"/>
      <c r="D28" s="169">
        <f>SUM(D7:D27)</f>
        <v>0</v>
      </c>
      <c r="E28" s="101"/>
      <c r="F28" s="119"/>
      <c r="G28" s="107">
        <f>SUM(G7:G27)</f>
        <v>0</v>
      </c>
      <c r="H28" s="107"/>
      <c r="I28" s="107">
        <f>SUM(I7:I27)</f>
        <v>0</v>
      </c>
      <c r="J28" s="107"/>
      <c r="K28" s="107">
        <f>SUM(K7:K27)</f>
        <v>0</v>
      </c>
      <c r="L28" s="107"/>
      <c r="M28" s="107">
        <f>SUM(M7:M27)</f>
        <v>0</v>
      </c>
      <c r="N28" s="110"/>
    </row>
    <row r="29" spans="1:14" ht="22.5" customHeight="1">
      <c r="A29" s="102" t="s">
        <v>117</v>
      </c>
      <c r="B29" s="102" t="s">
        <v>118</v>
      </c>
      <c r="C29" s="103" t="s">
        <v>10</v>
      </c>
      <c r="D29" s="104">
        <v>0</v>
      </c>
      <c r="E29" s="105" t="s">
        <v>10</v>
      </c>
      <c r="F29" s="111"/>
      <c r="G29" s="111" t="s">
        <v>10</v>
      </c>
      <c r="H29" s="111"/>
      <c r="I29" s="111" t="s">
        <v>10</v>
      </c>
      <c r="J29" s="111" t="s">
        <v>10</v>
      </c>
      <c r="K29" s="111" t="s">
        <v>10</v>
      </c>
      <c r="L29" s="111" t="s">
        <v>10</v>
      </c>
      <c r="M29" s="111" t="s">
        <v>10</v>
      </c>
      <c r="N29" s="112" t="s">
        <v>10</v>
      </c>
    </row>
    <row r="30" spans="1:14" ht="22.5" customHeight="1">
      <c r="A30" s="101" t="s">
        <v>394</v>
      </c>
      <c r="B30" s="56" t="s">
        <v>49</v>
      </c>
      <c r="C30" s="101" t="s">
        <v>114</v>
      </c>
      <c r="D30" s="169">
        <v>0</v>
      </c>
      <c r="E30" s="101" t="s">
        <v>53</v>
      </c>
      <c r="F30" s="119">
        <v>473488</v>
      </c>
      <c r="G30" s="107">
        <f t="shared" ref="G30:G43" si="5">D30*F30</f>
        <v>0</v>
      </c>
      <c r="H30" s="107">
        <v>632217</v>
      </c>
      <c r="I30" s="107">
        <f t="shared" ref="I30:I43" si="6">D30*H30</f>
        <v>0</v>
      </c>
      <c r="J30" s="107">
        <v>13220</v>
      </c>
      <c r="K30" s="107">
        <f t="shared" ref="K30:K43" si="7">D30*J30</f>
        <v>0</v>
      </c>
      <c r="L30" s="107">
        <f t="shared" ref="L30:L43" si="8">F30+H30+J30</f>
        <v>1118925</v>
      </c>
      <c r="M30" s="107">
        <f t="shared" ref="M30:M43" si="9">D30*L30</f>
        <v>0</v>
      </c>
      <c r="N30" s="110"/>
    </row>
    <row r="31" spans="1:14" ht="22.5" customHeight="1">
      <c r="A31" s="101" t="s">
        <v>362</v>
      </c>
      <c r="B31" s="56" t="s">
        <v>49</v>
      </c>
      <c r="C31" s="101" t="s">
        <v>113</v>
      </c>
      <c r="D31" s="169"/>
      <c r="E31" s="101" t="s">
        <v>53</v>
      </c>
      <c r="F31" s="119">
        <v>2096059</v>
      </c>
      <c r="G31" s="107">
        <f t="shared" si="5"/>
        <v>0</v>
      </c>
      <c r="H31" s="107">
        <v>1176471</v>
      </c>
      <c r="I31" s="107">
        <f t="shared" si="6"/>
        <v>0</v>
      </c>
      <c r="J31" s="107">
        <v>61358</v>
      </c>
      <c r="K31" s="107">
        <f t="shared" si="7"/>
        <v>0</v>
      </c>
      <c r="L31" s="107">
        <f t="shared" si="8"/>
        <v>3333888</v>
      </c>
      <c r="M31" s="107">
        <f t="shared" si="9"/>
        <v>0</v>
      </c>
      <c r="N31" s="110"/>
    </row>
    <row r="32" spans="1:14" ht="22.5" customHeight="1">
      <c r="A32" s="101" t="s">
        <v>265</v>
      </c>
      <c r="B32" s="56" t="s">
        <v>49</v>
      </c>
      <c r="C32" s="101" t="s">
        <v>51</v>
      </c>
      <c r="D32" s="169"/>
      <c r="E32" s="101" t="s">
        <v>53</v>
      </c>
      <c r="F32" s="119">
        <v>4688285</v>
      </c>
      <c r="G32" s="107">
        <f t="shared" si="5"/>
        <v>0</v>
      </c>
      <c r="H32" s="107">
        <v>1698490</v>
      </c>
      <c r="I32" s="107">
        <f t="shared" si="6"/>
        <v>0</v>
      </c>
      <c r="J32" s="107">
        <v>133030</v>
      </c>
      <c r="K32" s="107">
        <f t="shared" si="7"/>
        <v>0</v>
      </c>
      <c r="L32" s="107">
        <f t="shared" si="8"/>
        <v>6519805</v>
      </c>
      <c r="M32" s="107">
        <f t="shared" si="9"/>
        <v>0</v>
      </c>
      <c r="N32" s="110"/>
    </row>
    <row r="33" spans="1:20" ht="22.5" customHeight="1">
      <c r="A33" s="101" t="s">
        <v>266</v>
      </c>
      <c r="B33" s="56" t="s">
        <v>49</v>
      </c>
      <c r="C33" s="101" t="s">
        <v>52</v>
      </c>
      <c r="D33" s="169"/>
      <c r="E33" s="101" t="s">
        <v>53</v>
      </c>
      <c r="F33" s="119">
        <v>7175084</v>
      </c>
      <c r="G33" s="107">
        <f t="shared" si="5"/>
        <v>0</v>
      </c>
      <c r="H33" s="107">
        <v>2392787</v>
      </c>
      <c r="I33" s="107">
        <f t="shared" si="6"/>
        <v>0</v>
      </c>
      <c r="J33" s="107">
        <v>256626</v>
      </c>
      <c r="K33" s="107">
        <f t="shared" si="7"/>
        <v>0</v>
      </c>
      <c r="L33" s="107">
        <f t="shared" si="8"/>
        <v>9824497</v>
      </c>
      <c r="M33" s="107">
        <f t="shared" si="9"/>
        <v>0</v>
      </c>
      <c r="N33" s="110"/>
    </row>
    <row r="34" spans="1:20" ht="22.5" customHeight="1">
      <c r="A34" s="101" t="s">
        <v>363</v>
      </c>
      <c r="B34" s="56" t="s">
        <v>49</v>
      </c>
      <c r="C34" s="101" t="s">
        <v>141</v>
      </c>
      <c r="D34" s="169"/>
      <c r="E34" s="101" t="s">
        <v>53</v>
      </c>
      <c r="F34" s="119">
        <v>9658163</v>
      </c>
      <c r="G34" s="107">
        <f t="shared" si="5"/>
        <v>0</v>
      </c>
      <c r="H34" s="107">
        <v>2647683</v>
      </c>
      <c r="I34" s="107">
        <f t="shared" si="6"/>
        <v>0</v>
      </c>
      <c r="J34" s="107">
        <v>308857</v>
      </c>
      <c r="K34" s="107">
        <f t="shared" si="7"/>
        <v>0</v>
      </c>
      <c r="L34" s="107">
        <f t="shared" si="8"/>
        <v>12614703</v>
      </c>
      <c r="M34" s="107">
        <f t="shared" si="9"/>
        <v>0</v>
      </c>
      <c r="N34" s="110"/>
    </row>
    <row r="35" spans="1:20" ht="22.5" customHeight="1">
      <c r="A35" s="101" t="s">
        <v>364</v>
      </c>
      <c r="B35" s="56" t="s">
        <v>49</v>
      </c>
      <c r="C35" s="101" t="s">
        <v>22</v>
      </c>
      <c r="D35" s="169"/>
      <c r="E35" s="101" t="s">
        <v>53</v>
      </c>
      <c r="F35" s="119">
        <v>12169198</v>
      </c>
      <c r="G35" s="107">
        <f t="shared" si="5"/>
        <v>0</v>
      </c>
      <c r="H35" s="107">
        <v>2940693</v>
      </c>
      <c r="I35" s="107">
        <f t="shared" si="6"/>
        <v>0</v>
      </c>
      <c r="J35" s="107">
        <v>341364</v>
      </c>
      <c r="K35" s="107">
        <f t="shared" si="7"/>
        <v>0</v>
      </c>
      <c r="L35" s="107">
        <f t="shared" si="8"/>
        <v>15451255</v>
      </c>
      <c r="M35" s="107">
        <f t="shared" si="9"/>
        <v>0</v>
      </c>
      <c r="N35" s="110" t="s">
        <v>10</v>
      </c>
    </row>
    <row r="36" spans="1:20" ht="22.5" customHeight="1">
      <c r="A36" s="101" t="s">
        <v>365</v>
      </c>
      <c r="B36" s="56" t="s">
        <v>49</v>
      </c>
      <c r="C36" s="101" t="s">
        <v>142</v>
      </c>
      <c r="D36" s="169"/>
      <c r="E36" s="101" t="s">
        <v>53</v>
      </c>
      <c r="F36" s="119">
        <v>17976470</v>
      </c>
      <c r="G36" s="107">
        <f>D36*F36</f>
        <v>0</v>
      </c>
      <c r="H36" s="107">
        <v>4065640</v>
      </c>
      <c r="I36" s="107">
        <f>D36*H36</f>
        <v>0</v>
      </c>
      <c r="J36" s="107">
        <v>594821</v>
      </c>
      <c r="K36" s="107">
        <f>D36*J36</f>
        <v>0</v>
      </c>
      <c r="L36" s="107">
        <f t="shared" si="8"/>
        <v>22636931</v>
      </c>
      <c r="M36" s="107">
        <f>D36*L36</f>
        <v>0</v>
      </c>
      <c r="N36" s="110" t="s">
        <v>10</v>
      </c>
    </row>
    <row r="37" spans="1:20" ht="22.5" customHeight="1">
      <c r="A37" s="101" t="s">
        <v>366</v>
      </c>
      <c r="B37" s="56" t="s">
        <v>49</v>
      </c>
      <c r="C37" s="101" t="s">
        <v>33</v>
      </c>
      <c r="D37" s="169"/>
      <c r="E37" s="101" t="s">
        <v>53</v>
      </c>
      <c r="F37" s="119">
        <v>18408234</v>
      </c>
      <c r="G37" s="107">
        <f t="shared" si="5"/>
        <v>0</v>
      </c>
      <c r="H37" s="119">
        <v>4803583</v>
      </c>
      <c r="I37" s="107">
        <f t="shared" si="6"/>
        <v>0</v>
      </c>
      <c r="J37" s="119">
        <v>664149</v>
      </c>
      <c r="K37" s="107">
        <f t="shared" si="7"/>
        <v>0</v>
      </c>
      <c r="L37" s="107">
        <f t="shared" si="8"/>
        <v>23875966</v>
      </c>
      <c r="M37" s="107">
        <f t="shared" si="9"/>
        <v>0</v>
      </c>
      <c r="N37" s="110" t="s">
        <v>10</v>
      </c>
    </row>
    <row r="38" spans="1:20" ht="22.5" customHeight="1">
      <c r="A38" s="101" t="s">
        <v>367</v>
      </c>
      <c r="B38" s="56" t="s">
        <v>49</v>
      </c>
      <c r="C38" s="101" t="s">
        <v>31</v>
      </c>
      <c r="D38" s="118"/>
      <c r="E38" s="101" t="s">
        <v>53</v>
      </c>
      <c r="F38" s="119">
        <v>24638400</v>
      </c>
      <c r="G38" s="107">
        <f t="shared" si="5"/>
        <v>0</v>
      </c>
      <c r="H38" s="119">
        <v>6942629</v>
      </c>
      <c r="I38" s="107">
        <f t="shared" si="6"/>
        <v>0</v>
      </c>
      <c r="J38" s="119">
        <v>1047465</v>
      </c>
      <c r="K38" s="107">
        <f t="shared" si="7"/>
        <v>0</v>
      </c>
      <c r="L38" s="107">
        <f t="shared" si="8"/>
        <v>32628494</v>
      </c>
      <c r="M38" s="107">
        <f t="shared" si="9"/>
        <v>0</v>
      </c>
      <c r="N38" s="110"/>
    </row>
    <row r="39" spans="1:20" ht="22.5" customHeight="1">
      <c r="A39" s="101" t="s">
        <v>271</v>
      </c>
      <c r="B39" s="56" t="s">
        <v>49</v>
      </c>
      <c r="C39" s="101" t="s">
        <v>143</v>
      </c>
      <c r="D39" s="118"/>
      <c r="E39" s="101" t="s">
        <v>53</v>
      </c>
      <c r="F39" s="119">
        <v>25877998</v>
      </c>
      <c r="G39" s="107">
        <f t="shared" si="5"/>
        <v>0</v>
      </c>
      <c r="H39" s="119">
        <v>7691243</v>
      </c>
      <c r="I39" s="107">
        <f t="shared" si="6"/>
        <v>0</v>
      </c>
      <c r="J39" s="119">
        <v>1733663</v>
      </c>
      <c r="K39" s="107">
        <f t="shared" si="7"/>
        <v>0</v>
      </c>
      <c r="L39" s="107">
        <f t="shared" si="8"/>
        <v>35302904</v>
      </c>
      <c r="M39" s="107">
        <f t="shared" si="9"/>
        <v>0</v>
      </c>
      <c r="N39" s="110"/>
    </row>
    <row r="40" spans="1:20" ht="22.5" customHeight="1">
      <c r="A40" s="101" t="s">
        <v>275</v>
      </c>
      <c r="B40" s="56" t="s">
        <v>49</v>
      </c>
      <c r="C40" s="101" t="s">
        <v>24</v>
      </c>
      <c r="D40" s="169"/>
      <c r="E40" s="101" t="s">
        <v>53</v>
      </c>
      <c r="F40" s="119">
        <v>32881624</v>
      </c>
      <c r="G40" s="107">
        <f t="shared" si="5"/>
        <v>0</v>
      </c>
      <c r="H40" s="119">
        <v>9231123</v>
      </c>
      <c r="I40" s="107">
        <f t="shared" si="6"/>
        <v>0</v>
      </c>
      <c r="J40" s="119">
        <v>1981912</v>
      </c>
      <c r="K40" s="107">
        <f t="shared" si="7"/>
        <v>0</v>
      </c>
      <c r="L40" s="107">
        <f t="shared" si="8"/>
        <v>44094659</v>
      </c>
      <c r="M40" s="107">
        <f t="shared" si="9"/>
        <v>0</v>
      </c>
      <c r="N40" s="110"/>
    </row>
    <row r="41" spans="1:20" ht="22.5" customHeight="1">
      <c r="A41" s="101" t="s">
        <v>278</v>
      </c>
      <c r="B41" s="56" t="s">
        <v>49</v>
      </c>
      <c r="C41" s="101" t="s">
        <v>28</v>
      </c>
      <c r="D41" s="169"/>
      <c r="E41" s="101" t="s">
        <v>53</v>
      </c>
      <c r="F41" s="119">
        <v>44317123</v>
      </c>
      <c r="G41" s="107">
        <f t="shared" si="5"/>
        <v>0</v>
      </c>
      <c r="H41" s="119">
        <v>11562746</v>
      </c>
      <c r="I41" s="107">
        <f t="shared" si="6"/>
        <v>0</v>
      </c>
      <c r="J41" s="119">
        <v>4659138</v>
      </c>
      <c r="K41" s="107">
        <f t="shared" si="7"/>
        <v>0</v>
      </c>
      <c r="L41" s="107">
        <f t="shared" si="8"/>
        <v>60539007</v>
      </c>
      <c r="M41" s="107">
        <f t="shared" si="9"/>
        <v>0</v>
      </c>
      <c r="N41" s="110"/>
    </row>
    <row r="42" spans="1:20" ht="22.5" customHeight="1">
      <c r="A42" s="101" t="s">
        <v>368</v>
      </c>
      <c r="B42" s="56" t="s">
        <v>49</v>
      </c>
      <c r="C42" s="101" t="s">
        <v>27</v>
      </c>
      <c r="D42" s="118"/>
      <c r="E42" s="101" t="s">
        <v>53</v>
      </c>
      <c r="F42" s="119">
        <v>47002938</v>
      </c>
      <c r="G42" s="107">
        <f t="shared" si="5"/>
        <v>0</v>
      </c>
      <c r="H42" s="119">
        <v>12161036</v>
      </c>
      <c r="I42" s="107">
        <f t="shared" si="6"/>
        <v>0</v>
      </c>
      <c r="J42" s="119">
        <v>4931649</v>
      </c>
      <c r="K42" s="107">
        <f t="shared" si="7"/>
        <v>0</v>
      </c>
      <c r="L42" s="107">
        <f t="shared" si="8"/>
        <v>64095623</v>
      </c>
      <c r="M42" s="107">
        <f t="shared" si="9"/>
        <v>0</v>
      </c>
      <c r="N42" s="110"/>
    </row>
    <row r="43" spans="1:20" ht="22.5" customHeight="1">
      <c r="A43" s="101" t="s">
        <v>369</v>
      </c>
      <c r="B43" s="56" t="s">
        <v>49</v>
      </c>
      <c r="C43" s="101" t="s">
        <v>25</v>
      </c>
      <c r="D43" s="118">
        <v>0</v>
      </c>
      <c r="E43" s="101" t="s">
        <v>53</v>
      </c>
      <c r="F43" s="119">
        <v>56158837</v>
      </c>
      <c r="G43" s="107">
        <f t="shared" si="5"/>
        <v>0</v>
      </c>
      <c r="H43" s="119">
        <v>12875632</v>
      </c>
      <c r="I43" s="107">
        <f t="shared" si="6"/>
        <v>0</v>
      </c>
      <c r="J43" s="119">
        <v>5363775</v>
      </c>
      <c r="K43" s="107">
        <f t="shared" si="7"/>
        <v>0</v>
      </c>
      <c r="L43" s="107">
        <f t="shared" si="8"/>
        <v>74398244</v>
      </c>
      <c r="M43" s="107">
        <f t="shared" si="9"/>
        <v>0</v>
      </c>
      <c r="N43" s="110"/>
    </row>
    <row r="44" spans="1:20" ht="22.5" customHeight="1">
      <c r="A44" s="101"/>
      <c r="B44" s="56" t="s">
        <v>116</v>
      </c>
      <c r="C44" s="101"/>
      <c r="D44" s="169">
        <f>SUM(D30:D43)</f>
        <v>0</v>
      </c>
      <c r="E44" s="101"/>
      <c r="F44" s="119"/>
      <c r="G44" s="107">
        <f>SUM(G30:G43)</f>
        <v>0</v>
      </c>
      <c r="H44" s="107"/>
      <c r="I44" s="107">
        <f>SUM(I30:I43)</f>
        <v>0</v>
      </c>
      <c r="J44" s="107"/>
      <c r="K44" s="107">
        <f>SUM(K30:K43)</f>
        <v>0</v>
      </c>
      <c r="L44" s="107"/>
      <c r="M44" s="107">
        <f>SUM(M30:M43)</f>
        <v>0</v>
      </c>
      <c r="N44" s="110"/>
    </row>
    <row r="45" spans="1:20" ht="22.5" customHeight="1">
      <c r="A45" s="102" t="s">
        <v>131</v>
      </c>
      <c r="B45" s="102" t="s">
        <v>133</v>
      </c>
      <c r="C45" s="103" t="s">
        <v>10</v>
      </c>
      <c r="D45" s="104">
        <v>0</v>
      </c>
      <c r="E45" s="105" t="s">
        <v>10</v>
      </c>
      <c r="F45" s="111"/>
      <c r="G45" s="111"/>
      <c r="H45" s="111"/>
      <c r="I45" s="111" t="s">
        <v>10</v>
      </c>
      <c r="J45" s="111" t="s">
        <v>10</v>
      </c>
      <c r="K45" s="111" t="s">
        <v>10</v>
      </c>
      <c r="L45" s="111" t="s">
        <v>10</v>
      </c>
      <c r="M45" s="111" t="s">
        <v>10</v>
      </c>
      <c r="N45" s="112" t="s">
        <v>10</v>
      </c>
    </row>
    <row r="46" spans="1:20" ht="22.5" customHeight="1">
      <c r="A46" s="101" t="s">
        <v>370</v>
      </c>
      <c r="B46" s="56" t="s">
        <v>132</v>
      </c>
      <c r="C46" s="101" t="s">
        <v>138</v>
      </c>
      <c r="D46" s="118">
        <v>0</v>
      </c>
      <c r="E46" s="101" t="s">
        <v>130</v>
      </c>
      <c r="F46" s="119">
        <v>26432884</v>
      </c>
      <c r="G46" s="107">
        <f t="shared" ref="G46:G50" si="10">D46*F46</f>
        <v>0</v>
      </c>
      <c r="H46" s="119">
        <v>1649432</v>
      </c>
      <c r="I46" s="107">
        <f t="shared" ref="I46:I50" si="11">D46*H46</f>
        <v>0</v>
      </c>
      <c r="J46" s="119">
        <v>419928</v>
      </c>
      <c r="K46" s="107">
        <f t="shared" ref="K46:K50" si="12">D46*J46</f>
        <v>0</v>
      </c>
      <c r="L46" s="107">
        <f t="shared" ref="L46:L50" si="13">F46+H46+J46</f>
        <v>28502244</v>
      </c>
      <c r="M46" s="107">
        <f t="shared" ref="M46:M50" si="14">D46*L46</f>
        <v>0</v>
      </c>
      <c r="N46" s="110"/>
    </row>
    <row r="47" spans="1:20" ht="22.5" customHeight="1">
      <c r="A47" s="101" t="s">
        <v>285</v>
      </c>
      <c r="B47" s="56" t="s">
        <v>132</v>
      </c>
      <c r="C47" s="101" t="s">
        <v>134</v>
      </c>
      <c r="D47" s="118">
        <v>0</v>
      </c>
      <c r="E47" s="101" t="s">
        <v>130</v>
      </c>
      <c r="F47" s="119">
        <v>58301697</v>
      </c>
      <c r="G47" s="107">
        <f t="shared" si="10"/>
        <v>0</v>
      </c>
      <c r="H47" s="119">
        <v>5130868</v>
      </c>
      <c r="I47" s="107">
        <f t="shared" si="11"/>
        <v>0</v>
      </c>
      <c r="J47" s="119">
        <v>2543989</v>
      </c>
      <c r="K47" s="107">
        <f t="shared" si="12"/>
        <v>0</v>
      </c>
      <c r="L47" s="107">
        <f t="shared" si="13"/>
        <v>65976554</v>
      </c>
      <c r="M47" s="107">
        <f t="shared" si="14"/>
        <v>0</v>
      </c>
      <c r="N47" s="110"/>
      <c r="P47" s="171"/>
      <c r="T47" s="171"/>
    </row>
    <row r="48" spans="1:20" ht="22.5" customHeight="1">
      <c r="A48" s="101" t="s">
        <v>371</v>
      </c>
      <c r="B48" s="56" t="s">
        <v>132</v>
      </c>
      <c r="C48" s="101" t="s">
        <v>119</v>
      </c>
      <c r="D48" s="118">
        <v>0</v>
      </c>
      <c r="E48" s="101" t="s">
        <v>130</v>
      </c>
      <c r="F48" s="119">
        <v>67170931</v>
      </c>
      <c r="G48" s="107">
        <f t="shared" si="10"/>
        <v>0</v>
      </c>
      <c r="H48" s="119">
        <v>5926788</v>
      </c>
      <c r="I48" s="107">
        <f t="shared" si="11"/>
        <v>0</v>
      </c>
      <c r="J48" s="119">
        <v>5128336</v>
      </c>
      <c r="K48" s="107">
        <f t="shared" si="12"/>
        <v>0</v>
      </c>
      <c r="L48" s="107">
        <f t="shared" si="13"/>
        <v>78226055</v>
      </c>
      <c r="M48" s="107">
        <f t="shared" si="14"/>
        <v>0</v>
      </c>
      <c r="N48" s="110"/>
      <c r="P48" s="171"/>
      <c r="T48" s="171"/>
    </row>
    <row r="49" spans="1:20" ht="22.5" customHeight="1">
      <c r="A49" s="101" t="s">
        <v>372</v>
      </c>
      <c r="B49" s="56" t="s">
        <v>132</v>
      </c>
      <c r="C49" s="101" t="s">
        <v>135</v>
      </c>
      <c r="D49" s="118">
        <v>2</v>
      </c>
      <c r="E49" s="101" t="s">
        <v>130</v>
      </c>
      <c r="F49" s="119">
        <v>91562155</v>
      </c>
      <c r="G49" s="107">
        <f>D49*F49</f>
        <v>183124310</v>
      </c>
      <c r="H49" s="119">
        <v>6754833</v>
      </c>
      <c r="I49" s="107">
        <f>D49*H49</f>
        <v>13509666</v>
      </c>
      <c r="J49" s="119">
        <v>6416064</v>
      </c>
      <c r="K49" s="107">
        <f>D49*J49</f>
        <v>12832128</v>
      </c>
      <c r="L49" s="107">
        <f t="shared" si="13"/>
        <v>104733052</v>
      </c>
      <c r="M49" s="107">
        <f>D49*L49</f>
        <v>209466104</v>
      </c>
      <c r="N49" s="110"/>
      <c r="P49" s="171"/>
      <c r="T49" s="171"/>
    </row>
    <row r="50" spans="1:20" ht="22.5" customHeight="1">
      <c r="A50" s="101" t="s">
        <v>373</v>
      </c>
      <c r="B50" s="56" t="s">
        <v>132</v>
      </c>
      <c r="C50" s="101" t="s">
        <v>136</v>
      </c>
      <c r="D50" s="118">
        <v>0</v>
      </c>
      <c r="E50" s="101" t="s">
        <v>130</v>
      </c>
      <c r="F50" s="119">
        <v>101618610</v>
      </c>
      <c r="G50" s="107">
        <f t="shared" si="10"/>
        <v>0</v>
      </c>
      <c r="H50" s="119">
        <v>7151107</v>
      </c>
      <c r="I50" s="107">
        <f t="shared" si="11"/>
        <v>0</v>
      </c>
      <c r="J50" s="119">
        <v>7086024</v>
      </c>
      <c r="K50" s="107">
        <f t="shared" si="12"/>
        <v>0</v>
      </c>
      <c r="L50" s="107">
        <f t="shared" si="13"/>
        <v>115855741</v>
      </c>
      <c r="M50" s="107">
        <f t="shared" si="14"/>
        <v>0</v>
      </c>
      <c r="N50" s="110"/>
      <c r="P50" s="171"/>
      <c r="T50" s="171"/>
    </row>
    <row r="51" spans="1:20" ht="22.5" customHeight="1">
      <c r="A51" s="101"/>
      <c r="B51" s="56" t="s">
        <v>116</v>
      </c>
      <c r="C51" s="101"/>
      <c r="D51" s="169">
        <f>SUM(D46:D50)</f>
        <v>2</v>
      </c>
      <c r="E51" s="101"/>
      <c r="F51" s="119"/>
      <c r="G51" s="107">
        <f>SUM(G46:G50)</f>
        <v>183124310</v>
      </c>
      <c r="H51" s="107"/>
      <c r="I51" s="107">
        <f>SUM(I46:I50)</f>
        <v>13509666</v>
      </c>
      <c r="J51" s="107"/>
      <c r="K51" s="107">
        <f>SUM(K46:K50)</f>
        <v>12832128</v>
      </c>
      <c r="L51" s="107"/>
      <c r="M51" s="107">
        <f>SUM(M46:M50)</f>
        <v>209466104</v>
      </c>
      <c r="N51" s="110"/>
    </row>
    <row r="52" spans="1:20" ht="22.5" customHeight="1">
      <c r="A52" s="102" t="s">
        <v>137</v>
      </c>
      <c r="B52" s="102" t="s">
        <v>140</v>
      </c>
      <c r="C52" s="103" t="s">
        <v>10</v>
      </c>
      <c r="D52" s="104">
        <v>0</v>
      </c>
      <c r="E52" s="105" t="s">
        <v>10</v>
      </c>
      <c r="F52" s="111"/>
      <c r="G52" s="111" t="s">
        <v>10</v>
      </c>
      <c r="H52" s="111"/>
      <c r="I52" s="111" t="s">
        <v>10</v>
      </c>
      <c r="J52" s="111" t="s">
        <v>10</v>
      </c>
      <c r="K52" s="111" t="s">
        <v>10</v>
      </c>
      <c r="L52" s="111" t="s">
        <v>10</v>
      </c>
      <c r="M52" s="111" t="s">
        <v>10</v>
      </c>
      <c r="N52" s="112" t="s">
        <v>10</v>
      </c>
    </row>
    <row r="53" spans="1:20" ht="22.5" customHeight="1">
      <c r="A53" s="101" t="s">
        <v>374</v>
      </c>
      <c r="B53" s="56" t="s">
        <v>132</v>
      </c>
      <c r="C53" s="101" t="s">
        <v>136</v>
      </c>
      <c r="D53" s="118">
        <v>0</v>
      </c>
      <c r="E53" s="101" t="s">
        <v>130</v>
      </c>
      <c r="F53" s="119">
        <v>101618610</v>
      </c>
      <c r="G53" s="107">
        <v>0</v>
      </c>
      <c r="H53" s="119">
        <v>12875632</v>
      </c>
      <c r="I53" s="107">
        <f t="shared" ref="I53" si="15">D53*H53</f>
        <v>0</v>
      </c>
      <c r="J53" s="107">
        <v>7086025</v>
      </c>
      <c r="K53" s="107">
        <f t="shared" ref="K53" si="16">D53*J53</f>
        <v>0</v>
      </c>
      <c r="L53" s="107">
        <f t="shared" ref="L53" si="17">F53+H53+J53</f>
        <v>121580267</v>
      </c>
      <c r="M53" s="107">
        <f t="shared" ref="M53" si="18">D53*L53</f>
        <v>0</v>
      </c>
      <c r="N53" s="110"/>
    </row>
    <row r="54" spans="1:20" ht="22.5" customHeight="1">
      <c r="A54" s="101"/>
      <c r="B54" s="56" t="s">
        <v>116</v>
      </c>
      <c r="C54" s="101"/>
      <c r="D54" s="169">
        <f>SUM(D53)</f>
        <v>0</v>
      </c>
      <c r="E54" s="101"/>
      <c r="F54" s="119"/>
      <c r="G54" s="107">
        <f>SUM(G53)</f>
        <v>0</v>
      </c>
      <c r="H54" s="107"/>
      <c r="I54" s="107">
        <f>SUM(I53)</f>
        <v>0</v>
      </c>
      <c r="J54" s="107"/>
      <c r="K54" s="107">
        <f>SUM(K53)</f>
        <v>0</v>
      </c>
      <c r="L54" s="107"/>
      <c r="M54" s="107">
        <f>SUM(M53)</f>
        <v>0</v>
      </c>
      <c r="N54" s="110"/>
    </row>
    <row r="55" spans="1:20" ht="22.5" customHeight="1">
      <c r="A55" s="102" t="s">
        <v>139</v>
      </c>
      <c r="B55" s="102" t="s">
        <v>120</v>
      </c>
      <c r="C55" s="103" t="s">
        <v>10</v>
      </c>
      <c r="D55" s="104">
        <v>0</v>
      </c>
      <c r="E55" s="105" t="s">
        <v>10</v>
      </c>
      <c r="F55" s="111"/>
      <c r="G55" s="111" t="s">
        <v>10</v>
      </c>
      <c r="H55" s="111"/>
      <c r="I55" s="111" t="s">
        <v>10</v>
      </c>
      <c r="J55" s="111" t="s">
        <v>10</v>
      </c>
      <c r="K55" s="111" t="s">
        <v>10</v>
      </c>
      <c r="L55" s="111" t="s">
        <v>10</v>
      </c>
      <c r="M55" s="111" t="s">
        <v>10</v>
      </c>
      <c r="N55" s="112" t="s">
        <v>10</v>
      </c>
    </row>
    <row r="56" spans="1:20" ht="22.5" customHeight="1">
      <c r="A56" s="101" t="s">
        <v>393</v>
      </c>
      <c r="B56" s="56" t="s">
        <v>21</v>
      </c>
      <c r="C56" s="101" t="s">
        <v>121</v>
      </c>
      <c r="D56" s="169"/>
      <c r="E56" s="101" t="s">
        <v>125</v>
      </c>
      <c r="F56" s="107">
        <v>0</v>
      </c>
      <c r="G56" s="107">
        <f t="shared" ref="G56:G59" si="19">D56*F56</f>
        <v>0</v>
      </c>
      <c r="H56" s="107">
        <v>37560</v>
      </c>
      <c r="I56" s="107">
        <f t="shared" ref="I56:I59" si="20">D56*H56</f>
        <v>0</v>
      </c>
      <c r="J56" s="107">
        <v>0</v>
      </c>
      <c r="K56" s="107">
        <f t="shared" ref="K56:K59" si="21">D56*J56</f>
        <v>0</v>
      </c>
      <c r="L56" s="107">
        <f t="shared" ref="L56:L59" si="22">F56+H56+J56</f>
        <v>37560</v>
      </c>
      <c r="M56" s="107">
        <f t="shared" ref="M56:M59" si="23">D56*L56</f>
        <v>0</v>
      </c>
      <c r="N56" s="110"/>
    </row>
    <row r="57" spans="1:20" ht="22.5" customHeight="1">
      <c r="A57" s="101" t="s">
        <v>376</v>
      </c>
      <c r="B57" s="56" t="s">
        <v>123</v>
      </c>
      <c r="C57" s="101" t="s">
        <v>121</v>
      </c>
      <c r="D57" s="169"/>
      <c r="E57" s="101" t="s">
        <v>125</v>
      </c>
      <c r="F57" s="107">
        <v>12998</v>
      </c>
      <c r="G57" s="107">
        <f t="shared" si="19"/>
        <v>0</v>
      </c>
      <c r="H57" s="107">
        <v>35841</v>
      </c>
      <c r="I57" s="107">
        <f t="shared" si="20"/>
        <v>0</v>
      </c>
      <c r="J57" s="107">
        <v>3899</v>
      </c>
      <c r="K57" s="107">
        <f t="shared" si="21"/>
        <v>0</v>
      </c>
      <c r="L57" s="107">
        <f t="shared" si="22"/>
        <v>52738</v>
      </c>
      <c r="M57" s="107">
        <f t="shared" si="23"/>
        <v>0</v>
      </c>
      <c r="N57" s="110"/>
    </row>
    <row r="58" spans="1:20" ht="22.5" customHeight="1">
      <c r="A58" s="101" t="s">
        <v>377</v>
      </c>
      <c r="B58" s="56" t="s">
        <v>124</v>
      </c>
      <c r="C58" s="101" t="s">
        <v>121</v>
      </c>
      <c r="D58" s="169"/>
      <c r="E58" s="101" t="s">
        <v>125</v>
      </c>
      <c r="F58" s="119">
        <v>0</v>
      </c>
      <c r="G58" s="107">
        <f t="shared" si="19"/>
        <v>0</v>
      </c>
      <c r="H58" s="107">
        <v>0</v>
      </c>
      <c r="I58" s="107">
        <f t="shared" si="20"/>
        <v>0</v>
      </c>
      <c r="J58" s="107">
        <v>98</v>
      </c>
      <c r="K58" s="107">
        <f t="shared" si="21"/>
        <v>0</v>
      </c>
      <c r="L58" s="107">
        <f t="shared" si="22"/>
        <v>98</v>
      </c>
      <c r="M58" s="107">
        <f t="shared" si="23"/>
        <v>0</v>
      </c>
      <c r="N58" s="110" t="s">
        <v>10</v>
      </c>
    </row>
    <row r="59" spans="1:20" ht="22.5" customHeight="1">
      <c r="A59" s="101" t="s">
        <v>378</v>
      </c>
      <c r="B59" s="56" t="s">
        <v>122</v>
      </c>
      <c r="C59" s="101" t="s">
        <v>121</v>
      </c>
      <c r="D59" s="169"/>
      <c r="E59" s="101" t="s">
        <v>125</v>
      </c>
      <c r="F59" s="119">
        <v>10216</v>
      </c>
      <c r="G59" s="107">
        <f t="shared" si="19"/>
        <v>0</v>
      </c>
      <c r="H59" s="107">
        <v>58179</v>
      </c>
      <c r="I59" s="107">
        <f t="shared" si="20"/>
        <v>0</v>
      </c>
      <c r="J59" s="107">
        <v>49420</v>
      </c>
      <c r="K59" s="107">
        <f t="shared" si="21"/>
        <v>0</v>
      </c>
      <c r="L59" s="107">
        <f t="shared" si="22"/>
        <v>117815</v>
      </c>
      <c r="M59" s="107">
        <f t="shared" si="23"/>
        <v>0</v>
      </c>
      <c r="N59" s="110" t="s">
        <v>10</v>
      </c>
    </row>
    <row r="60" spans="1:20" ht="22.5" customHeight="1">
      <c r="A60" s="101"/>
      <c r="B60" s="56" t="s">
        <v>116</v>
      </c>
      <c r="C60" s="101"/>
      <c r="D60" s="169">
        <f>SUM(D56:D59)</f>
        <v>0</v>
      </c>
      <c r="E60" s="101"/>
      <c r="F60" s="119"/>
      <c r="G60" s="119">
        <f>SUM(G56:G59)</f>
        <v>0</v>
      </c>
      <c r="H60" s="119"/>
      <c r="I60" s="119">
        <f>SUM(I56:I59)</f>
        <v>0</v>
      </c>
      <c r="J60" s="119"/>
      <c r="K60" s="119">
        <f>SUM(K56:K59)</f>
        <v>0</v>
      </c>
      <c r="L60" s="119"/>
      <c r="M60" s="119">
        <f>SUM(M56:M59)</f>
        <v>0</v>
      </c>
      <c r="N60" s="110"/>
    </row>
    <row r="61" spans="1:20" ht="22.5" customHeight="1">
      <c r="A61" s="106" t="s">
        <v>45</v>
      </c>
      <c r="B61" s="106" t="s">
        <v>10</v>
      </c>
      <c r="C61" s="106" t="s">
        <v>10</v>
      </c>
      <c r="D61" s="108">
        <v>0</v>
      </c>
      <c r="E61" s="109" t="s">
        <v>10</v>
      </c>
      <c r="F61" s="113">
        <v>0</v>
      </c>
      <c r="G61" s="113">
        <f>G28+G44+G51+G60</f>
        <v>183124310</v>
      </c>
      <c r="H61" s="113">
        <v>0</v>
      </c>
      <c r="I61" s="113">
        <f>I28+I44+I51+I60</f>
        <v>13509666</v>
      </c>
      <c r="J61" s="113">
        <v>0</v>
      </c>
      <c r="K61" s="113">
        <f>K28+K44+K51+K60</f>
        <v>12832128</v>
      </c>
      <c r="L61" s="113">
        <v>0</v>
      </c>
      <c r="M61" s="113">
        <f>M28+M44+M51+M60</f>
        <v>209466104</v>
      </c>
      <c r="N61" s="114" t="s">
        <v>10</v>
      </c>
    </row>
    <row r="62" spans="1:20">
      <c r="D62" s="296">
        <f>SUM(D28,D44,D51,D54)</f>
        <v>2</v>
      </c>
    </row>
  </sheetData>
  <autoFilter ref="A4:N61"/>
  <mergeCells count="2">
    <mergeCell ref="A1:N1"/>
    <mergeCell ref="M2:N2"/>
  </mergeCells>
  <phoneticPr fontId="14" type="noConversion"/>
  <printOptions horizontalCentered="1"/>
  <pageMargins left="0.51181102362204722" right="0.51181102362204722" top="0.82677165354330717" bottom="0.86614173228346458" header="0.51181102362204722" footer="0.59055118110236227"/>
  <pageSetup paperSize="9" scale="63" fitToHeight="0" orientation="landscape" horizontalDpi="360" verticalDpi="360" r:id="rId1"/>
  <headerFooter alignWithMargins="0"/>
  <rowBreaks count="1" manualBreakCount="1">
    <brk id="32" max="1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CFF"/>
  </sheetPr>
  <dimension ref="A1:N12"/>
  <sheetViews>
    <sheetView view="pageBreakPreview" zoomScale="85" zoomScaleNormal="100" zoomScaleSheetLayoutView="85" workbookViewId="0">
      <selection activeCell="H7" sqref="H7"/>
    </sheetView>
  </sheetViews>
  <sheetFormatPr defaultRowHeight="16.5"/>
  <cols>
    <col min="1" max="1" width="10.125" style="268" customWidth="1"/>
    <col min="2" max="2" width="10.625" style="268" customWidth="1"/>
    <col min="3" max="3" width="8.25" style="268" customWidth="1"/>
    <col min="4" max="4" width="22" style="268" customWidth="1"/>
    <col min="5" max="5" width="10.625" style="268" customWidth="1"/>
    <col min="6" max="7" width="11.5" style="268" customWidth="1"/>
    <col min="8" max="8" width="55.5" style="268" customWidth="1"/>
    <col min="9" max="9" width="18" style="268" bestFit="1" customWidth="1"/>
    <col min="10" max="16384" width="9" style="268"/>
  </cols>
  <sheetData>
    <row r="1" spans="1:14" s="260" customFormat="1" ht="35.1" customHeight="1">
      <c r="A1" s="359" t="s">
        <v>409</v>
      </c>
      <c r="B1" s="360"/>
      <c r="C1" s="360"/>
      <c r="D1" s="360"/>
      <c r="E1" s="360"/>
      <c r="F1" s="360"/>
      <c r="G1" s="360"/>
      <c r="H1" s="360"/>
      <c r="I1" s="361"/>
      <c r="J1" s="259"/>
      <c r="K1" s="259"/>
      <c r="L1" s="259"/>
      <c r="M1" s="259"/>
      <c r="N1" s="259"/>
    </row>
    <row r="2" spans="1:14" s="263" customFormat="1" ht="19.5" customHeight="1">
      <c r="A2" s="362" t="s">
        <v>289</v>
      </c>
      <c r="B2" s="363"/>
      <c r="C2" s="363"/>
      <c r="D2" s="363"/>
      <c r="E2" s="363"/>
      <c r="F2" s="261"/>
      <c r="G2" s="261"/>
      <c r="H2" s="261"/>
      <c r="I2" s="299" t="s">
        <v>434</v>
      </c>
      <c r="J2" s="261"/>
      <c r="K2" s="261"/>
      <c r="L2" s="261"/>
    </row>
    <row r="3" spans="1:14" ht="28.5" customHeight="1">
      <c r="A3" s="264" t="s">
        <v>330</v>
      </c>
      <c r="B3" s="265" t="s">
        <v>331</v>
      </c>
      <c r="C3" s="265" t="s">
        <v>332</v>
      </c>
      <c r="D3" s="265" t="s">
        <v>333</v>
      </c>
      <c r="E3" s="265" t="s">
        <v>334</v>
      </c>
      <c r="F3" s="266" t="s">
        <v>335</v>
      </c>
      <c r="G3" s="266" t="s">
        <v>336</v>
      </c>
      <c r="H3" s="266" t="s">
        <v>337</v>
      </c>
      <c r="I3" s="267" t="s">
        <v>338</v>
      </c>
    </row>
    <row r="4" spans="1:14" s="286" customFormat="1" ht="28.5" customHeight="1">
      <c r="A4" s="269" t="s">
        <v>421</v>
      </c>
      <c r="B4" s="266" t="s">
        <v>339</v>
      </c>
      <c r="C4" s="266">
        <v>2026</v>
      </c>
      <c r="D4" s="266" t="s">
        <v>455</v>
      </c>
      <c r="E4" s="270">
        <v>800</v>
      </c>
      <c r="F4" s="266">
        <v>1</v>
      </c>
      <c r="G4" s="266" t="s">
        <v>340</v>
      </c>
      <c r="H4" s="266" t="s">
        <v>357</v>
      </c>
      <c r="I4" s="267"/>
    </row>
    <row r="5" spans="1:14" s="286" customFormat="1" ht="28.5" customHeight="1">
      <c r="A5" s="269" t="s">
        <v>435</v>
      </c>
      <c r="B5" s="266" t="s">
        <v>339</v>
      </c>
      <c r="C5" s="266">
        <v>2026</v>
      </c>
      <c r="D5" s="266" t="s">
        <v>455</v>
      </c>
      <c r="E5" s="270">
        <v>800</v>
      </c>
      <c r="F5" s="266">
        <v>1</v>
      </c>
      <c r="G5" s="266" t="s">
        <v>340</v>
      </c>
      <c r="H5" s="266" t="s">
        <v>357</v>
      </c>
      <c r="I5" s="267"/>
    </row>
    <row r="6" spans="1:14" s="287" customFormat="1" ht="28.5" customHeight="1">
      <c r="A6" s="269"/>
      <c r="B6" s="290"/>
      <c r="C6" s="290"/>
      <c r="D6" s="290"/>
      <c r="E6" s="270"/>
      <c r="F6" s="290"/>
      <c r="G6" s="290"/>
      <c r="H6" s="290"/>
      <c r="I6" s="267"/>
      <c r="J6" s="288"/>
    </row>
    <row r="7" spans="1:14" ht="28.5" customHeight="1">
      <c r="A7" s="269"/>
      <c r="B7" s="290"/>
      <c r="C7" s="290"/>
      <c r="D7" s="290"/>
      <c r="E7" s="270"/>
      <c r="F7" s="290"/>
      <c r="G7" s="290"/>
      <c r="H7" s="290"/>
      <c r="I7" s="267"/>
    </row>
    <row r="8" spans="1:14" ht="28.5" customHeight="1">
      <c r="A8" s="269"/>
      <c r="B8" s="290"/>
      <c r="C8" s="290"/>
      <c r="D8" s="290"/>
      <c r="E8" s="270"/>
      <c r="F8" s="290"/>
      <c r="G8" s="290"/>
      <c r="H8" s="290"/>
      <c r="I8" s="267"/>
    </row>
    <row r="9" spans="1:14" ht="28.5" customHeight="1">
      <c r="A9" s="289"/>
      <c r="B9" s="290"/>
      <c r="C9" s="290"/>
      <c r="D9" s="290"/>
      <c r="E9" s="270"/>
      <c r="F9" s="290"/>
      <c r="G9" s="290"/>
      <c r="H9" s="290"/>
      <c r="I9" s="291"/>
    </row>
    <row r="10" spans="1:14" ht="28.5" customHeight="1">
      <c r="A10" s="275"/>
      <c r="B10" s="276"/>
      <c r="C10" s="272"/>
      <c r="D10" s="272"/>
      <c r="E10" s="270"/>
      <c r="F10" s="272"/>
      <c r="G10" s="272"/>
      <c r="H10" s="272"/>
      <c r="I10" s="274"/>
    </row>
    <row r="11" spans="1:14" ht="28.5" customHeight="1">
      <c r="A11" s="275"/>
      <c r="B11" s="276"/>
      <c r="C11" s="272"/>
      <c r="D11" s="272"/>
      <c r="E11" s="270"/>
      <c r="F11" s="272"/>
      <c r="G11" s="272"/>
      <c r="H11" s="272"/>
      <c r="I11" s="274"/>
    </row>
    <row r="12" spans="1:14" ht="27.75" customHeight="1">
      <c r="F12" s="268">
        <f>SUM(F4:F11)</f>
        <v>2</v>
      </c>
    </row>
  </sheetData>
  <mergeCells count="2">
    <mergeCell ref="A1:I1"/>
    <mergeCell ref="A2:E2"/>
  </mergeCells>
  <phoneticPr fontId="14" type="noConversion"/>
  <pageMargins left="0.7" right="0.7" top="0.75" bottom="0.75" header="0.3" footer="0.3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31</vt:i4>
      </vt:variant>
      <vt:variant>
        <vt:lpstr>이름이 지정된 범위</vt:lpstr>
      </vt:variant>
      <vt:variant>
        <vt:i4>45</vt:i4>
      </vt:variant>
    </vt:vector>
  </HeadingPairs>
  <TitlesOfParts>
    <vt:vector size="76" baseType="lpstr">
      <vt:lpstr>내역서표지(용인)</vt:lpstr>
      <vt:lpstr>결과요약</vt:lpstr>
      <vt:lpstr>시공사별 금액</vt:lpstr>
      <vt:lpstr>기성정산내역 (용인)</vt:lpstr>
      <vt:lpstr>기성집계표</vt:lpstr>
      <vt:lpstr>기성총괄표(용인)</vt:lpstr>
      <vt:lpstr>기성내역서(용인)</vt:lpstr>
      <vt:lpstr>기성정산내역(중앙_2권역 대행)</vt:lpstr>
      <vt:lpstr>기성총괄표(중앙_2권역 대행)</vt:lpstr>
      <vt:lpstr>기성내역서(중앙_2권역 대행)</vt:lpstr>
      <vt:lpstr>수량산출서(중앙_2권역 대행)</vt:lpstr>
      <vt:lpstr>기성정산내역(수지-수원_시티_건가)</vt:lpstr>
      <vt:lpstr>기성총괄표(수지-수원_시티_건가)</vt:lpstr>
      <vt:lpstr>기성내역서(수지-수원_시티_건가)</vt:lpstr>
      <vt:lpstr>수량산출서(수지-수원_시티_건가)</vt:lpstr>
      <vt:lpstr>기성정산내역(2025열수송관_시티_건가)</vt:lpstr>
      <vt:lpstr>기성총괄표(2025열수송관_시티_건가)</vt:lpstr>
      <vt:lpstr>기성내역서(2025열수송관_시티_건가)</vt:lpstr>
      <vt:lpstr>수량산출서(2025열수송관_시티_건가)</vt:lpstr>
      <vt:lpstr>기성정산내역(2024용인_지성_제조)</vt:lpstr>
      <vt:lpstr>기성총괄표(2024용인_지성_제조)</vt:lpstr>
      <vt:lpstr>기성내역서(2024용인_지성_제조)</vt:lpstr>
      <vt:lpstr>수량산출서(2024용인_지성_제조)</vt:lpstr>
      <vt:lpstr>기성정산내역(2024용인_지성_건가)</vt:lpstr>
      <vt:lpstr>기성총괄표(2024용인_지성_건가)</vt:lpstr>
      <vt:lpstr>기성내역서(2024용인_지성_건가)</vt:lpstr>
      <vt:lpstr>수량산출서(2024용인_지성_건가)</vt:lpstr>
      <vt:lpstr>기성정산내역(2024용인_지성_예수금)</vt:lpstr>
      <vt:lpstr>기성총괄표(2024용인_지성_예수금)</vt:lpstr>
      <vt:lpstr>기성내역서(2024용인_지성_예수금)</vt:lpstr>
      <vt:lpstr>수량산출서(2024용인_지성_예수금)</vt:lpstr>
      <vt:lpstr>결과요약!Print_Area</vt:lpstr>
      <vt:lpstr>'기성내역서(2024용인_지성_건가)'!Print_Area</vt:lpstr>
      <vt:lpstr>'기성내역서(2024용인_지성_예수금)'!Print_Area</vt:lpstr>
      <vt:lpstr>'기성내역서(2024용인_지성_제조)'!Print_Area</vt:lpstr>
      <vt:lpstr>'기성내역서(2025열수송관_시티_건가)'!Print_Area</vt:lpstr>
      <vt:lpstr>'기성내역서(수지-수원_시티_건가)'!Print_Area</vt:lpstr>
      <vt:lpstr>'기성내역서(용인)'!Print_Area</vt:lpstr>
      <vt:lpstr>'기성내역서(중앙_2권역 대행)'!Print_Area</vt:lpstr>
      <vt:lpstr>'기성정산내역 (용인)'!Print_Area</vt:lpstr>
      <vt:lpstr>'기성정산내역(2024용인_지성_건가)'!Print_Area</vt:lpstr>
      <vt:lpstr>'기성정산내역(2024용인_지성_예수금)'!Print_Area</vt:lpstr>
      <vt:lpstr>'기성정산내역(2024용인_지성_제조)'!Print_Area</vt:lpstr>
      <vt:lpstr>'기성정산내역(2025열수송관_시티_건가)'!Print_Area</vt:lpstr>
      <vt:lpstr>'기성정산내역(수지-수원_시티_건가)'!Print_Area</vt:lpstr>
      <vt:lpstr>'기성정산내역(중앙_2권역 대행)'!Print_Area</vt:lpstr>
      <vt:lpstr>기성집계표!Print_Area</vt:lpstr>
      <vt:lpstr>'기성총괄표(2024용인_지성_건가)'!Print_Area</vt:lpstr>
      <vt:lpstr>'기성총괄표(2024용인_지성_예수금)'!Print_Area</vt:lpstr>
      <vt:lpstr>'기성총괄표(2024용인_지성_제조)'!Print_Area</vt:lpstr>
      <vt:lpstr>'기성총괄표(2025열수송관_시티_건가)'!Print_Area</vt:lpstr>
      <vt:lpstr>'기성총괄표(수지-수원_시티_건가)'!Print_Area</vt:lpstr>
      <vt:lpstr>'기성총괄표(용인)'!Print_Area</vt:lpstr>
      <vt:lpstr>'기성총괄표(중앙_2권역 대행)'!Print_Area</vt:lpstr>
      <vt:lpstr>'수량산출서(2024용인_지성_건가)'!Print_Area</vt:lpstr>
      <vt:lpstr>'수량산출서(2024용인_지성_예수금)'!Print_Area</vt:lpstr>
      <vt:lpstr>'수량산출서(2024용인_지성_제조)'!Print_Area</vt:lpstr>
      <vt:lpstr>'수량산출서(2025열수송관_시티_건가)'!Print_Area</vt:lpstr>
      <vt:lpstr>'수량산출서(수지-수원_시티_건가)'!Print_Area</vt:lpstr>
      <vt:lpstr>'수량산출서(중앙_2권역 대행)'!Print_Area</vt:lpstr>
      <vt:lpstr>'시공사별 금액'!Print_Area</vt:lpstr>
      <vt:lpstr>'기성내역서(2024용인_지성_건가)'!Print_Titles</vt:lpstr>
      <vt:lpstr>'기성내역서(2024용인_지성_예수금)'!Print_Titles</vt:lpstr>
      <vt:lpstr>'기성내역서(2024용인_지성_제조)'!Print_Titles</vt:lpstr>
      <vt:lpstr>'기성내역서(2025열수송관_시티_건가)'!Print_Titles</vt:lpstr>
      <vt:lpstr>'기성내역서(수지-수원_시티_건가)'!Print_Titles</vt:lpstr>
      <vt:lpstr>'기성내역서(용인)'!Print_Titles</vt:lpstr>
      <vt:lpstr>'기성내역서(중앙_2권역 대행)'!Print_Titles</vt:lpstr>
      <vt:lpstr>'기성정산내역 (용인)'!Print_Titles</vt:lpstr>
      <vt:lpstr>'기성정산내역(2024용인_지성_건가)'!Print_Titles</vt:lpstr>
      <vt:lpstr>'기성정산내역(2024용인_지성_예수금)'!Print_Titles</vt:lpstr>
      <vt:lpstr>'기성정산내역(2024용인_지성_제조)'!Print_Titles</vt:lpstr>
      <vt:lpstr>'기성정산내역(2025열수송관_시티_건가)'!Print_Titles</vt:lpstr>
      <vt:lpstr>'기성정산내역(수지-수원_시티_건가)'!Print_Titles</vt:lpstr>
      <vt:lpstr>'기성정산내역(중앙_2권역 대행)'!Print_Titles</vt:lpstr>
      <vt:lpstr>기성집계표!Print_Titles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정승필</dc:creator>
  <cp:lastModifiedBy>lovely1002sr@naver.com</cp:lastModifiedBy>
  <cp:lastPrinted>2025-11-27T06:46:36Z</cp:lastPrinted>
  <dcterms:created xsi:type="dcterms:W3CDTF">1997-11-12T18:10:44Z</dcterms:created>
  <dcterms:modified xsi:type="dcterms:W3CDTF">2026-05-29T03:07:22Z</dcterms:modified>
</cp:coreProperties>
</file>